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910" codeName="{8C4F1C90-05EB-6A55-5F09-09C24B55AC0B}"/>
  <workbookPr showInkAnnotation="0" codeName="ThisWorkbook" hidePivotFieldList="1" autoCompressPictures="0"/>
  <bookViews>
    <workbookView xWindow="0" yWindow="60" windowWidth="24240" windowHeight="13700" tabRatio="500"/>
  </bookViews>
  <sheets>
    <sheet name="Play" sheetId="1" r:id="rId1"/>
    <sheet name="Stat" sheetId="3" r:id="rId2"/>
    <sheet name="Cal" sheetId="2" r:id="rId3"/>
  </sheets>
  <definedNames>
    <definedName name="_xlnm._FilterDatabase" localSheetId="1" hidden="1">Stat!$A$1:$L$102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E2" i="1" l="1"/>
  <c r="BI17" i="1"/>
  <c r="K19" i="2"/>
  <c r="H24" i="2"/>
  <c r="F37" i="2"/>
  <c r="G34" i="2"/>
  <c r="K34" i="2"/>
  <c r="CF17" i="1"/>
  <c r="AF15" i="2"/>
  <c r="AA16" i="2"/>
  <c r="AE21" i="2"/>
  <c r="AF23" i="2"/>
  <c r="AF27" i="2"/>
  <c r="AC29" i="2"/>
  <c r="AB33" i="2"/>
  <c r="AA34" i="2"/>
  <c r="AE34" i="2"/>
  <c r="AF35" i="2"/>
  <c r="AF36" i="2"/>
  <c r="K1" i="3"/>
  <c r="L1" i="3"/>
  <c r="DF20" i="1"/>
  <c r="DF21" i="1"/>
  <c r="DF2" i="1"/>
  <c r="M60" i="2"/>
  <c r="O58" i="2"/>
  <c r="F62" i="2"/>
  <c r="N57" i="2"/>
  <c r="O50" i="2"/>
  <c r="P55" i="2"/>
  <c r="L59" i="2"/>
  <c r="G50" i="2"/>
  <c r="G60" i="2"/>
  <c r="B54" i="2"/>
  <c r="I43" i="2"/>
  <c r="N62" i="2"/>
  <c r="I56" i="2"/>
  <c r="G53" i="2"/>
  <c r="C42" i="2"/>
  <c r="B45" i="2"/>
  <c r="F26" i="2"/>
  <c r="E61" i="2"/>
  <c r="D57" i="2"/>
  <c r="H53" i="2"/>
  <c r="D51" i="2"/>
  <c r="B18" i="2"/>
  <c r="J57" i="2"/>
  <c r="O55" i="2"/>
  <c r="I52" i="2"/>
  <c r="L50" i="2"/>
  <c r="M47" i="2"/>
  <c r="O38" i="2"/>
  <c r="J23" i="2"/>
  <c r="DE20" i="1"/>
  <c r="C60" i="2"/>
  <c r="C59" i="2"/>
  <c r="F57" i="2"/>
  <c r="G54" i="2"/>
  <c r="F52" i="2"/>
  <c r="K50" i="2"/>
  <c r="B44" i="2"/>
  <c r="J38" i="2"/>
  <c r="O29" i="2"/>
  <c r="M61" i="2"/>
  <c r="C61" i="2"/>
  <c r="O59" i="2"/>
  <c r="O57" i="2"/>
  <c r="H56" i="2"/>
  <c r="E55" i="2"/>
  <c r="K52" i="2"/>
  <c r="I51" i="2"/>
  <c r="J50" i="2"/>
  <c r="L44" i="2"/>
  <c r="G42" i="2"/>
  <c r="H37" i="2"/>
  <c r="H62" i="2"/>
  <c r="J61" i="2"/>
  <c r="L60" i="2"/>
  <c r="F59" i="2"/>
  <c r="H58" i="2"/>
  <c r="L57" i="2"/>
  <c r="M55" i="2"/>
  <c r="C55" i="2"/>
  <c r="O53" i="2"/>
  <c r="B52" i="2"/>
  <c r="E51" i="2"/>
  <c r="C50" i="2"/>
  <c r="J46" i="2"/>
  <c r="N43" i="2"/>
  <c r="O41" i="2"/>
  <c r="I38" i="2"/>
  <c r="N31" i="2"/>
  <c r="B23" i="2"/>
  <c r="M57" i="2"/>
  <c r="O56" i="2"/>
  <c r="G56" i="2"/>
  <c r="N55" i="2"/>
  <c r="B55" i="2"/>
  <c r="H54" i="2"/>
  <c r="J53" i="2"/>
  <c r="L52" i="2"/>
  <c r="D52" i="2"/>
  <c r="K51" i="2"/>
  <c r="M50" i="2"/>
  <c r="E50" i="2"/>
  <c r="K48" i="2"/>
  <c r="F47" i="2"/>
  <c r="N45" i="2"/>
  <c r="O43" i="2"/>
  <c r="K41" i="2"/>
  <c r="Q39" i="2"/>
  <c r="C37" i="2"/>
  <c r="L33" i="2"/>
  <c r="G31" i="2"/>
  <c r="L20" i="2"/>
  <c r="O5" i="2"/>
  <c r="O36" i="2"/>
  <c r="J33" i="2"/>
  <c r="C29" i="2"/>
  <c r="M24" i="2"/>
  <c r="H10" i="2"/>
  <c r="K30" i="2"/>
  <c r="T27" i="2"/>
  <c r="K25" i="2"/>
  <c r="O21" i="2"/>
  <c r="C17" i="2"/>
  <c r="C12" i="2"/>
  <c r="C7" i="2"/>
  <c r="S27" i="2"/>
  <c r="G25" i="2"/>
  <c r="K21" i="2"/>
  <c r="J16" i="2"/>
  <c r="N11" i="2"/>
  <c r="M6" i="2"/>
  <c r="O49" i="2"/>
  <c r="G49" i="2"/>
  <c r="M48" i="2"/>
  <c r="E48" i="2"/>
  <c r="P47" i="2"/>
  <c r="H47" i="2"/>
  <c r="N46" i="2"/>
  <c r="C46" i="2"/>
  <c r="F45" i="2"/>
  <c r="J44" i="2"/>
  <c r="R43" i="2"/>
  <c r="G43" i="2"/>
  <c r="K42" i="2"/>
  <c r="N41" i="2"/>
  <c r="B41" i="2"/>
  <c r="B40" i="2"/>
  <c r="G39" i="2"/>
  <c r="F38" i="2"/>
  <c r="G37" i="2"/>
  <c r="F36" i="2"/>
  <c r="F35" i="2"/>
  <c r="C34" i="2"/>
  <c r="K32" i="2"/>
  <c r="B31" i="2"/>
  <c r="J29" i="2"/>
  <c r="G28" i="2"/>
  <c r="F27" i="2"/>
  <c r="O25" i="2"/>
  <c r="J24" i="2"/>
  <c r="M22" i="2"/>
  <c r="T19" i="2"/>
  <c r="L17" i="2"/>
  <c r="B14" i="2"/>
  <c r="J11" i="2"/>
  <c r="G10" i="2"/>
  <c r="L8" i="2"/>
  <c r="L6" i="2"/>
  <c r="C5" i="2"/>
  <c r="H3" i="2"/>
  <c r="J49" i="2"/>
  <c r="F49" i="2"/>
  <c r="B49" i="2"/>
  <c r="H48" i="2"/>
  <c r="D48" i="2"/>
  <c r="S47" i="2"/>
  <c r="K47" i="2"/>
  <c r="G47" i="2"/>
  <c r="C47" i="2"/>
  <c r="G46" i="2"/>
  <c r="B46" i="2"/>
  <c r="J45" i="2"/>
  <c r="N44" i="2"/>
  <c r="H44" i="2"/>
  <c r="C44" i="2"/>
  <c r="K43" i="2"/>
  <c r="F43" i="2"/>
  <c r="O42" i="2"/>
  <c r="D42" i="2"/>
  <c r="M41" i="2"/>
  <c r="G41" i="2"/>
  <c r="H40" i="2"/>
  <c r="S39" i="2"/>
  <c r="L39" i="2"/>
  <c r="K38" i="2"/>
  <c r="E38" i="2"/>
  <c r="L37" i="2"/>
  <c r="E36" i="2"/>
  <c r="N35" i="2"/>
  <c r="E35" i="2"/>
  <c r="E33" i="2"/>
  <c r="R31" i="2"/>
  <c r="I31" i="2"/>
  <c r="D30" i="2"/>
  <c r="I29" i="2"/>
  <c r="M28" i="2"/>
  <c r="N27" i="2"/>
  <c r="D27" i="2"/>
  <c r="H26" i="2"/>
  <c r="D25" i="2"/>
  <c r="H22" i="2"/>
  <c r="M20" i="2"/>
  <c r="M18" i="2"/>
  <c r="D17" i="2"/>
  <c r="T15" i="2"/>
  <c r="I13" i="2"/>
  <c r="F12" i="2"/>
  <c r="F11" i="2"/>
  <c r="K8" i="2"/>
  <c r="K7" i="2"/>
  <c r="D6" i="2"/>
  <c r="E2" i="2"/>
  <c r="DE19" i="1"/>
  <c r="B2" i="2"/>
  <c r="S3" i="2"/>
  <c r="M4" i="2"/>
  <c r="J2" i="2"/>
  <c r="H4" i="2"/>
  <c r="G5" i="2"/>
  <c r="E6" i="2"/>
  <c r="C8" i="2"/>
  <c r="B9" i="2"/>
  <c r="D10" i="2"/>
  <c r="Q11" i="2"/>
  <c r="N12" i="2"/>
  <c r="M13" i="2"/>
  <c r="M15" i="2"/>
  <c r="I16" i="2"/>
  <c r="H17" i="2"/>
  <c r="H19" i="2"/>
  <c r="D20" i="2"/>
  <c r="F21" i="2"/>
  <c r="C23" i="2"/>
  <c r="S23" i="2"/>
  <c r="I24" i="2"/>
  <c r="J25" i="2"/>
  <c r="B26" i="2"/>
  <c r="I26" i="2"/>
  <c r="J27" i="2"/>
  <c r="P27" i="2"/>
  <c r="E28" i="2"/>
  <c r="E29" i="2"/>
  <c r="M29" i="2"/>
  <c r="E30" i="2"/>
  <c r="F31" i="2"/>
  <c r="M31" i="2"/>
  <c r="S31" i="2"/>
  <c r="O32" i="2"/>
  <c r="H33" i="2"/>
  <c r="B34" i="2"/>
  <c r="I35" i="2"/>
  <c r="P35" i="2"/>
  <c r="C36" i="2"/>
  <c r="N36" i="2"/>
  <c r="E37" i="2"/>
  <c r="K37" i="2"/>
  <c r="G38" i="2"/>
  <c r="M38" i="2"/>
  <c r="D39" i="2"/>
  <c r="O39" i="2"/>
  <c r="T39" i="2"/>
  <c r="F40" i="2"/>
  <c r="C41" i="2"/>
  <c r="H41" i="2"/>
  <c r="L41" i="2"/>
  <c r="F42" i="2"/>
  <c r="J42" i="2"/>
  <c r="N42" i="2"/>
  <c r="H43" i="2"/>
  <c r="L43" i="2"/>
  <c r="P43" i="2"/>
  <c r="E44" i="2"/>
  <c r="I44" i="2"/>
  <c r="M44" i="2"/>
  <c r="G45" i="2"/>
  <c r="K45" i="2"/>
  <c r="O45" i="2"/>
  <c r="I46" i="2"/>
  <c r="M46" i="2"/>
  <c r="AC61" i="2"/>
  <c r="AB57" i="2"/>
  <c r="AE53" i="2"/>
  <c r="AJ48" i="2"/>
  <c r="AK43" i="2"/>
  <c r="AA39" i="2"/>
  <c r="X34" i="2"/>
  <c r="AI28" i="2"/>
  <c r="AA22" i="2"/>
  <c r="AH8" i="2"/>
  <c r="AB60" i="2"/>
  <c r="AA56" i="2"/>
  <c r="AF52" i="2"/>
  <c r="AG47" i="2"/>
  <c r="X43" i="2"/>
  <c r="AH37" i="2"/>
  <c r="AD32" i="2"/>
  <c r="AL27" i="2"/>
  <c r="AH19" i="2"/>
  <c r="AE4" i="2"/>
  <c r="AB59" i="2"/>
  <c r="AG55" i="2"/>
  <c r="AD51" i="2"/>
  <c r="AG46" i="2"/>
  <c r="AD41" i="2"/>
  <c r="AA36" i="2"/>
  <c r="AJ31" i="2"/>
  <c r="AH25" i="2"/>
  <c r="AL15" i="2"/>
  <c r="AB62" i="2"/>
  <c r="AB58" i="2"/>
  <c r="AF54" i="2"/>
  <c r="AC50" i="2"/>
  <c r="Y45" i="2"/>
  <c r="W40" i="2"/>
  <c r="AE35" i="2"/>
  <c r="AC30" i="2"/>
  <c r="AI23" i="2"/>
  <c r="W13" i="2"/>
  <c r="AJ61" i="2"/>
  <c r="AJ59" i="2"/>
  <c r="AH57" i="2"/>
  <c r="AM55" i="2"/>
  <c r="Y54" i="2"/>
  <c r="X52" i="2"/>
  <c r="AB49" i="2"/>
  <c r="AA47" i="2"/>
  <c r="AG44" i="2"/>
  <c r="W42" i="2"/>
  <c r="AH39" i="2"/>
  <c r="X32" i="2"/>
  <c r="AI29" i="2"/>
  <c r="AD26" i="2"/>
  <c r="Y23" i="2"/>
  <c r="AF18" i="2"/>
  <c r="AB10" i="2"/>
  <c r="Y6" i="2"/>
  <c r="AI11" i="2"/>
  <c r="Z17" i="2"/>
  <c r="Z24" i="2"/>
  <c r="AB27" i="2"/>
  <c r="AB29" i="2"/>
  <c r="AB31" i="2"/>
  <c r="X33" i="2"/>
  <c r="X35" i="2"/>
  <c r="AG36" i="2"/>
  <c r="AI38" i="2"/>
  <c r="AD40" i="2"/>
  <c r="AD42" i="2"/>
  <c r="Z44" i="2"/>
  <c r="Z46" i="2"/>
  <c r="AN47" i="2"/>
  <c r="AJ49" i="2"/>
  <c r="AJ51" i="2"/>
  <c r="AJ62" i="2"/>
  <c r="AI60" i="2"/>
  <c r="AI58" i="2"/>
  <c r="AI56" i="2"/>
  <c r="Y55" i="2"/>
  <c r="Y53" i="2"/>
  <c r="AJ50" i="2"/>
  <c r="AC48" i="2"/>
  <c r="AG45" i="2"/>
  <c r="AD43" i="2"/>
  <c r="AJ40" i="2"/>
  <c r="AA38" i="2"/>
  <c r="AM35" i="2"/>
  <c r="AE33" i="2"/>
  <c r="AI30" i="2"/>
  <c r="AA28" i="2"/>
  <c r="X25" i="2"/>
  <c r="AE20" i="2"/>
  <c r="AE14" i="2"/>
  <c r="AF7" i="2"/>
  <c r="R35" i="2"/>
  <c r="M35" i="2"/>
  <c r="H35" i="2"/>
  <c r="B35" i="2"/>
  <c r="N33" i="2"/>
  <c r="I33" i="2"/>
  <c r="D33" i="2"/>
  <c r="L32" i="2"/>
  <c r="G32" i="2"/>
  <c r="B32" i="2"/>
  <c r="O31" i="2"/>
  <c r="J31" i="2"/>
  <c r="E31" i="2"/>
  <c r="M30" i="2"/>
  <c r="H30" i="2"/>
  <c r="C30" i="2"/>
  <c r="K29" i="2"/>
  <c r="F29" i="2"/>
  <c r="O28" i="2"/>
  <c r="D28" i="2"/>
  <c r="R27" i="2"/>
  <c r="L27" i="2"/>
  <c r="G27" i="2"/>
  <c r="B27" i="2"/>
  <c r="J26" i="2"/>
  <c r="E26" i="2"/>
  <c r="N25" i="2"/>
  <c r="H25" i="2"/>
  <c r="C25" i="2"/>
  <c r="L24" i="2"/>
  <c r="F24" i="2"/>
  <c r="R23" i="2"/>
  <c r="G23" i="2"/>
  <c r="I22" i="2"/>
  <c r="N21" i="2"/>
  <c r="C21" i="2"/>
  <c r="E20" i="2"/>
  <c r="O19" i="2"/>
  <c r="D19" i="2"/>
  <c r="F18" i="2"/>
  <c r="N16" i="2"/>
  <c r="B16" i="2"/>
  <c r="L15" i="2"/>
  <c r="O14" i="2"/>
  <c r="C14" i="2"/>
  <c r="H13" i="2"/>
  <c r="K12" i="2"/>
  <c r="R11" i="2"/>
  <c r="I11" i="2"/>
  <c r="L10" i="2"/>
  <c r="N9" i="2"/>
  <c r="E9" i="2"/>
  <c r="H8" i="2"/>
  <c r="O7" i="2"/>
  <c r="F7" i="2"/>
  <c r="I6" i="2"/>
  <c r="K5" i="2"/>
  <c r="B5" i="2"/>
  <c r="E4" i="2"/>
  <c r="L3" i="2"/>
  <c r="C3" i="2"/>
  <c r="F2" i="2"/>
  <c r="Y2" i="2"/>
  <c r="AC2" i="2"/>
  <c r="AG2" i="2"/>
  <c r="W3" i="2"/>
  <c r="AA3" i="2"/>
  <c r="AE3" i="2"/>
  <c r="AI3" i="2"/>
  <c r="AM3" i="2"/>
  <c r="X4" i="2"/>
  <c r="AB4" i="2"/>
  <c r="AF4" i="2"/>
  <c r="AJ4" i="2"/>
  <c r="Z5" i="2"/>
  <c r="AD5" i="2"/>
  <c r="AH5" i="2"/>
  <c r="X6" i="2"/>
  <c r="AB6" i="2"/>
  <c r="AF6" i="2"/>
  <c r="AJ6" i="2"/>
  <c r="Z7" i="2"/>
  <c r="AD7" i="2"/>
  <c r="AH7" i="2"/>
  <c r="AL7" i="2"/>
  <c r="W8" i="2"/>
  <c r="AA8" i="2"/>
  <c r="AE8" i="2"/>
  <c r="AI8" i="2"/>
  <c r="Y9" i="2"/>
  <c r="AC9" i="2"/>
  <c r="AG9" i="2"/>
  <c r="W10" i="2"/>
  <c r="AA10" i="2"/>
  <c r="AE10" i="2"/>
  <c r="AI10" i="2"/>
  <c r="Y11" i="2"/>
  <c r="AC11" i="2"/>
  <c r="AG11" i="2"/>
  <c r="AK11" i="2"/>
  <c r="AO11" i="2"/>
  <c r="Z12" i="2"/>
  <c r="AD12" i="2"/>
  <c r="AH12" i="2"/>
  <c r="X13" i="2"/>
  <c r="AB13" i="2"/>
  <c r="AF13" i="2"/>
  <c r="AJ13" i="2"/>
  <c r="Z14" i="2"/>
  <c r="AD14" i="2"/>
  <c r="AH14" i="2"/>
  <c r="X15" i="2"/>
  <c r="AB15" i="2"/>
  <c r="AJ15" i="2"/>
  <c r="AN15" i="2"/>
  <c r="Y16" i="2"/>
  <c r="AC16" i="2"/>
  <c r="AG16" i="2"/>
  <c r="W17" i="2"/>
  <c r="AA17" i="2"/>
  <c r="AE17" i="2"/>
  <c r="AI17" i="2"/>
  <c r="Y18" i="2"/>
  <c r="W2" i="2"/>
  <c r="AB2" i="2"/>
  <c r="AH2" i="2"/>
  <c r="Y3" i="2"/>
  <c r="AD3" i="2"/>
  <c r="AJ3" i="2"/>
  <c r="AO3" i="2"/>
  <c r="AA4" i="2"/>
  <c r="AG4" i="2"/>
  <c r="X5" i="2"/>
  <c r="AC5" i="2"/>
  <c r="AI5" i="2"/>
  <c r="Z6" i="2"/>
  <c r="AE6" i="2"/>
  <c r="W7" i="2"/>
  <c r="AB7" i="2"/>
  <c r="AG7" i="2"/>
  <c r="AM7" i="2"/>
  <c r="Y8" i="2"/>
  <c r="AD8" i="2"/>
  <c r="AJ8" i="2"/>
  <c r="AA9" i="2"/>
  <c r="AF9" i="2"/>
  <c r="X10" i="2"/>
  <c r="AC10" i="2"/>
  <c r="AH10" i="2"/>
  <c r="Z11" i="2"/>
  <c r="AE11" i="2"/>
  <c r="AJ11" i="2"/>
  <c r="W12" i="2"/>
  <c r="AB12" i="2"/>
  <c r="AG12" i="2"/>
  <c r="Y13" i="2"/>
  <c r="AD13" i="2"/>
  <c r="AI13" i="2"/>
  <c r="AA14" i="2"/>
  <c r="AF14" i="2"/>
  <c r="W15" i="2"/>
  <c r="AC15" i="2"/>
  <c r="AH15" i="2"/>
  <c r="AM15" i="2"/>
  <c r="Z16" i="2"/>
  <c r="AE16" i="2"/>
  <c r="AJ16" i="2"/>
  <c r="AB17" i="2"/>
  <c r="AG17" i="2"/>
  <c r="X18" i="2"/>
  <c r="AC18" i="2"/>
  <c r="AG18" i="2"/>
  <c r="W19" i="2"/>
  <c r="AA19" i="2"/>
  <c r="AE19" i="2"/>
  <c r="AI19" i="2"/>
  <c r="AM19" i="2"/>
  <c r="X20" i="2"/>
  <c r="AF20" i="2"/>
  <c r="AJ20" i="2"/>
  <c r="Z21" i="2"/>
  <c r="AD21" i="2"/>
  <c r="AH21" i="2"/>
  <c r="X22" i="2"/>
  <c r="AB22" i="2"/>
  <c r="AF22" i="2"/>
  <c r="AJ22" i="2"/>
  <c r="Z23" i="2"/>
  <c r="AD23" i="2"/>
  <c r="AH23" i="2"/>
  <c r="AL23" i="2"/>
  <c r="W24" i="2"/>
  <c r="AA24" i="2"/>
  <c r="AE24" i="2"/>
  <c r="AI24" i="2"/>
  <c r="Y25" i="2"/>
  <c r="AC25" i="2"/>
  <c r="AG25" i="2"/>
  <c r="W26" i="2"/>
  <c r="AA26" i="2"/>
  <c r="AE26" i="2"/>
  <c r="AI26" i="2"/>
  <c r="Y27" i="2"/>
  <c r="AC27" i="2"/>
  <c r="AG27" i="2"/>
  <c r="AK27" i="2"/>
  <c r="AO27" i="2"/>
  <c r="Z2" i="2"/>
  <c r="AE2" i="2"/>
  <c r="AJ2" i="2"/>
  <c r="AB3" i="2"/>
  <c r="AG3" i="2"/>
  <c r="AL3" i="2"/>
  <c r="Y4" i="2"/>
  <c r="AD4" i="2"/>
  <c r="AI4" i="2"/>
  <c r="AA5" i="2"/>
  <c r="AF5" i="2"/>
  <c r="W6" i="2"/>
  <c r="AC6" i="2"/>
  <c r="AH6" i="2"/>
  <c r="Y7" i="2"/>
  <c r="AE7" i="2"/>
  <c r="AJ7" i="2"/>
  <c r="AO7" i="2"/>
  <c r="AB8" i="2"/>
  <c r="AG8" i="2"/>
  <c r="X9" i="2"/>
  <c r="AD9" i="2"/>
  <c r="AI9" i="2"/>
  <c r="Z10" i="2"/>
  <c r="AF10" i="2"/>
  <c r="W11" i="2"/>
  <c r="AB11" i="2"/>
  <c r="AH11" i="2"/>
  <c r="AM11" i="2"/>
  <c r="Y12" i="2"/>
  <c r="AE12" i="2"/>
  <c r="AJ12" i="2"/>
  <c r="AA13" i="2"/>
  <c r="AG13" i="2"/>
  <c r="X14" i="2"/>
  <c r="AC14" i="2"/>
  <c r="AI14" i="2"/>
  <c r="Z15" i="2"/>
  <c r="AE15" i="2"/>
  <c r="AK15" i="2"/>
  <c r="W16" i="2"/>
  <c r="AB16" i="2"/>
  <c r="AH16" i="2"/>
  <c r="Y17" i="2"/>
  <c r="AD17" i="2"/>
  <c r="AJ17" i="2"/>
  <c r="AA18" i="2"/>
  <c r="AE18" i="2"/>
  <c r="AI18" i="2"/>
  <c r="Y19" i="2"/>
  <c r="AC19" i="2"/>
  <c r="AG19" i="2"/>
  <c r="AK19" i="2"/>
  <c r="AO19" i="2"/>
  <c r="Z20" i="2"/>
  <c r="AD20" i="2"/>
  <c r="AH20" i="2"/>
  <c r="X21" i="2"/>
  <c r="AB21" i="2"/>
  <c r="AF21" i="2"/>
  <c r="AJ21" i="2"/>
  <c r="Z22" i="2"/>
  <c r="AD22" i="2"/>
  <c r="AH22" i="2"/>
  <c r="X23" i="2"/>
  <c r="AB23" i="2"/>
  <c r="AJ23" i="2"/>
  <c r="AN23" i="2"/>
  <c r="Y24" i="2"/>
  <c r="AG24" i="2"/>
  <c r="W25" i="2"/>
  <c r="AA25" i="2"/>
  <c r="AE25" i="2"/>
  <c r="AI25" i="2"/>
  <c r="Y26" i="2"/>
  <c r="AC26" i="2"/>
  <c r="AG26" i="2"/>
  <c r="W27" i="2"/>
  <c r="AA27" i="2"/>
  <c r="AE27" i="2"/>
  <c r="AI27" i="2"/>
  <c r="AM27" i="2"/>
  <c r="X28" i="2"/>
  <c r="AB28" i="2"/>
  <c r="AF28" i="2"/>
  <c r="AJ28" i="2"/>
  <c r="Z29" i="2"/>
  <c r="AD29" i="2"/>
  <c r="AH29" i="2"/>
  <c r="X30" i="2"/>
  <c r="AB30" i="2"/>
  <c r="AF30" i="2"/>
  <c r="AJ30" i="2"/>
  <c r="Z31" i="2"/>
  <c r="AD31" i="2"/>
  <c r="AH31" i="2"/>
  <c r="AL31" i="2"/>
  <c r="W32" i="2"/>
  <c r="AA32" i="2"/>
  <c r="AI32" i="2"/>
  <c r="Y33" i="2"/>
  <c r="AC33" i="2"/>
  <c r="AG33" i="2"/>
  <c r="W34" i="2"/>
  <c r="AI34" i="2"/>
  <c r="Y35" i="2"/>
  <c r="AC35" i="2"/>
  <c r="AG35" i="2"/>
  <c r="AK35" i="2"/>
  <c r="AO35" i="2"/>
  <c r="Z36" i="2"/>
  <c r="AD36" i="2"/>
  <c r="AH36" i="2"/>
  <c r="X37" i="2"/>
  <c r="AB37" i="2"/>
  <c r="AF37" i="2"/>
  <c r="AJ37" i="2"/>
  <c r="Z38" i="2"/>
  <c r="AD38" i="2"/>
  <c r="AH38" i="2"/>
  <c r="X39" i="2"/>
  <c r="AB39" i="2"/>
  <c r="AF39" i="2"/>
  <c r="AJ39" i="2"/>
  <c r="AN39" i="2"/>
  <c r="Y40" i="2"/>
  <c r="AC40" i="2"/>
  <c r="AG40" i="2"/>
  <c r="W41" i="2"/>
  <c r="AA41" i="2"/>
  <c r="AE41" i="2"/>
  <c r="AI41" i="2"/>
  <c r="Y42" i="2"/>
  <c r="AC42" i="2"/>
  <c r="AG42" i="2"/>
  <c r="W43" i="2"/>
  <c r="AA43" i="2"/>
  <c r="AE43" i="2"/>
  <c r="AI43" i="2"/>
  <c r="AM43" i="2"/>
  <c r="X44" i="2"/>
  <c r="AB44" i="2"/>
  <c r="AF44" i="2"/>
  <c r="AJ44" i="2"/>
  <c r="Z45" i="2"/>
  <c r="AD45" i="2"/>
  <c r="AH45" i="2"/>
  <c r="X46" i="2"/>
  <c r="AB46" i="2"/>
  <c r="AF46" i="2"/>
  <c r="AJ46" i="2"/>
  <c r="Z47" i="2"/>
  <c r="AD47" i="2"/>
  <c r="AH47" i="2"/>
  <c r="AL47" i="2"/>
  <c r="W48" i="2"/>
  <c r="AA48" i="2"/>
  <c r="AE48" i="2"/>
  <c r="AI48" i="2"/>
  <c r="Y49" i="2"/>
  <c r="AC49" i="2"/>
  <c r="AG49" i="2"/>
  <c r="W50" i="2"/>
  <c r="AA50" i="2"/>
  <c r="AE50" i="2"/>
  <c r="AI50" i="2"/>
  <c r="Y51" i="2"/>
  <c r="AC51" i="2"/>
  <c r="AG51" i="2"/>
  <c r="AK51" i="2"/>
  <c r="AO51" i="2"/>
  <c r="Z52" i="2"/>
  <c r="AD52" i="2"/>
  <c r="AH52" i="2"/>
  <c r="X53" i="2"/>
  <c r="AB53" i="2"/>
  <c r="AF53" i="2"/>
  <c r="AJ53" i="2"/>
  <c r="Z54" i="2"/>
  <c r="AD54" i="2"/>
  <c r="AH54" i="2"/>
  <c r="X55" i="2"/>
  <c r="AB55" i="2"/>
  <c r="AF55" i="2"/>
  <c r="AJ55" i="2"/>
  <c r="AN55" i="2"/>
  <c r="Y56" i="2"/>
  <c r="AC56" i="2"/>
  <c r="AG56" i="2"/>
  <c r="W57" i="2"/>
  <c r="AA57" i="2"/>
  <c r="AE57" i="2"/>
  <c r="AI57" i="2"/>
  <c r="Y58" i="2"/>
  <c r="AC58" i="2"/>
  <c r="AG58" i="2"/>
  <c r="W59" i="2"/>
  <c r="AA59" i="2"/>
  <c r="AE59" i="2"/>
  <c r="AI59" i="2"/>
  <c r="Y60" i="2"/>
  <c r="AC60" i="2"/>
  <c r="AG60" i="2"/>
  <c r="W61" i="2"/>
  <c r="AA61" i="2"/>
  <c r="AE61" i="2"/>
  <c r="AI61" i="2"/>
  <c r="Y62" i="2"/>
  <c r="AC62" i="2"/>
  <c r="AG62" i="2"/>
  <c r="DF19" i="1"/>
  <c r="X2" i="2"/>
  <c r="AI2" i="2"/>
  <c r="AF3" i="2"/>
  <c r="W4" i="2"/>
  <c r="AH4" i="2"/>
  <c r="AE5" i="2"/>
  <c r="AA6" i="2"/>
  <c r="X7" i="2"/>
  <c r="AI7" i="2"/>
  <c r="Z8" i="2"/>
  <c r="W9" i="2"/>
  <c r="AH9" i="2"/>
  <c r="AD10" i="2"/>
  <c r="AA11" i="2"/>
  <c r="AL11" i="2"/>
  <c r="AC12" i="2"/>
  <c r="Z13" i="2"/>
  <c r="W14" i="2"/>
  <c r="AG14" i="2"/>
  <c r="AD15" i="2"/>
  <c r="AO15" i="2"/>
  <c r="AF16" i="2"/>
  <c r="AC17" i="2"/>
  <c r="Z18" i="2"/>
  <c r="AH18" i="2"/>
  <c r="AB19" i="2"/>
  <c r="AJ19" i="2"/>
  <c r="Y20" i="2"/>
  <c r="AG20" i="2"/>
  <c r="AA21" i="2"/>
  <c r="AI21" i="2"/>
  <c r="AC22" i="2"/>
  <c r="W23" i="2"/>
  <c r="AE23" i="2"/>
  <c r="AM23" i="2"/>
  <c r="AB24" i="2"/>
  <c r="AJ24" i="2"/>
  <c r="X26" i="2"/>
  <c r="AF26" i="2"/>
  <c r="Z27" i="2"/>
  <c r="AH27" i="2"/>
  <c r="W28" i="2"/>
  <c r="AC28" i="2"/>
  <c r="AH28" i="2"/>
  <c r="Y29" i="2"/>
  <c r="AE29" i="2"/>
  <c r="AJ29" i="2"/>
  <c r="AA30" i="2"/>
  <c r="AG30" i="2"/>
  <c r="X31" i="2"/>
  <c r="AC31" i="2"/>
  <c r="AI31" i="2"/>
  <c r="AN31" i="2"/>
  <c r="Z32" i="2"/>
  <c r="AF32" i="2"/>
  <c r="W33" i="2"/>
  <c r="AH33" i="2"/>
  <c r="Y34" i="2"/>
  <c r="AJ34" i="2"/>
  <c r="AA35" i="2"/>
  <c r="AL35" i="2"/>
  <c r="X36" i="2"/>
  <c r="AC36" i="2"/>
  <c r="AI36" i="2"/>
  <c r="Z37" i="2"/>
  <c r="AE37" i="2"/>
  <c r="W38" i="2"/>
  <c r="AB38" i="2"/>
  <c r="AG38" i="2"/>
  <c r="Y39" i="2"/>
  <c r="AD39" i="2"/>
  <c r="AI39" i="2"/>
  <c r="AO39" i="2"/>
  <c r="AA40" i="2"/>
  <c r="AF40" i="2"/>
  <c r="X41" i="2"/>
  <c r="AC41" i="2"/>
  <c r="AH41" i="2"/>
  <c r="Z42" i="2"/>
  <c r="AE42" i="2"/>
  <c r="AJ42" i="2"/>
  <c r="AB43" i="2"/>
  <c r="AG43" i="2"/>
  <c r="AL43" i="2"/>
  <c r="Y44" i="2"/>
  <c r="AD44" i="2"/>
  <c r="AI44" i="2"/>
  <c r="AA45" i="2"/>
  <c r="AF45" i="2"/>
  <c r="W46" i="2"/>
  <c r="AC46" i="2"/>
  <c r="AH46" i="2"/>
  <c r="Y47" i="2"/>
  <c r="AE47" i="2"/>
  <c r="AJ47" i="2"/>
  <c r="AO47" i="2"/>
  <c r="AB48" i="2"/>
  <c r="AG48" i="2"/>
  <c r="X49" i="2"/>
  <c r="AD49" i="2"/>
  <c r="AI49" i="2"/>
  <c r="Z50" i="2"/>
  <c r="AF50" i="2"/>
  <c r="W51" i="2"/>
  <c r="AB51" i="2"/>
  <c r="AH51" i="2"/>
  <c r="AM51" i="2"/>
  <c r="Y52" i="2"/>
  <c r="AE52" i="2"/>
  <c r="AJ52" i="2"/>
  <c r="AA53" i="2"/>
  <c r="AG53" i="2"/>
  <c r="X54" i="2"/>
  <c r="AC54" i="2"/>
  <c r="AI54" i="2"/>
  <c r="Z55" i="2"/>
  <c r="AE55" i="2"/>
  <c r="AK55" i="2"/>
  <c r="W56" i="2"/>
  <c r="AB56" i="2"/>
  <c r="AH56" i="2"/>
  <c r="Y57" i="2"/>
  <c r="AD57" i="2"/>
  <c r="AJ57" i="2"/>
  <c r="AA58" i="2"/>
  <c r="AF58" i="2"/>
  <c r="X59" i="2"/>
  <c r="AC59" i="2"/>
  <c r="AH59" i="2"/>
  <c r="Z60" i="2"/>
  <c r="AE60" i="2"/>
  <c r="AJ60" i="2"/>
  <c r="AB61" i="2"/>
  <c r="AG61" i="2"/>
  <c r="X62" i="2"/>
  <c r="AD62" i="2"/>
  <c r="AI62" i="2"/>
  <c r="AA2" i="2"/>
  <c r="X3" i="2"/>
  <c r="AH3" i="2"/>
  <c r="Z4" i="2"/>
  <c r="W5" i="2"/>
  <c r="AG5" i="2"/>
  <c r="AD6" i="2"/>
  <c r="AA7" i="2"/>
  <c r="AK7" i="2"/>
  <c r="AC8" i="2"/>
  <c r="Z9" i="2"/>
  <c r="AJ9" i="2"/>
  <c r="AG10" i="2"/>
  <c r="AD11" i="2"/>
  <c r="AN11" i="2"/>
  <c r="AF12" i="2"/>
  <c r="AC13" i="2"/>
  <c r="Y14" i="2"/>
  <c r="AJ14" i="2"/>
  <c r="AG15" i="2"/>
  <c r="X16" i="2"/>
  <c r="AI16" i="2"/>
  <c r="AB18" i="2"/>
  <c r="AJ18" i="2"/>
  <c r="AD19" i="2"/>
  <c r="AL19" i="2"/>
  <c r="AA20" i="2"/>
  <c r="AI20" i="2"/>
  <c r="AH62" i="2"/>
  <c r="AA62" i="2"/>
  <c r="AH61" i="2"/>
  <c r="Z61" i="2"/>
  <c r="AH60" i="2"/>
  <c r="AA60" i="2"/>
  <c r="AG59" i="2"/>
  <c r="Z59" i="2"/>
  <c r="AH58" i="2"/>
  <c r="Z58" i="2"/>
  <c r="AG57" i="2"/>
  <c r="Z57" i="2"/>
  <c r="AF56" i="2"/>
  <c r="Z56" i="2"/>
  <c r="AL55" i="2"/>
  <c r="AD55" i="2"/>
  <c r="W55" i="2"/>
  <c r="AE54" i="2"/>
  <c r="W54" i="2"/>
  <c r="AD53" i="2"/>
  <c r="W53" i="2"/>
  <c r="AC52" i="2"/>
  <c r="W52" i="2"/>
  <c r="AI51" i="2"/>
  <c r="AA51" i="2"/>
  <c r="AH50" i="2"/>
  <c r="AB50" i="2"/>
  <c r="AH49" i="2"/>
  <c r="AA49" i="2"/>
  <c r="AH48" i="2"/>
  <c r="Z48" i="2"/>
  <c r="AM47" i="2"/>
  <c r="AF47" i="2"/>
  <c r="X47" i="2"/>
  <c r="AE46" i="2"/>
  <c r="Y46" i="2"/>
  <c r="AE45" i="2"/>
  <c r="X45" i="2"/>
  <c r="AE44" i="2"/>
  <c r="W44" i="2"/>
  <c r="AJ43" i="2"/>
  <c r="AC43" i="2"/>
  <c r="AI42" i="2"/>
  <c r="AB42" i="2"/>
  <c r="AJ41" i="2"/>
  <c r="AB41" i="2"/>
  <c r="AI40" i="2"/>
  <c r="AB40" i="2"/>
  <c r="AM39" i="2"/>
  <c r="AG39" i="2"/>
  <c r="Z39" i="2"/>
  <c r="AF38" i="2"/>
  <c r="Y38" i="2"/>
  <c r="AG37" i="2"/>
  <c r="Y37" i="2"/>
  <c r="Y36" i="2"/>
  <c r="AJ35" i="2"/>
  <c r="AD35" i="2"/>
  <c r="W35" i="2"/>
  <c r="AJ33" i="2"/>
  <c r="AD33" i="2"/>
  <c r="AJ32" i="2"/>
  <c r="AC32" i="2"/>
  <c r="AO31" i="2"/>
  <c r="AG31" i="2"/>
  <c r="AA31" i="2"/>
  <c r="AH30" i="2"/>
  <c r="Z30" i="2"/>
  <c r="AG29" i="2"/>
  <c r="AA29" i="2"/>
  <c r="AG28" i="2"/>
  <c r="Z28" i="2"/>
  <c r="AJ27" i="2"/>
  <c r="X27" i="2"/>
  <c r="AB26" i="2"/>
  <c r="AF25" i="2"/>
  <c r="AH24" i="2"/>
  <c r="X24" i="2"/>
  <c r="AG23" i="2"/>
  <c r="AI22" i="2"/>
  <c r="Y22" i="2"/>
  <c r="AC21" i="2"/>
  <c r="AC20" i="2"/>
  <c r="AD18" i="2"/>
  <c r="X17" i="2"/>
  <c r="AI15" i="2"/>
  <c r="AB14" i="2"/>
  <c r="AI12" i="2"/>
  <c r="AF11" i="2"/>
  <c r="Y10" i="2"/>
  <c r="AF8" i="2"/>
  <c r="AC7" i="2"/>
  <c r="AJ5" i="2"/>
  <c r="AC4" i="2"/>
  <c r="Z3" i="2"/>
  <c r="DE21" i="1"/>
  <c r="AF62" i="2"/>
  <c r="Z62" i="2"/>
  <c r="AF61" i="2"/>
  <c r="Y61" i="2"/>
  <c r="AF60" i="2"/>
  <c r="X60" i="2"/>
  <c r="AF59" i="2"/>
  <c r="Y59" i="2"/>
  <c r="AE58" i="2"/>
  <c r="X58" i="2"/>
  <c r="AF57" i="2"/>
  <c r="X57" i="2"/>
  <c r="AE56" i="2"/>
  <c r="X56" i="2"/>
  <c r="AI55" i="2"/>
  <c r="AC55" i="2"/>
  <c r="AJ54" i="2"/>
  <c r="AB54" i="2"/>
  <c r="AI53" i="2"/>
  <c r="AC53" i="2"/>
  <c r="AI52" i="2"/>
  <c r="AB52" i="2"/>
  <c r="AN51" i="2"/>
  <c r="AF51" i="2"/>
  <c r="Z51" i="2"/>
  <c r="AG50" i="2"/>
  <c r="Y50" i="2"/>
  <c r="AF49" i="2"/>
  <c r="Z49" i="2"/>
  <c r="AF48" i="2"/>
  <c r="Y48" i="2"/>
  <c r="AK47" i="2"/>
  <c r="AC47" i="2"/>
  <c r="W47" i="2"/>
  <c r="AD46" i="2"/>
  <c r="AJ45" i="2"/>
  <c r="AC45" i="2"/>
  <c r="W45" i="2"/>
  <c r="AC44" i="2"/>
  <c r="AO43" i="2"/>
  <c r="AH43" i="2"/>
  <c r="Z43" i="2"/>
  <c r="AH42" i="2"/>
  <c r="AA42" i="2"/>
  <c r="AG41" i="2"/>
  <c r="Z41" i="2"/>
  <c r="AH40" i="2"/>
  <c r="Z40" i="2"/>
  <c r="AL39" i="2"/>
  <c r="AE39" i="2"/>
  <c r="W39" i="2"/>
  <c r="AE38" i="2"/>
  <c r="X38" i="2"/>
  <c r="AD37" i="2"/>
  <c r="W37" i="2"/>
  <c r="AE36" i="2"/>
  <c r="W36" i="2"/>
  <c r="AI35" i="2"/>
  <c r="AB35" i="2"/>
  <c r="AH34" i="2"/>
  <c r="AI33" i="2"/>
  <c r="AA33" i="2"/>
  <c r="AH32" i="2"/>
  <c r="AB32" i="2"/>
  <c r="AM31" i="2"/>
  <c r="Y31" i="2"/>
  <c r="AE30" i="2"/>
  <c r="Y30" i="2"/>
  <c r="AF29" i="2"/>
  <c r="X29" i="2"/>
  <c r="AE28" i="2"/>
  <c r="Y28" i="2"/>
  <c r="AJ26" i="2"/>
  <c r="Z26" i="2"/>
  <c r="AB25" i="2"/>
  <c r="AF24" i="2"/>
  <c r="AO23" i="2"/>
  <c r="AC23" i="2"/>
  <c r="AG22" i="2"/>
  <c r="W22" i="2"/>
  <c r="Y21" i="2"/>
  <c r="W20" i="2"/>
  <c r="Z19" i="2"/>
  <c r="W18" i="2"/>
  <c r="AD16" i="2"/>
  <c r="AA15" i="2"/>
  <c r="AH13" i="2"/>
  <c r="AA12" i="2"/>
  <c r="X11" i="2"/>
  <c r="AE9" i="2"/>
  <c r="X8" i="2"/>
  <c r="AI6" i="2"/>
  <c r="AB5" i="2"/>
  <c r="AN3" i="2"/>
  <c r="AF2" i="2"/>
  <c r="AE62" i="2"/>
  <c r="W62" i="2"/>
  <c r="AD61" i="2"/>
  <c r="X61" i="2"/>
  <c r="AD60" i="2"/>
  <c r="W60" i="2"/>
  <c r="AD59" i="2"/>
  <c r="AJ58" i="2"/>
  <c r="AD58" i="2"/>
  <c r="W58" i="2"/>
  <c r="AC57" i="2"/>
  <c r="AJ56" i="2"/>
  <c r="AD56" i="2"/>
  <c r="AO55" i="2"/>
  <c r="AH55" i="2"/>
  <c r="AA55" i="2"/>
  <c r="AG54" i="2"/>
  <c r="AA54" i="2"/>
  <c r="AH53" i="2"/>
  <c r="Z53" i="2"/>
  <c r="AG52" i="2"/>
  <c r="AA52" i="2"/>
  <c r="AL51" i="2"/>
  <c r="AE51" i="2"/>
  <c r="X51" i="2"/>
  <c r="AD50" i="2"/>
  <c r="X50" i="2"/>
  <c r="AE49" i="2"/>
  <c r="W49" i="2"/>
  <c r="AD48" i="2"/>
  <c r="X48" i="2"/>
  <c r="AI47" i="2"/>
  <c r="AB47" i="2"/>
  <c r="AI46" i="2"/>
  <c r="AA46" i="2"/>
  <c r="AI45" i="2"/>
  <c r="AB45" i="2"/>
  <c r="AH44" i="2"/>
  <c r="AA44" i="2"/>
  <c r="AN43" i="2"/>
  <c r="AF43" i="2"/>
  <c r="Y43" i="2"/>
  <c r="AF42" i="2"/>
  <c r="X42" i="2"/>
  <c r="AF41" i="2"/>
  <c r="Y41" i="2"/>
  <c r="AE40" i="2"/>
  <c r="X40" i="2"/>
  <c r="AK39" i="2"/>
  <c r="AC39" i="2"/>
  <c r="AJ38" i="2"/>
  <c r="AC38" i="2"/>
  <c r="AI37" i="2"/>
  <c r="AC37" i="2"/>
  <c r="AJ36" i="2"/>
  <c r="AB36" i="2"/>
  <c r="AN35" i="2"/>
  <c r="AH35" i="2"/>
  <c r="Z35" i="2"/>
  <c r="AG34" i="2"/>
  <c r="Z34" i="2"/>
  <c r="AF33" i="2"/>
  <c r="Z33" i="2"/>
  <c r="AG32" i="2"/>
  <c r="Y32" i="2"/>
  <c r="AK31" i="2"/>
  <c r="AE31" i="2"/>
  <c r="W31" i="2"/>
  <c r="AD30" i="2"/>
  <c r="W30" i="2"/>
  <c r="W29" i="2"/>
  <c r="AN27" i="2"/>
  <c r="AD27" i="2"/>
  <c r="AH26" i="2"/>
  <c r="AJ25" i="2"/>
  <c r="Z25" i="2"/>
  <c r="AD24" i="2"/>
  <c r="AK23" i="2"/>
  <c r="AA23" i="2"/>
  <c r="AE22" i="2"/>
  <c r="AG21" i="2"/>
  <c r="W21" i="2"/>
  <c r="AN19" i="2"/>
  <c r="X19" i="2"/>
  <c r="AH17" i="2"/>
  <c r="Y15" i="2"/>
  <c r="AE13" i="2"/>
  <c r="X12" i="2"/>
  <c r="AJ10" i="2"/>
  <c r="AB9" i="2"/>
  <c r="AN7" i="2"/>
  <c r="AG6" i="2"/>
  <c r="Y5" i="2"/>
  <c r="AK3" i="2"/>
  <c r="AD2" i="2"/>
  <c r="E41" i="2"/>
  <c r="O40" i="2"/>
  <c r="K40" i="2"/>
  <c r="G40" i="2"/>
  <c r="C40" i="2"/>
  <c r="R39" i="2"/>
  <c r="N39" i="2"/>
  <c r="J39" i="2"/>
  <c r="F39" i="2"/>
  <c r="B39" i="2"/>
  <c r="L38" i="2"/>
  <c r="H38" i="2"/>
  <c r="D38" i="2"/>
  <c r="N37" i="2"/>
  <c r="J37" i="2"/>
  <c r="B37" i="2"/>
  <c r="L36" i="2"/>
  <c r="H36" i="2"/>
  <c r="D36" i="2"/>
  <c r="S35" i="2"/>
  <c r="O35" i="2"/>
  <c r="G35" i="2"/>
  <c r="C35" i="2"/>
  <c r="M34" i="2"/>
  <c r="E34" i="2"/>
  <c r="O33" i="2"/>
  <c r="K33" i="2"/>
  <c r="C33" i="2"/>
  <c r="M32" i="2"/>
  <c r="I32" i="2"/>
  <c r="E32" i="2"/>
  <c r="T31" i="2"/>
  <c r="P31" i="2"/>
  <c r="L31" i="2"/>
  <c r="H31" i="2"/>
  <c r="D31" i="2"/>
  <c r="N30" i="2"/>
  <c r="J30" i="2"/>
  <c r="F30" i="2"/>
  <c r="B30" i="2"/>
  <c r="L29" i="2"/>
  <c r="D29" i="2"/>
  <c r="N28" i="2"/>
  <c r="J28" i="2"/>
  <c r="F28" i="2"/>
  <c r="B28" i="2"/>
  <c r="Q27" i="2"/>
  <c r="M27" i="2"/>
  <c r="I27" i="2"/>
  <c r="E27" i="2"/>
  <c r="O26" i="2"/>
  <c r="K26" i="2"/>
  <c r="G26" i="2"/>
  <c r="C26" i="2"/>
  <c r="M25" i="2"/>
  <c r="E25" i="2"/>
  <c r="O24" i="2"/>
  <c r="K24" i="2"/>
  <c r="G24" i="2"/>
  <c r="C24" i="2"/>
  <c r="N23" i="2"/>
  <c r="F23" i="2"/>
  <c r="L22" i="2"/>
  <c r="D22" i="2"/>
  <c r="B21" i="2"/>
  <c r="H20" i="2"/>
  <c r="S19" i="2"/>
  <c r="C19" i="2"/>
  <c r="I18" i="2"/>
  <c r="O17" i="2"/>
  <c r="G17" i="2"/>
  <c r="M16" i="2"/>
  <c r="E16" i="2"/>
  <c r="P15" i="2"/>
  <c r="H15" i="2"/>
  <c r="N14" i="2"/>
  <c r="F14" i="2"/>
  <c r="L13" i="2"/>
  <c r="D13" i="2"/>
  <c r="J12" i="2"/>
  <c r="B12" i="2"/>
  <c r="M11" i="2"/>
  <c r="E11" i="2"/>
  <c r="K10" i="2"/>
  <c r="C10" i="2"/>
  <c r="I9" i="2"/>
  <c r="O8" i="2"/>
  <c r="G8" i="2"/>
  <c r="R7" i="2"/>
  <c r="J7" i="2"/>
  <c r="B7" i="2"/>
  <c r="H6" i="2"/>
  <c r="N5" i="2"/>
  <c r="F5" i="2"/>
  <c r="L4" i="2"/>
  <c r="D4" i="2"/>
  <c r="O3" i="2"/>
  <c r="G3" i="2"/>
  <c r="M2" i="2"/>
  <c r="C2" i="2"/>
  <c r="G2" i="2"/>
  <c r="K2" i="2"/>
  <c r="O2" i="2"/>
  <c r="E3" i="2"/>
  <c r="I3" i="2"/>
  <c r="M3" i="2"/>
  <c r="Q3" i="2"/>
  <c r="B4" i="2"/>
  <c r="F4" i="2"/>
  <c r="J4" i="2"/>
  <c r="N4" i="2"/>
  <c r="D5" i="2"/>
  <c r="H5" i="2"/>
  <c r="L5" i="2"/>
  <c r="B6" i="2"/>
  <c r="F6" i="2"/>
  <c r="J6" i="2"/>
  <c r="N6" i="2"/>
  <c r="D7" i="2"/>
  <c r="H7" i="2"/>
  <c r="L7" i="2"/>
  <c r="P7" i="2"/>
  <c r="T7" i="2"/>
  <c r="E8" i="2"/>
  <c r="I8" i="2"/>
  <c r="M8" i="2"/>
  <c r="C9" i="2"/>
  <c r="G9" i="2"/>
  <c r="K9" i="2"/>
  <c r="O9" i="2"/>
  <c r="E10" i="2"/>
  <c r="I10" i="2"/>
  <c r="M10" i="2"/>
  <c r="C11" i="2"/>
  <c r="G11" i="2"/>
  <c r="K11" i="2"/>
  <c r="O11" i="2"/>
  <c r="S11" i="2"/>
  <c r="D12" i="2"/>
  <c r="H12" i="2"/>
  <c r="L12" i="2"/>
  <c r="B13" i="2"/>
  <c r="F13" i="2"/>
  <c r="J13" i="2"/>
  <c r="N13" i="2"/>
  <c r="D14" i="2"/>
  <c r="H14" i="2"/>
  <c r="L14" i="2"/>
  <c r="B15" i="2"/>
  <c r="F15" i="2"/>
  <c r="J15" i="2"/>
  <c r="N15" i="2"/>
  <c r="R15" i="2"/>
  <c r="C16" i="2"/>
  <c r="G16" i="2"/>
  <c r="K16" i="2"/>
  <c r="O16" i="2"/>
  <c r="E17" i="2"/>
  <c r="I17" i="2"/>
  <c r="M17" i="2"/>
  <c r="C18" i="2"/>
  <c r="G18" i="2"/>
  <c r="K18" i="2"/>
  <c r="O18" i="2"/>
  <c r="E19" i="2"/>
  <c r="I19" i="2"/>
  <c r="M19" i="2"/>
  <c r="Q19" i="2"/>
  <c r="B20" i="2"/>
  <c r="F20" i="2"/>
  <c r="J20" i="2"/>
  <c r="N20" i="2"/>
  <c r="D21" i="2"/>
  <c r="H21" i="2"/>
  <c r="L21" i="2"/>
  <c r="B22" i="2"/>
  <c r="F22" i="2"/>
  <c r="J22" i="2"/>
  <c r="N22" i="2"/>
  <c r="D23" i="2"/>
  <c r="H23" i="2"/>
  <c r="L23" i="2"/>
  <c r="P23" i="2"/>
  <c r="T23" i="2"/>
  <c r="D2" i="2"/>
  <c r="H2" i="2"/>
  <c r="L2" i="2"/>
  <c r="B3" i="2"/>
  <c r="F3" i="2"/>
  <c r="J3" i="2"/>
  <c r="N3" i="2"/>
  <c r="R3" i="2"/>
  <c r="C4" i="2"/>
  <c r="G4" i="2"/>
  <c r="K4" i="2"/>
  <c r="O4" i="2"/>
  <c r="E5" i="2"/>
  <c r="I5" i="2"/>
  <c r="M5" i="2"/>
  <c r="C6" i="2"/>
  <c r="G6" i="2"/>
  <c r="K6" i="2"/>
  <c r="O6" i="2"/>
  <c r="E7" i="2"/>
  <c r="I7" i="2"/>
  <c r="M7" i="2"/>
  <c r="Q7" i="2"/>
  <c r="B8" i="2"/>
  <c r="F8" i="2"/>
  <c r="J8" i="2"/>
  <c r="N8" i="2"/>
  <c r="D9" i="2"/>
  <c r="H9" i="2"/>
  <c r="L9" i="2"/>
  <c r="B10" i="2"/>
  <c r="F10" i="2"/>
  <c r="J10" i="2"/>
  <c r="N10" i="2"/>
  <c r="D11" i="2"/>
  <c r="H11" i="2"/>
  <c r="L11" i="2"/>
  <c r="P11" i="2"/>
  <c r="T11" i="2"/>
  <c r="E12" i="2"/>
  <c r="I12" i="2"/>
  <c r="M12" i="2"/>
  <c r="C13" i="2"/>
  <c r="G13" i="2"/>
  <c r="K13" i="2"/>
  <c r="O13" i="2"/>
  <c r="E14" i="2"/>
  <c r="I14" i="2"/>
  <c r="M14" i="2"/>
  <c r="C15" i="2"/>
  <c r="G15" i="2"/>
  <c r="O15" i="2"/>
  <c r="S15" i="2"/>
  <c r="D16" i="2"/>
  <c r="H16" i="2"/>
  <c r="L16" i="2"/>
  <c r="B17" i="2"/>
  <c r="F17" i="2"/>
  <c r="J17" i="2"/>
  <c r="N17" i="2"/>
  <c r="D18" i="2"/>
  <c r="H18" i="2"/>
  <c r="L18" i="2"/>
  <c r="B19" i="2"/>
  <c r="F19" i="2"/>
  <c r="J19" i="2"/>
  <c r="N19" i="2"/>
  <c r="R19" i="2"/>
  <c r="C20" i="2"/>
  <c r="K20" i="2"/>
  <c r="O20" i="2"/>
  <c r="E21" i="2"/>
  <c r="I21" i="2"/>
  <c r="M21" i="2"/>
  <c r="C22" i="2"/>
  <c r="G22" i="2"/>
  <c r="K22" i="2"/>
  <c r="O22" i="2"/>
  <c r="E23" i="2"/>
  <c r="I23" i="2"/>
  <c r="M23" i="2"/>
  <c r="Q23" i="2"/>
  <c r="B24" i="2"/>
  <c r="AC34" i="2"/>
  <c r="AD28" i="2"/>
  <c r="AF19" i="2"/>
  <c r="AC3" i="2"/>
  <c r="AA37" i="2"/>
  <c r="AD34" i="2"/>
  <c r="AE32" i="2"/>
  <c r="AC24" i="2"/>
  <c r="AF17" i="2"/>
  <c r="AF34" i="2"/>
  <c r="AB34" i="2"/>
  <c r="AF31" i="2"/>
  <c r="AD25" i="2"/>
  <c r="AB20" i="2"/>
  <c r="K17" i="2"/>
  <c r="K23" i="2"/>
  <c r="I28" i="2"/>
  <c r="G33" i="2"/>
  <c r="F34" i="2"/>
  <c r="J34" i="2"/>
  <c r="K15" i="2"/>
  <c r="G20" i="2"/>
  <c r="I25" i="2"/>
  <c r="K31" i="2"/>
  <c r="K36" i="2"/>
  <c r="H34" i="2"/>
  <c r="N2" i="2"/>
  <c r="G62" i="2"/>
  <c r="F56" i="2"/>
  <c r="B60" i="2"/>
  <c r="P39" i="2"/>
  <c r="H45" i="2"/>
  <c r="K57" i="2"/>
  <c r="G61" i="2"/>
  <c r="C57" i="2"/>
  <c r="D49" i="2"/>
  <c r="B62" i="2"/>
  <c r="F58" i="2"/>
  <c r="M51" i="2"/>
  <c r="L51" i="2"/>
  <c r="J41" i="2"/>
  <c r="O61" i="2"/>
  <c r="E59" i="2"/>
  <c r="N54" i="2"/>
  <c r="I49" i="2"/>
  <c r="B33" i="2"/>
  <c r="M56" i="2"/>
  <c r="I54" i="2"/>
  <c r="R51" i="2"/>
  <c r="N48" i="2"/>
  <c r="C43" i="2"/>
  <c r="Q31" i="2"/>
  <c r="K62" i="2"/>
  <c r="J60" i="2"/>
  <c r="J58" i="2"/>
  <c r="B56" i="2"/>
  <c r="K53" i="2"/>
  <c r="F51" i="2"/>
  <c r="J47" i="2"/>
  <c r="E40" i="2"/>
  <c r="E18" i="2"/>
  <c r="E62" i="2"/>
  <c r="K60" i="2"/>
  <c r="D59" i="2"/>
  <c r="H57" i="2"/>
  <c r="L55" i="2"/>
  <c r="L53" i="2"/>
  <c r="Q51" i="2"/>
  <c r="B50" i="2"/>
  <c r="D46" i="2"/>
  <c r="D41" i="2"/>
  <c r="D26" i="2"/>
  <c r="D62" i="2"/>
  <c r="B61" i="2"/>
  <c r="N59" i="2"/>
  <c r="L58" i="2"/>
  <c r="G57" i="2"/>
  <c r="S55" i="2"/>
  <c r="K54" i="2"/>
  <c r="D53" i="2"/>
  <c r="P51" i="2"/>
  <c r="H50" i="2"/>
  <c r="R47" i="2"/>
  <c r="K44" i="2"/>
  <c r="J40" i="2"/>
  <c r="D34" i="2"/>
  <c r="O12" i="2"/>
  <c r="E57" i="2"/>
  <c r="C56" i="2"/>
  <c r="F55" i="2"/>
  <c r="D54" i="2"/>
  <c r="B53" i="2"/>
  <c r="S51" i="2"/>
  <c r="C51" i="2"/>
  <c r="M49" i="2"/>
  <c r="N47" i="2"/>
  <c r="D45" i="2"/>
  <c r="H42" i="2"/>
  <c r="C39" i="2"/>
  <c r="D35" i="2"/>
  <c r="N29" i="2"/>
  <c r="O10" i="2"/>
  <c r="T35" i="2"/>
  <c r="C31" i="2"/>
  <c r="I20" i="2"/>
  <c r="J21" i="2"/>
  <c r="J32" i="2"/>
  <c r="I34" i="2"/>
  <c r="D8" i="2"/>
  <c r="N60" i="2"/>
  <c r="J54" i="2"/>
  <c r="J52" i="2"/>
  <c r="C54" i="2"/>
  <c r="H59" i="2"/>
  <c r="T51" i="2"/>
  <c r="O60" i="2"/>
  <c r="G55" i="2"/>
  <c r="K28" i="2"/>
  <c r="J36" i="2"/>
  <c r="I60" i="2"/>
  <c r="Q55" i="2"/>
  <c r="B47" i="2"/>
  <c r="E58" i="2"/>
  <c r="D55" i="2"/>
  <c r="H51" i="2"/>
  <c r="F46" i="2"/>
  <c r="L35" i="2"/>
  <c r="C62" i="2"/>
  <c r="K59" i="2"/>
  <c r="L56" i="2"/>
  <c r="O52" i="2"/>
  <c r="L49" i="2"/>
  <c r="L42" i="2"/>
  <c r="I2" i="2"/>
  <c r="H61" i="2"/>
  <c r="I59" i="2"/>
  <c r="N56" i="2"/>
  <c r="M54" i="2"/>
  <c r="E52" i="2"/>
  <c r="O48" i="2"/>
  <c r="J43" i="2"/>
  <c r="I30" i="2"/>
  <c r="N61" i="2"/>
  <c r="H60" i="2"/>
  <c r="B59" i="2"/>
  <c r="B57" i="2"/>
  <c r="H55" i="2"/>
  <c r="I53" i="2"/>
  <c r="J51" i="2"/>
  <c r="H49" i="2"/>
  <c r="I45" i="2"/>
  <c r="K39" i="2"/>
  <c r="H28" i="2"/>
  <c r="I57" i="2"/>
  <c r="R55" i="2"/>
  <c r="L54" i="2"/>
  <c r="F53" i="2"/>
  <c r="O51" i="2"/>
  <c r="I50" i="2"/>
  <c r="C48" i="2"/>
  <c r="G44" i="2"/>
  <c r="M40" i="2"/>
  <c r="B36" i="2"/>
  <c r="N24" i="2"/>
  <c r="O37" i="2"/>
  <c r="D32" i="2"/>
  <c r="I15" i="2"/>
  <c r="G29" i="2"/>
  <c r="E24" i="2"/>
  <c r="J14" i="2"/>
  <c r="T3" i="2"/>
  <c r="D24" i="2"/>
  <c r="G14" i="2"/>
  <c r="P3" i="2"/>
  <c r="C49" i="2"/>
  <c r="T47" i="2"/>
  <c r="D47" i="2"/>
  <c r="L45" i="2"/>
  <c r="D44" i="2"/>
  <c r="B43" i="2"/>
  <c r="I41" i="2"/>
  <c r="M39" i="2"/>
  <c r="M37" i="2"/>
  <c r="Q35" i="2"/>
  <c r="F33" i="2"/>
  <c r="G30" i="2"/>
  <c r="O27" i="2"/>
  <c r="F25" i="2"/>
  <c r="G21" i="2"/>
  <c r="E15" i="2"/>
  <c r="F16" i="2"/>
  <c r="K27" i="2"/>
  <c r="K35" i="2"/>
  <c r="O46" i="2"/>
  <c r="L61" i="2"/>
  <c r="N58" i="2"/>
  <c r="I61" i="2"/>
  <c r="I37" i="2"/>
  <c r="I55" i="2"/>
  <c r="N32" i="2"/>
  <c r="G59" i="2"/>
  <c r="F48" i="2"/>
  <c r="Q47" i="2"/>
  <c r="I62" i="2"/>
  <c r="I58" i="2"/>
  <c r="C52" i="2"/>
  <c r="D40" i="2"/>
  <c r="D56" i="2"/>
  <c r="C53" i="2"/>
  <c r="D50" i="2"/>
  <c r="F41" i="2"/>
  <c r="S7" i="2"/>
  <c r="D61" i="2"/>
  <c r="B58" i="2"/>
  <c r="O54" i="2"/>
  <c r="N51" i="2"/>
  <c r="M45" i="2"/>
  <c r="J35" i="2"/>
  <c r="J62" i="2"/>
  <c r="F60" i="2"/>
  <c r="G58" i="2"/>
  <c r="T55" i="2"/>
  <c r="E53" i="2"/>
  <c r="B51" i="2"/>
  <c r="E47" i="2"/>
  <c r="H39" i="2"/>
  <c r="L62" i="2"/>
  <c r="F61" i="2"/>
  <c r="J59" i="2"/>
  <c r="D58" i="2"/>
  <c r="E56" i="2"/>
  <c r="F54" i="2"/>
  <c r="G52" i="2"/>
  <c r="N50" i="2"/>
  <c r="I47" i="2"/>
  <c r="M42" i="2"/>
  <c r="G36" i="2"/>
  <c r="C58" i="2"/>
  <c r="K56" i="2"/>
  <c r="J55" i="2"/>
  <c r="N53" i="2"/>
  <c r="H52" i="2"/>
  <c r="G51" i="2"/>
  <c r="E49" i="2"/>
  <c r="K46" i="2"/>
  <c r="E43" i="2"/>
  <c r="C38" i="2"/>
  <c r="F32" i="2"/>
  <c r="Q15" i="2"/>
  <c r="N34" i="2"/>
  <c r="H27" i="2"/>
  <c r="J5" i="2"/>
  <c r="N26" i="2"/>
  <c r="L19" i="2"/>
  <c r="J9" i="2"/>
  <c r="M26" i="2"/>
  <c r="G19" i="2"/>
  <c r="F9" i="2"/>
  <c r="K49" i="2"/>
  <c r="I48" i="2"/>
  <c r="L47" i="2"/>
  <c r="H46" i="2"/>
  <c r="O44" i="2"/>
  <c r="M43" i="2"/>
  <c r="E42" i="2"/>
  <c r="I40" i="2"/>
  <c r="N38" i="2"/>
  <c r="M36" i="2"/>
  <c r="L34" i="2"/>
  <c r="C32" i="2"/>
  <c r="B29" i="2"/>
  <c r="L26" i="2"/>
  <c r="O23" i="2"/>
  <c r="N18" i="2"/>
  <c r="G12" i="2"/>
  <c r="N7" i="2"/>
  <c r="N49" i="2"/>
  <c r="L48" i="2"/>
  <c r="O47" i="2"/>
  <c r="L46" i="2"/>
  <c r="E45" i="2"/>
  <c r="Q43" i="2"/>
  <c r="I42" i="2"/>
  <c r="N40" i="2"/>
  <c r="E39" i="2"/>
  <c r="D37" i="2"/>
  <c r="M33" i="2"/>
  <c r="O30" i="2"/>
  <c r="C28" i="2"/>
  <c r="L25" i="2"/>
  <c r="P19" i="2"/>
  <c r="D15" i="2"/>
  <c r="M9" i="2"/>
  <c r="I4" i="2"/>
  <c r="D3" i="2"/>
  <c r="K3" i="2"/>
  <c r="G7" i="2"/>
  <c r="B11" i="2"/>
  <c r="K14" i="2"/>
  <c r="J18" i="2"/>
  <c r="E22" i="2"/>
  <c r="B25" i="2"/>
  <c r="C27" i="2"/>
  <c r="L28" i="2"/>
  <c r="L30" i="2"/>
  <c r="H32" i="2"/>
  <c r="O34" i="2"/>
  <c r="I36" i="2"/>
  <c r="B38" i="2"/>
  <c r="I39" i="2"/>
  <c r="L40" i="2"/>
  <c r="B42" i="2"/>
  <c r="D43" i="2"/>
  <c r="T43" i="2"/>
  <c r="C45" i="2"/>
  <c r="E46" i="2"/>
  <c r="J48" i="2"/>
  <c r="M52" i="2"/>
  <c r="J56" i="2"/>
  <c r="D60" i="2"/>
  <c r="E13" i="2"/>
  <c r="B48" i="2"/>
  <c r="E54" i="2"/>
  <c r="M58" i="2"/>
  <c r="O62" i="2"/>
  <c r="G48" i="2"/>
  <c r="K55" i="2"/>
  <c r="K61" i="2"/>
  <c r="F44" i="2"/>
  <c r="M53" i="2"/>
  <c r="S43" i="2"/>
  <c r="M59" i="2"/>
  <c r="F50" i="2"/>
  <c r="E60" i="2"/>
  <c r="K58" i="2"/>
  <c r="M62" i="2"/>
  <c r="N52" i="2"/>
  <c r="H29" i="2"/>
  <c r="DE1" i="1"/>
  <c r="DF1" i="1"/>
  <c r="AS3" i="2"/>
  <c r="AR7" i="2"/>
  <c r="AS5" i="2"/>
  <c r="AR3" i="2"/>
  <c r="AR5" i="2"/>
  <c r="AS2" i="2"/>
  <c r="AR4" i="2"/>
  <c r="AS6" i="2"/>
  <c r="AR2" i="2"/>
  <c r="AR6" i="2"/>
  <c r="AS4" i="2"/>
  <c r="AS7" i="2"/>
  <c r="DE22" i="1"/>
  <c r="DE23" i="1"/>
  <c r="DF23" i="1"/>
  <c r="DF22" i="1"/>
</calcChain>
</file>

<file path=xl/sharedStrings.xml><?xml version="1.0" encoding="utf-8"?>
<sst xmlns="http://schemas.openxmlformats.org/spreadsheetml/2006/main" count="1288" uniqueCount="127">
  <si>
    <t>p</t>
    <phoneticPr fontId="1" type="noConversion"/>
  </si>
  <si>
    <t>t</t>
    <phoneticPr fontId="1" type="noConversion"/>
  </si>
  <si>
    <t>v</t>
    <phoneticPr fontId="1" type="noConversion"/>
  </si>
  <si>
    <t>w</t>
    <phoneticPr fontId="1" type="noConversion"/>
  </si>
  <si>
    <t>Q</t>
    <phoneticPr fontId="1" type="noConversion"/>
  </si>
  <si>
    <t>R</t>
    <phoneticPr fontId="1" type="noConversion"/>
  </si>
  <si>
    <t>Y</t>
    <phoneticPr fontId="1" type="noConversion"/>
  </si>
  <si>
    <t>S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</si>
  <si>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</si>
  <si>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</si>
  <si>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</si>
  <si>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N</t>
    <phoneticPr fontId="1" type="noConversion"/>
  </si>
  <si>
    <t>M</t>
    <phoneticPr fontId="1" type="noConversion"/>
  </si>
  <si>
    <t>l</t>
    <phoneticPr fontId="1" type="noConversion"/>
  </si>
  <si>
    <t>u</t>
    <phoneticPr fontId="1" type="noConversion"/>
  </si>
  <si>
    <t>Player 1</t>
    <phoneticPr fontId="1" type="noConversion"/>
  </si>
  <si>
    <t>Player 2</t>
    <phoneticPr fontId="1" type="noConversion"/>
  </si>
  <si>
    <t>x</t>
  </si>
  <si>
    <t>Game 1</t>
  </si>
  <si>
    <t>Game 2</t>
  </si>
  <si>
    <t>Game 3</t>
  </si>
  <si>
    <t>Game 4</t>
  </si>
  <si>
    <t>Game 5</t>
  </si>
  <si>
    <t>Game 6</t>
  </si>
  <si>
    <t>Game 7</t>
  </si>
  <si>
    <t>Game 8</t>
  </si>
  <si>
    <t>Game 9</t>
  </si>
  <si>
    <t>Game 10</t>
  </si>
  <si>
    <t>Game 11</t>
  </si>
  <si>
    <t>Game 12</t>
  </si>
  <si>
    <t>Game 13</t>
  </si>
  <si>
    <t>Game 14</t>
  </si>
  <si>
    <t>Game 15</t>
  </si>
  <si>
    <t>Game 16</t>
  </si>
  <si>
    <t>Game 17</t>
  </si>
  <si>
    <t>Game 18</t>
  </si>
  <si>
    <t>Game 19</t>
  </si>
  <si>
    <t>Game 20</t>
  </si>
  <si>
    <t>Player1</t>
    <phoneticPr fontId="1" type="noConversion"/>
  </si>
  <si>
    <t>Player2</t>
    <phoneticPr fontId="1" type="noConversion"/>
  </si>
  <si>
    <t>Name</t>
    <phoneticPr fontId="1" type="noConversion"/>
  </si>
  <si>
    <t>Step</t>
    <phoneticPr fontId="1" type="noConversion"/>
  </si>
  <si>
    <t>Date</t>
    <phoneticPr fontId="1" type="noConversion"/>
  </si>
  <si>
    <t>Time</t>
    <phoneticPr fontId="1" type="noConversion"/>
  </si>
  <si>
    <t>Completed</t>
    <phoneticPr fontId="1" type="noConversion"/>
  </si>
  <si>
    <t>Winner</t>
    <phoneticPr fontId="1" type="noConversion"/>
  </si>
  <si>
    <t>Game 21</t>
  </si>
  <si>
    <t>Game 22</t>
  </si>
  <si>
    <t>Game 23</t>
  </si>
  <si>
    <t>Game 24</t>
  </si>
  <si>
    <t>Game 25</t>
  </si>
  <si>
    <t>Game 26</t>
  </si>
  <si>
    <t>Game 27</t>
  </si>
  <si>
    <t>Game 28</t>
  </si>
  <si>
    <t>Game 29</t>
  </si>
  <si>
    <t>Game 30</t>
  </si>
  <si>
    <t>Game 31</t>
  </si>
  <si>
    <t>Game 32</t>
  </si>
  <si>
    <t>Game 33</t>
  </si>
  <si>
    <t>Game 34</t>
  </si>
  <si>
    <t>Game 35</t>
  </si>
  <si>
    <t>Game 36</t>
  </si>
  <si>
    <t>Game 37</t>
  </si>
  <si>
    <t>Game 38</t>
  </si>
  <si>
    <t>Game 39</t>
  </si>
  <si>
    <t>Game 40</t>
  </si>
  <si>
    <t>Game 41</t>
  </si>
  <si>
    <t>Game 42</t>
  </si>
  <si>
    <t>Game 43</t>
  </si>
  <si>
    <t>Game 44</t>
  </si>
  <si>
    <t>Game 45</t>
  </si>
  <si>
    <t>Game 46</t>
  </si>
  <si>
    <t>Game 47</t>
  </si>
  <si>
    <t>Game 48</t>
  </si>
  <si>
    <t>Game 49</t>
  </si>
  <si>
    <t>Game 50</t>
  </si>
  <si>
    <t>Game 51</t>
  </si>
  <si>
    <t>Game 52</t>
  </si>
  <si>
    <t>Game 53</t>
  </si>
  <si>
    <t>Game 54</t>
  </si>
  <si>
    <t>Game 55</t>
  </si>
  <si>
    <t>Game 56</t>
  </si>
  <si>
    <t>Game 57</t>
  </si>
  <si>
    <t>Game 58</t>
  </si>
  <si>
    <t>Game 59</t>
  </si>
  <si>
    <t>Game 60</t>
  </si>
  <si>
    <t>Game 61</t>
  </si>
  <si>
    <t>Game 62</t>
  </si>
  <si>
    <t>Game 63</t>
  </si>
  <si>
    <t>Game 64</t>
  </si>
  <si>
    <t>Game 65</t>
  </si>
  <si>
    <t>Game 66</t>
  </si>
  <si>
    <t>Game 67</t>
  </si>
  <si>
    <t>Game 68</t>
  </si>
  <si>
    <t>Game 69</t>
  </si>
  <si>
    <t>Game 70</t>
  </si>
  <si>
    <t>Game 71</t>
  </si>
  <si>
    <t>Game 72</t>
  </si>
  <si>
    <t>Game 73</t>
  </si>
  <si>
    <t>Game 74</t>
  </si>
  <si>
    <t>Game 75</t>
  </si>
  <si>
    <t>Game 76</t>
  </si>
  <si>
    <t>Game 77</t>
  </si>
  <si>
    <t>Game 78</t>
  </si>
  <si>
    <t>Game 79</t>
  </si>
  <si>
    <t>Game 80</t>
  </si>
  <si>
    <t>Game 81</t>
  </si>
  <si>
    <t>Game 82</t>
  </si>
  <si>
    <t>Game 83</t>
  </si>
  <si>
    <t>Game 84</t>
  </si>
  <si>
    <t>Game 85</t>
  </si>
  <si>
    <t>Game 86</t>
  </si>
  <si>
    <t>Game 87</t>
  </si>
  <si>
    <t>Game 88</t>
  </si>
  <si>
    <t>Game 89</t>
  </si>
  <si>
    <t>Game 90</t>
  </si>
  <si>
    <t>Game 91</t>
  </si>
  <si>
    <t>Game 92</t>
  </si>
  <si>
    <t>Game 93</t>
  </si>
  <si>
    <t>Game 94</t>
  </si>
  <si>
    <t>Game 95</t>
  </si>
  <si>
    <t>Game 96</t>
  </si>
  <si>
    <t>Game 97</t>
  </si>
  <si>
    <t>Game 98</t>
  </si>
  <si>
    <t>Game 99</t>
  </si>
  <si>
    <t>Game 100</t>
  </si>
  <si>
    <t>Name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</si>
</sst>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);[Red]\(0\)"/>
  </numFmts>
  <fonts count="2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u/>
      <sz val="12"/>
      <color theme="11"/>
      <name val="新細明體"/>
      <family val="2"/>
      <charset val="136"/>
      <scheme val="minor"/>
    </font>
    <font>
      <sz val="12"/>
      <color theme="1"/>
      <name val="Wingdings"/>
      <charset val="2"/>
    </font>
    <font>
      <sz val="12"/>
      <name val="新細明體"/>
      <family val="2"/>
      <charset val="136"/>
      <scheme val="minor"/>
    </font>
    <font>
      <sz val="40"/>
      <name val="Wingdings"/>
      <charset val="2"/>
    </font>
    <font>
      <sz val="60"/>
      <color theme="1"/>
      <name val="Rockwell Extra Bold"/>
    </font>
    <font>
      <sz val="100"/>
      <color theme="1"/>
      <name val="Wingdings"/>
      <charset val="2"/>
    </font>
    <font>
      <sz val="1"/>
      <color theme="0" tint="-0.249977111117893"/>
      <name val="新細明體"/>
      <family val="1"/>
      <charset val="136"/>
      <scheme val="minor"/>
    </font>
    <font>
      <sz val="1"/>
      <color theme="0" tint="-4.9989318521683403E-2"/>
      <name val="新細明體"/>
      <family val="1"/>
      <charset val="136"/>
      <scheme val="minor"/>
    </font>
    <font>
      <sz val="1"/>
      <color theme="0" tint="-0.34998626667073579"/>
      <name val="新細明體"/>
      <family val="1"/>
      <charset val="136"/>
      <scheme val="minor"/>
    </font>
    <font>
      <sz val="1"/>
      <color theme="1" tint="0.34998626667073579"/>
      <name val="新細明體"/>
      <family val="1"/>
      <charset val="136"/>
      <scheme val="minor"/>
    </font>
    <font>
      <sz val="1"/>
      <color theme="1" tint="0.249977111117893"/>
      <name val="新細明體"/>
      <family val="1"/>
      <charset val="136"/>
      <scheme val="minor"/>
    </font>
    <font>
      <sz val="1"/>
      <color theme="0" tint="-0.499984740745262"/>
      <name val="新細明體"/>
      <family val="1"/>
      <charset val="136"/>
      <scheme val="minor"/>
    </font>
    <font>
      <sz val="1"/>
      <color theme="0" tint="-0.14999847407452621"/>
      <name val="新細明體"/>
      <family val="1"/>
      <charset val="136"/>
      <scheme val="minor"/>
    </font>
    <font>
      <sz val="60"/>
      <color theme="0" tint="-0.499984740745262"/>
      <name val="Rockwell Extra Bold"/>
    </font>
    <font>
      <sz val="100"/>
      <color theme="0" tint="-0.499984740745262"/>
      <name val="Wingdings"/>
      <charset val="2"/>
    </font>
    <font>
      <sz val="12"/>
      <color theme="0" tint="-0.499984740745262"/>
      <name val="新細明體"/>
      <family val="2"/>
      <charset val="136"/>
      <scheme val="minor"/>
    </font>
    <font>
      <sz val="100"/>
      <color theme="5" tint="-0.499984740745262"/>
      <name val="Rockwell Extra Bold"/>
    </font>
    <font>
      <sz val="1"/>
      <name val="新細明體"/>
      <family val="1"/>
      <charset val="136"/>
      <scheme val="minor"/>
    </font>
    <font>
      <sz val="36"/>
      <color rgb="FF000000"/>
      <name val="Osaka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34">
    <border>
      <left/>
      <right/>
      <top/>
      <bottom/>
      <diagonal/>
    </border>
    <border>
      <left style="medium">
        <color theme="0" tint="-4.9989318521683403E-2"/>
      </left>
      <right/>
      <top/>
      <bottom/>
      <diagonal/>
    </border>
    <border>
      <left style="medium">
        <color theme="0" tint="-4.9989318521683403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1" tint="0.249977111117893"/>
      </top>
      <bottom/>
      <diagonal/>
    </border>
    <border>
      <left style="medium">
        <color theme="1" tint="0.249977111117893"/>
      </left>
      <right/>
      <top/>
      <bottom style="medium">
        <color theme="0" tint="-4.9989318521683403E-2"/>
      </bottom>
      <diagonal/>
    </border>
    <border>
      <left/>
      <right style="medium">
        <color theme="0" tint="-4.9989318521683403E-2"/>
      </right>
      <top/>
      <bottom style="medium">
        <color theme="0" tint="-4.9989318521683403E-2"/>
      </bottom>
      <diagonal/>
    </border>
    <border>
      <left style="medium">
        <color theme="1" tint="0.249977111117893"/>
      </left>
      <right/>
      <top style="medium">
        <color theme="1" tint="0.249977111117893"/>
      </top>
      <bottom/>
      <diagonal/>
    </border>
    <border>
      <left style="medium">
        <color theme="1" tint="0.249977111117893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/>
      <right/>
      <top style="medium">
        <color theme="1" tint="0.249977111117893"/>
      </top>
      <bottom/>
      <diagonal/>
    </border>
    <border>
      <left/>
      <right/>
      <top/>
      <bottom style="medium">
        <color theme="0" tint="-4.9989318521683403E-2"/>
      </bottom>
      <diagonal/>
    </border>
    <border>
      <left style="medium">
        <color theme="0" tint="-4.9989318521683403E-2"/>
      </left>
      <right style="medium">
        <color theme="1" tint="0.24994659260841701"/>
      </right>
      <top style="medium">
        <color theme="0" tint="-4.9989318521683403E-2"/>
      </top>
      <bottom style="medium">
        <color theme="1" tint="0.2499465926084170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medium">
        <color theme="1" tint="0.14996795556505021"/>
      </right>
      <top style="medium">
        <color theme="0" tint="-4.9989318521683403E-2"/>
      </top>
      <bottom/>
      <diagonal/>
    </border>
    <border>
      <left/>
      <right style="medium">
        <color theme="1" tint="0.14996795556505021"/>
      </right>
      <top/>
      <bottom/>
      <diagonal/>
    </border>
    <border>
      <left style="medium">
        <color theme="0" tint="-4.9989318521683403E-2"/>
      </left>
      <right/>
      <top/>
      <bottom style="medium">
        <color theme="1" tint="0.14996795556505021"/>
      </bottom>
      <diagonal/>
    </border>
    <border>
      <left/>
      <right/>
      <top/>
      <bottom style="medium">
        <color theme="1" tint="0.14996795556505021"/>
      </bottom>
      <diagonal/>
    </border>
    <border>
      <left/>
      <right style="medium">
        <color theme="1" tint="0.14996795556505021"/>
      </right>
      <top/>
      <bottom style="medium">
        <color theme="1" tint="0.14996795556505021"/>
      </bottom>
      <diagonal/>
    </border>
    <border>
      <left/>
      <right style="medium">
        <color theme="1" tint="0.24994659260841701"/>
      </right>
      <top style="medium">
        <color theme="0" tint="-4.9989318521683403E-2"/>
      </top>
      <bottom/>
      <diagonal/>
    </border>
    <border>
      <left/>
      <right style="medium">
        <color theme="1" tint="0.24994659260841701"/>
      </right>
      <top/>
      <bottom/>
      <diagonal/>
    </border>
    <border>
      <left style="medium">
        <color theme="0" tint="-4.9989318521683403E-2"/>
      </left>
      <right/>
      <top/>
      <bottom style="medium">
        <color theme="1" tint="0.24994659260841701"/>
      </bottom>
      <diagonal/>
    </border>
    <border>
      <left/>
      <right/>
      <top/>
      <bottom style="medium">
        <color theme="1" tint="0.24994659260841701"/>
      </bottom>
      <diagonal/>
    </border>
    <border>
      <left/>
      <right style="medium">
        <color theme="1" tint="0.24994659260841701"/>
      </right>
      <top/>
      <bottom style="medium">
        <color theme="1" tint="0.24994659260841701"/>
      </bottom>
      <diagonal/>
    </border>
  </borders>
  <cellStyleXfs count="126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2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4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9" fillId="2" borderId="0" xfId="0" applyFont="1" applyFill="1" applyBorder="1" applyAlignment="1" applyProtection="1">
      <alignment horizontal="center" vertical="center"/>
    </xf>
    <xf numFmtId="0" fontId="0" fillId="0" borderId="0" xfId="0" applyFill="1" applyAlignment="1"/>
    <xf numFmtId="0" fontId="10" fillId="5" borderId="0" xfId="0" applyFont="1" applyFill="1" applyBorder="1" applyAlignment="1" applyProtection="1">
      <alignment horizontal="center" vertical="center"/>
    </xf>
    <xf numFmtId="0" fontId="11" fillId="6" borderId="0" xfId="0" applyFont="1" applyFill="1" applyBorder="1" applyAlignment="1" applyProtection="1">
      <alignment horizontal="center" vertical="center"/>
    </xf>
    <xf numFmtId="0" fontId="12" fillId="3" borderId="0" xfId="0" applyFont="1" applyFill="1" applyBorder="1" applyAlignment="1" applyProtection="1">
      <alignment horizontal="center" vertical="center"/>
    </xf>
    <xf numFmtId="0" fontId="13" fillId="7" borderId="0" xfId="0" applyFont="1" applyFill="1" applyBorder="1" applyAlignment="1" applyProtection="1">
      <alignment horizontal="center" vertical="center"/>
    </xf>
    <xf numFmtId="0" fontId="14" fillId="8" borderId="0" xfId="0" applyFont="1" applyFill="1" applyBorder="1" applyAlignment="1" applyProtection="1">
      <alignment horizontal="center" vertical="center"/>
    </xf>
    <xf numFmtId="0" fontId="15" fillId="4" borderId="0" xfId="0" applyFont="1" applyFill="1" applyBorder="1" applyAlignment="1" applyProtection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9" fillId="6" borderId="0" xfId="0" applyFont="1" applyFill="1" applyBorder="1" applyAlignment="1" applyProtection="1">
      <alignment horizontal="center" vertical="center"/>
    </xf>
    <xf numFmtId="0" fontId="15" fillId="4" borderId="3" xfId="0" applyFont="1" applyFill="1" applyBorder="1" applyAlignment="1" applyProtection="1">
      <alignment horizontal="center" vertical="center"/>
    </xf>
    <xf numFmtId="0" fontId="9" fillId="2" borderId="3" xfId="0" applyFont="1" applyFill="1" applyBorder="1" applyAlignment="1" applyProtection="1">
      <alignment horizontal="center" vertical="center"/>
    </xf>
    <xf numFmtId="0" fontId="14" fillId="8" borderId="3" xfId="0" applyFont="1" applyFill="1" applyBorder="1" applyAlignment="1" applyProtection="1">
      <alignment horizontal="center" vertical="center"/>
    </xf>
    <xf numFmtId="0" fontId="12" fillId="3" borderId="3" xfId="0" applyFont="1" applyFill="1" applyBorder="1" applyAlignment="1" applyProtection="1">
      <alignment horizontal="center" vertical="center"/>
    </xf>
    <xf numFmtId="0" fontId="15" fillId="4" borderId="1" xfId="0" applyFont="1" applyFill="1" applyBorder="1" applyAlignment="1" applyProtection="1">
      <alignment horizontal="center" vertical="center"/>
    </xf>
    <xf numFmtId="0" fontId="9" fillId="2" borderId="1" xfId="0" applyFont="1" applyFill="1" applyBorder="1" applyAlignment="1" applyProtection="1">
      <alignment horizontal="center" vertical="center"/>
    </xf>
    <xf numFmtId="0" fontId="11" fillId="6" borderId="1" xfId="0" applyFont="1" applyFill="1" applyBorder="1" applyAlignment="1" applyProtection="1">
      <alignment horizontal="center" vertical="center"/>
    </xf>
    <xf numFmtId="0" fontId="14" fillId="8" borderId="1" xfId="0" applyFont="1" applyFill="1" applyBorder="1" applyAlignment="1" applyProtection="1">
      <alignment horizontal="center" vertical="center"/>
    </xf>
    <xf numFmtId="0" fontId="12" fillId="3" borderId="1" xfId="0" applyFont="1" applyFill="1" applyBorder="1" applyAlignment="1" applyProtection="1">
      <alignment horizontal="center" vertical="center"/>
    </xf>
    <xf numFmtId="0" fontId="11" fillId="6" borderId="3" xfId="0" applyFont="1" applyFill="1" applyBorder="1" applyAlignment="1" applyProtection="1">
      <alignment horizontal="center" vertical="center"/>
    </xf>
    <xf numFmtId="0" fontId="6" fillId="2" borderId="12" xfId="0" applyFont="1" applyFill="1" applyBorder="1" applyAlignment="1" applyProtection="1">
      <alignment horizontal="center" vertical="center"/>
      <protection locked="0"/>
    </xf>
    <xf numFmtId="0" fontId="9" fillId="6" borderId="1" xfId="0" applyFont="1" applyFill="1" applyBorder="1" applyAlignment="1" applyProtection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4" fontId="0" fillId="0" borderId="20" xfId="0" applyNumberFormat="1" applyBorder="1" applyAlignment="1">
      <alignment horizontal="center" vertical="center"/>
    </xf>
    <xf numFmtId="14" fontId="0" fillId="0" borderId="13" xfId="0" applyNumberFormat="1" applyBorder="1" applyAlignment="1">
      <alignment horizontal="center" vertical="center"/>
    </xf>
    <xf numFmtId="20" fontId="0" fillId="0" borderId="14" xfId="0" applyNumberFormat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176" fontId="0" fillId="0" borderId="14" xfId="0" applyNumberFormat="1" applyBorder="1" applyAlignment="1">
      <alignment horizontal="center" vertical="center"/>
    </xf>
    <xf numFmtId="14" fontId="0" fillId="0" borderId="22" xfId="0" applyNumberFormat="1" applyBorder="1" applyAlignment="1">
      <alignment horizontal="center" vertical="center"/>
    </xf>
    <xf numFmtId="20" fontId="0" fillId="0" borderId="0" xfId="0" applyNumberFormat="1" applyBorder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0" fillId="5" borderId="2" xfId="0" applyFont="1" applyFill="1" applyBorder="1"/>
    <xf numFmtId="0" fontId="10" fillId="5" borderId="3" xfId="0" applyFont="1" applyFill="1" applyBorder="1"/>
    <xf numFmtId="0" fontId="13" fillId="7" borderId="3" xfId="0" applyFont="1" applyFill="1" applyBorder="1"/>
    <xf numFmtId="0" fontId="10" fillId="5" borderId="1" xfId="0" applyFont="1" applyFill="1" applyBorder="1"/>
    <xf numFmtId="0" fontId="13" fillId="7" borderId="1" xfId="0" applyFont="1" applyFill="1" applyBorder="1"/>
    <xf numFmtId="0" fontId="13" fillId="7" borderId="0" xfId="0" applyFont="1" applyFill="1" applyBorder="1"/>
    <xf numFmtId="14" fontId="0" fillId="0" borderId="19" xfId="0" applyNumberFormat="1" applyBorder="1" applyAlignment="1">
      <alignment horizontal="center" vertical="center"/>
    </xf>
    <xf numFmtId="0" fontId="0" fillId="0" borderId="22" xfId="0" applyBorder="1"/>
    <xf numFmtId="0" fontId="0" fillId="0" borderId="0" xfId="0" applyBorder="1"/>
    <xf numFmtId="0" fontId="0" fillId="0" borderId="23" xfId="0" applyBorder="1"/>
    <xf numFmtId="0" fontId="0" fillId="0" borderId="17" xfId="0" applyBorder="1"/>
    <xf numFmtId="0" fontId="0" fillId="0" borderId="18" xfId="0" applyBorder="1"/>
    <xf numFmtId="0" fontId="0" fillId="0" borderId="17" xfId="0" applyBorder="1" applyAlignment="1">
      <alignment horizontal="center" vertical="center"/>
    </xf>
    <xf numFmtId="0" fontId="0" fillId="9" borderId="0" xfId="0" applyFill="1" applyAlignment="1"/>
    <xf numFmtId="0" fontId="0" fillId="9" borderId="0" xfId="0" applyFill="1"/>
    <xf numFmtId="0" fontId="16" fillId="9" borderId="0" xfId="0" applyFont="1" applyFill="1" applyAlignment="1">
      <alignment vertical="center"/>
    </xf>
    <xf numFmtId="0" fontId="17" fillId="9" borderId="0" xfId="0" applyFont="1" applyFill="1" applyBorder="1" applyAlignment="1">
      <alignment vertical="center"/>
    </xf>
    <xf numFmtId="0" fontId="16" fillId="9" borderId="0" xfId="0" applyFont="1" applyFill="1" applyAlignment="1">
      <alignment vertical="top"/>
    </xf>
    <xf numFmtId="0" fontId="7" fillId="9" borderId="0" xfId="0" applyFont="1" applyFill="1" applyAlignment="1">
      <alignment vertical="top"/>
    </xf>
    <xf numFmtId="0" fontId="7" fillId="9" borderId="0" xfId="0" applyFont="1" applyFill="1" applyAlignment="1">
      <alignment vertical="center"/>
    </xf>
    <xf numFmtId="0" fontId="8" fillId="9" borderId="0" xfId="0" applyFont="1" applyFill="1" applyBorder="1" applyAlignment="1">
      <alignment vertical="center"/>
    </xf>
    <xf numFmtId="0" fontId="13" fillId="7" borderId="24" xfId="0" applyFont="1" applyFill="1" applyBorder="1"/>
    <xf numFmtId="0" fontId="13" fillId="7" borderId="25" xfId="0" applyFont="1" applyFill="1" applyBorder="1"/>
    <xf numFmtId="0" fontId="13" fillId="7" borderId="26" xfId="0" applyFont="1" applyFill="1" applyBorder="1"/>
    <xf numFmtId="0" fontId="13" fillId="7" borderId="27" xfId="0" applyFont="1" applyFill="1" applyBorder="1"/>
    <xf numFmtId="0" fontId="13" fillId="7" borderId="27" xfId="0" applyFont="1" applyFill="1" applyBorder="1" applyAlignment="1" applyProtection="1">
      <alignment horizontal="center" vertical="center"/>
    </xf>
    <xf numFmtId="0" fontId="13" fillId="7" borderId="28" xfId="0" applyFont="1" applyFill="1" applyBorder="1"/>
    <xf numFmtId="0" fontId="12" fillId="3" borderId="1" xfId="0" applyFont="1" applyFill="1" applyBorder="1"/>
    <xf numFmtId="0" fontId="12" fillId="3" borderId="0" xfId="0" applyFont="1" applyFill="1" applyBorder="1"/>
    <xf numFmtId="0" fontId="16" fillId="9" borderId="0" xfId="0" applyFont="1" applyFill="1" applyBorder="1" applyAlignment="1">
      <alignment vertical="center"/>
    </xf>
    <xf numFmtId="0" fontId="18" fillId="9" borderId="0" xfId="0" applyFont="1" applyFill="1" applyBorder="1"/>
    <xf numFmtId="0" fontId="16" fillId="9" borderId="0" xfId="0" applyFont="1" applyFill="1" applyBorder="1" applyAlignment="1">
      <alignment vertical="top"/>
    </xf>
    <xf numFmtId="0" fontId="7" fillId="9" borderId="0" xfId="0" applyFont="1" applyFill="1" applyBorder="1" applyAlignment="1">
      <alignment vertical="top"/>
    </xf>
    <xf numFmtId="0" fontId="0" fillId="9" borderId="0" xfId="0" applyFill="1" applyBorder="1"/>
    <xf numFmtId="0" fontId="7" fillId="9" borderId="0" xfId="0" applyFont="1" applyFill="1" applyBorder="1" applyAlignment="1">
      <alignment vertical="center"/>
    </xf>
    <xf numFmtId="14" fontId="19" fillId="9" borderId="0" xfId="0" applyNumberFormat="1" applyFont="1" applyFill="1" applyBorder="1" applyAlignment="1">
      <alignment vertical="center"/>
    </xf>
    <xf numFmtId="14" fontId="19" fillId="10" borderId="0" xfId="0" applyNumberFormat="1" applyFont="1" applyFill="1" applyBorder="1" applyAlignment="1">
      <alignment vertical="center"/>
    </xf>
    <xf numFmtId="0" fontId="0" fillId="10" borderId="0" xfId="0" applyFill="1"/>
    <xf numFmtId="0" fontId="5" fillId="11" borderId="7" xfId="0" applyFont="1" applyFill="1" applyBorder="1"/>
    <xf numFmtId="0" fontId="5" fillId="11" borderId="10" xfId="0" applyFont="1" applyFill="1" applyBorder="1"/>
    <xf numFmtId="0" fontId="5" fillId="11" borderId="4" xfId="0" applyFont="1" applyFill="1" applyBorder="1"/>
    <xf numFmtId="0" fontId="5" fillId="11" borderId="9" xfId="0" applyFont="1" applyFill="1" applyBorder="1"/>
    <xf numFmtId="0" fontId="5" fillId="11" borderId="6" xfId="0" applyFont="1" applyFill="1" applyBorder="1"/>
    <xf numFmtId="0" fontId="5" fillId="11" borderId="5" xfId="0" applyFont="1" applyFill="1" applyBorder="1"/>
    <xf numFmtId="0" fontId="5" fillId="11" borderId="11" xfId="0" applyFont="1" applyFill="1" applyBorder="1"/>
    <xf numFmtId="0" fontId="20" fillId="11" borderId="11" xfId="0" applyFont="1" applyFill="1" applyBorder="1"/>
    <xf numFmtId="0" fontId="5" fillId="11" borderId="8" xfId="0" applyFont="1" applyFill="1" applyBorder="1"/>
    <xf numFmtId="0" fontId="20" fillId="11" borderId="8" xfId="0" applyFont="1" applyFill="1" applyBorder="1"/>
    <xf numFmtId="0" fontId="0" fillId="0" borderId="14" xfId="0" applyBorder="1" applyAlignment="1">
      <alignment horizontal="center" vertical="center"/>
    </xf>
    <xf numFmtId="14" fontId="0" fillId="0" borderId="22" xfId="0" applyNumberFormat="1" applyBorder="1"/>
    <xf numFmtId="20" fontId="0" fillId="0" borderId="0" xfId="0" applyNumberFormat="1" applyBorder="1"/>
    <xf numFmtId="14" fontId="0" fillId="0" borderId="16" xfId="0" applyNumberFormat="1" applyBorder="1"/>
    <xf numFmtId="20" fontId="0" fillId="0" borderId="17" xfId="0" applyNumberFormat="1" applyBorder="1"/>
    <xf numFmtId="0" fontId="0" fillId="0" borderId="0" xfId="0" applyFill="1" applyBorder="1" applyAlignment="1">
      <alignment horizontal="center" vertical="center"/>
    </xf>
    <xf numFmtId="14" fontId="19" fillId="9" borderId="2" xfId="0" applyNumberFormat="1" applyFont="1" applyFill="1" applyBorder="1" applyAlignment="1">
      <alignment horizontal="center" vertical="center"/>
    </xf>
    <xf numFmtId="14" fontId="19" fillId="9" borderId="3" xfId="0" applyNumberFormat="1" applyFont="1" applyFill="1" applyBorder="1" applyAlignment="1">
      <alignment horizontal="center" vertical="center"/>
    </xf>
    <xf numFmtId="14" fontId="19" fillId="9" borderId="29" xfId="0" applyNumberFormat="1" applyFont="1" applyFill="1" applyBorder="1" applyAlignment="1">
      <alignment horizontal="center" vertical="center"/>
    </xf>
    <xf numFmtId="14" fontId="19" fillId="9" borderId="1" xfId="0" applyNumberFormat="1" applyFont="1" applyFill="1" applyBorder="1" applyAlignment="1">
      <alignment horizontal="center" vertical="center"/>
    </xf>
    <xf numFmtId="14" fontId="19" fillId="9" borderId="0" xfId="0" applyNumberFormat="1" applyFont="1" applyFill="1" applyBorder="1" applyAlignment="1">
      <alignment horizontal="center" vertical="center"/>
    </xf>
    <xf numFmtId="14" fontId="19" fillId="9" borderId="30" xfId="0" applyNumberFormat="1" applyFont="1" applyFill="1" applyBorder="1" applyAlignment="1">
      <alignment horizontal="center" vertical="center"/>
    </xf>
    <xf numFmtId="14" fontId="19" fillId="9" borderId="31" xfId="0" applyNumberFormat="1" applyFont="1" applyFill="1" applyBorder="1" applyAlignment="1">
      <alignment horizontal="center" vertical="center"/>
    </xf>
    <xf numFmtId="14" fontId="19" fillId="9" borderId="32" xfId="0" applyNumberFormat="1" applyFont="1" applyFill="1" applyBorder="1" applyAlignment="1">
      <alignment horizontal="center" vertical="center"/>
    </xf>
    <xf numFmtId="14" fontId="19" fillId="9" borderId="33" xfId="0" applyNumberFormat="1" applyFont="1" applyFill="1" applyBorder="1" applyAlignment="1">
      <alignment horizontal="center" vertical="center"/>
    </xf>
    <xf numFmtId="0" fontId="17" fillId="9" borderId="0" xfId="0" applyFont="1" applyFill="1" applyBorder="1" applyAlignment="1">
      <alignment horizontal="center" vertical="center"/>
    </xf>
    <xf numFmtId="0" fontId="16" fillId="9" borderId="0" xfId="0" applyFont="1" applyFill="1" applyAlignment="1">
      <alignment horizontal="center" vertical="top"/>
    </xf>
    <xf numFmtId="0" fontId="16" fillId="9" borderId="0" xfId="0" applyFont="1" applyFill="1" applyBorder="1" applyAlignment="1">
      <alignment horizontal="center" vertical="top"/>
    </xf>
    <xf numFmtId="0" fontId="16" fillId="9" borderId="0" xfId="0" applyFont="1" applyFill="1" applyBorder="1" applyAlignment="1">
      <alignment horizontal="left" vertical="center"/>
    </xf>
    <xf numFmtId="0" fontId="16" fillId="9" borderId="0" xfId="0" applyFont="1" applyFill="1" applyAlignment="1">
      <alignment horizontal="left" vertical="center"/>
    </xf>
    <xf numFmtId="17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</cellXfs>
  <cellStyles count="1263">
    <cellStyle name="一般" xfId="0" builtinId="0"/>
    <cellStyle name="已瀏覽過的超連結" xfId="2" builtinId="9" hidden="1"/>
    <cellStyle name="已瀏覽過的超連結" xfId="4" builtinId="9" hidden="1"/>
    <cellStyle name="已瀏覽過的超連結" xfId="6" builtinId="9" hidden="1"/>
    <cellStyle name="已瀏覽過的超連結" xfId="8" builtinId="9" hidden="1"/>
    <cellStyle name="已瀏覽過的超連結" xfId="10" builtinId="9" hidden="1"/>
    <cellStyle name="已瀏覽過的超連結" xfId="12" builtinId="9" hidden="1"/>
    <cellStyle name="已瀏覽過的超連結" xfId="14" builtinId="9" hidden="1"/>
    <cellStyle name="已瀏覽過的超連結" xfId="16" builtinId="9" hidden="1"/>
    <cellStyle name="已瀏覽過的超連結" xfId="18" builtinId="9" hidden="1"/>
    <cellStyle name="已瀏覽過的超連結" xfId="20" builtinId="9" hidden="1"/>
    <cellStyle name="已瀏覽過的超連結" xfId="22" builtinId="9" hidden="1"/>
    <cellStyle name="已瀏覽過的超連結" xfId="24" builtinId="9" hidden="1"/>
    <cellStyle name="已瀏覽過的超連結" xfId="26" builtinId="9" hidden="1"/>
    <cellStyle name="已瀏覽過的超連結" xfId="28" builtinId="9" hidden="1"/>
    <cellStyle name="已瀏覽過的超連結" xfId="30" builtinId="9" hidden="1"/>
    <cellStyle name="已瀏覽過的超連結" xfId="32" builtinId="9" hidden="1"/>
    <cellStyle name="已瀏覽過的超連結" xfId="34" builtinId="9" hidden="1"/>
    <cellStyle name="已瀏覽過的超連結" xfId="36" builtinId="9" hidden="1"/>
    <cellStyle name="已瀏覽過的超連結" xfId="38" builtinId="9" hidden="1"/>
    <cellStyle name="已瀏覽過的超連結" xfId="40" builtinId="9" hidden="1"/>
    <cellStyle name="已瀏覽過的超連結" xfId="42" builtinId="9" hidden="1"/>
    <cellStyle name="已瀏覽過的超連結" xfId="44" builtinId="9" hidden="1"/>
    <cellStyle name="已瀏覽過的超連結" xfId="46" builtinId="9" hidden="1"/>
    <cellStyle name="已瀏覽過的超連結" xfId="48" builtinId="9" hidden="1"/>
    <cellStyle name="已瀏覽過的超連結" xfId="50" builtinId="9" hidden="1"/>
    <cellStyle name="已瀏覽過的超連結" xfId="52" builtinId="9" hidden="1"/>
    <cellStyle name="已瀏覽過的超連結" xfId="54" builtinId="9" hidden="1"/>
    <cellStyle name="已瀏覽過的超連結" xfId="56" builtinId="9" hidden="1"/>
    <cellStyle name="已瀏覽過的超連結" xfId="58" builtinId="9" hidden="1"/>
    <cellStyle name="已瀏覽過的超連結" xfId="60" builtinId="9" hidden="1"/>
    <cellStyle name="已瀏覽過的超連結" xfId="62" builtinId="9" hidden="1"/>
    <cellStyle name="已瀏覽過的超連結" xfId="64" builtinId="9" hidden="1"/>
    <cellStyle name="已瀏覽過的超連結" xfId="66" builtinId="9" hidden="1"/>
    <cellStyle name="已瀏覽過的超連結" xfId="68" builtinId="9" hidden="1"/>
    <cellStyle name="已瀏覽過的超連結" xfId="70" builtinId="9" hidden="1"/>
    <cellStyle name="已瀏覽過的超連結" xfId="72" builtinId="9" hidden="1"/>
    <cellStyle name="已瀏覽過的超連結" xfId="74" builtinId="9" hidden="1"/>
    <cellStyle name="已瀏覽過的超連結" xfId="76" builtinId="9" hidden="1"/>
    <cellStyle name="已瀏覽過的超連結" xfId="78" builtinId="9" hidden="1"/>
    <cellStyle name="已瀏覽過的超連結" xfId="80" builtinId="9" hidden="1"/>
    <cellStyle name="已瀏覽過的超連結" xfId="82" builtinId="9" hidden="1"/>
    <cellStyle name="已瀏覽過的超連結" xfId="84" builtinId="9" hidden="1"/>
    <cellStyle name="已瀏覽過的超連結" xfId="86" builtinId="9" hidden="1"/>
    <cellStyle name="已瀏覽過的超連結" xfId="88" builtinId="9" hidden="1"/>
    <cellStyle name="已瀏覽過的超連結" xfId="90" builtinId="9" hidden="1"/>
    <cellStyle name="已瀏覽過的超連結" xfId="92" builtinId="9" hidden="1"/>
    <cellStyle name="已瀏覽過的超連結" xfId="94" builtinId="9" hidden="1"/>
    <cellStyle name="已瀏覽過的超連結" xfId="96" builtinId="9" hidden="1"/>
    <cellStyle name="已瀏覽過的超連結" xfId="98" builtinId="9" hidden="1"/>
    <cellStyle name="已瀏覽過的超連結" xfId="100" builtinId="9" hidden="1"/>
    <cellStyle name="已瀏覽過的超連結" xfId="102" builtinId="9" hidden="1"/>
    <cellStyle name="已瀏覽過的超連結" xfId="104" builtinId="9" hidden="1"/>
    <cellStyle name="已瀏覽過的超連結" xfId="106" builtinId="9" hidden="1"/>
    <cellStyle name="已瀏覽過的超連結" xfId="108" builtinId="9" hidden="1"/>
    <cellStyle name="已瀏覽過的超連結" xfId="110" builtinId="9" hidden="1"/>
    <cellStyle name="已瀏覽過的超連結" xfId="112" builtinId="9" hidden="1"/>
    <cellStyle name="已瀏覽過的超連結" xfId="114" builtinId="9" hidden="1"/>
    <cellStyle name="已瀏覽過的超連結" xfId="116" builtinId="9" hidden="1"/>
    <cellStyle name="已瀏覽過的超連結" xfId="118" builtinId="9" hidden="1"/>
    <cellStyle name="已瀏覽過的超連結" xfId="120" builtinId="9" hidden="1"/>
    <cellStyle name="已瀏覽過的超連結" xfId="122" builtinId="9" hidden="1"/>
    <cellStyle name="已瀏覽過的超連結" xfId="124" builtinId="9" hidden="1"/>
    <cellStyle name="已瀏覽過的超連結" xfId="126" builtinId="9" hidden="1"/>
    <cellStyle name="已瀏覽過的超連結" xfId="128" builtinId="9" hidden="1"/>
    <cellStyle name="已瀏覽過的超連結" xfId="130" builtinId="9" hidden="1"/>
    <cellStyle name="已瀏覽過的超連結" xfId="132" builtinId="9" hidden="1"/>
    <cellStyle name="已瀏覽過的超連結" xfId="134" builtinId="9" hidden="1"/>
    <cellStyle name="已瀏覽過的超連結" xfId="136" builtinId="9" hidden="1"/>
    <cellStyle name="已瀏覽過的超連結" xfId="138" builtinId="9" hidden="1"/>
    <cellStyle name="已瀏覽過的超連結" xfId="140" builtinId="9" hidden="1"/>
    <cellStyle name="已瀏覽過的超連結" xfId="142" builtinId="9" hidden="1"/>
    <cellStyle name="已瀏覽過的超連結" xfId="144" builtinId="9" hidden="1"/>
    <cellStyle name="已瀏覽過的超連結" xfId="146" builtinId="9" hidden="1"/>
    <cellStyle name="已瀏覽過的超連結" xfId="148" builtinId="9" hidden="1"/>
    <cellStyle name="已瀏覽過的超連結" xfId="150" builtinId="9" hidden="1"/>
    <cellStyle name="已瀏覽過的超連結" xfId="152" builtinId="9" hidden="1"/>
    <cellStyle name="已瀏覽過的超連結" xfId="154" builtinId="9" hidden="1"/>
    <cellStyle name="已瀏覽過的超連結" xfId="156" builtinId="9" hidden="1"/>
    <cellStyle name="已瀏覽過的超連結" xfId="158" builtinId="9" hidden="1"/>
    <cellStyle name="已瀏覽過的超連結" xfId="160" builtinId="9" hidden="1"/>
    <cellStyle name="已瀏覽過的超連結" xfId="162" builtinId="9" hidden="1"/>
    <cellStyle name="已瀏覽過的超連結" xfId="164" builtinId="9" hidden="1"/>
    <cellStyle name="已瀏覽過的超連結" xfId="166" builtinId="9" hidden="1"/>
    <cellStyle name="已瀏覽過的超連結" xfId="168" builtinId="9" hidden="1"/>
    <cellStyle name="已瀏覽過的超連結" xfId="170" builtinId="9" hidden="1"/>
    <cellStyle name="已瀏覽過的超連結" xfId="172" builtinId="9" hidden="1"/>
    <cellStyle name="已瀏覽過的超連結" xfId="174" builtinId="9" hidden="1"/>
    <cellStyle name="已瀏覽過的超連結" xfId="176" builtinId="9" hidden="1"/>
    <cellStyle name="已瀏覽過的超連結" xfId="178" builtinId="9" hidden="1"/>
    <cellStyle name="已瀏覽過的超連結" xfId="180" builtinId="9" hidden="1"/>
    <cellStyle name="已瀏覽過的超連結" xfId="182" builtinId="9" hidden="1"/>
    <cellStyle name="已瀏覽過的超連結" xfId="184" builtinId="9" hidden="1"/>
    <cellStyle name="已瀏覽過的超連結" xfId="186" builtinId="9" hidden="1"/>
    <cellStyle name="已瀏覽過的超連結" xfId="188" builtinId="9" hidden="1"/>
    <cellStyle name="已瀏覽過的超連結" xfId="190" builtinId="9" hidden="1"/>
    <cellStyle name="已瀏覽過的超連結" xfId="192" builtinId="9" hidden="1"/>
    <cellStyle name="已瀏覽過的超連結" xfId="194" builtinId="9" hidden="1"/>
    <cellStyle name="已瀏覽過的超連結" xfId="196" builtinId="9" hidden="1"/>
    <cellStyle name="已瀏覽過的超連結" xfId="198" builtinId="9" hidden="1"/>
    <cellStyle name="已瀏覽過的超連結" xfId="200" builtinId="9" hidden="1"/>
    <cellStyle name="已瀏覽過的超連結" xfId="202" builtinId="9" hidden="1"/>
    <cellStyle name="已瀏覽過的超連結" xfId="204" builtinId="9" hidden="1"/>
    <cellStyle name="已瀏覽過的超連結" xfId="206" builtinId="9" hidden="1"/>
    <cellStyle name="已瀏覽過的超連結" xfId="208" builtinId="9" hidden="1"/>
    <cellStyle name="已瀏覽過的超連結" xfId="210" builtinId="9" hidden="1"/>
    <cellStyle name="已瀏覽過的超連結" xfId="212" builtinId="9" hidden="1"/>
    <cellStyle name="已瀏覽過的超連結" xfId="214" builtinId="9" hidden="1"/>
    <cellStyle name="已瀏覽過的超連結" xfId="216" builtinId="9" hidden="1"/>
    <cellStyle name="已瀏覽過的超連結" xfId="218" builtinId="9" hidden="1"/>
    <cellStyle name="已瀏覽過的超連結" xfId="220" builtinId="9" hidden="1"/>
    <cellStyle name="已瀏覽過的超連結" xfId="222" builtinId="9" hidden="1"/>
    <cellStyle name="已瀏覽過的超連結" xfId="224" builtinId="9" hidden="1"/>
    <cellStyle name="已瀏覽過的超連結" xfId="226" builtinId="9" hidden="1"/>
    <cellStyle name="已瀏覽過的超連結" xfId="228" builtinId="9" hidden="1"/>
    <cellStyle name="已瀏覽過的超連結" xfId="230" builtinId="9" hidden="1"/>
    <cellStyle name="已瀏覽過的超連結" xfId="232" builtinId="9" hidden="1"/>
    <cellStyle name="已瀏覽過的超連結" xfId="234" builtinId="9" hidden="1"/>
    <cellStyle name="已瀏覽過的超連結" xfId="236" builtinId="9" hidden="1"/>
    <cellStyle name="已瀏覽過的超連結" xfId="238" builtinId="9" hidden="1"/>
    <cellStyle name="已瀏覽過的超連結" xfId="240" builtinId="9" hidden="1"/>
    <cellStyle name="已瀏覽過的超連結" xfId="242" builtinId="9" hidden="1"/>
    <cellStyle name="已瀏覽過的超連結" xfId="244" builtinId="9" hidden="1"/>
    <cellStyle name="已瀏覽過的超連結" xfId="246" builtinId="9" hidden="1"/>
    <cellStyle name="已瀏覽過的超連結" xfId="248" builtinId="9" hidden="1"/>
    <cellStyle name="已瀏覽過的超連結" xfId="250" builtinId="9" hidden="1"/>
    <cellStyle name="已瀏覽過的超連結" xfId="252" builtinId="9" hidden="1"/>
    <cellStyle name="已瀏覽過的超連結" xfId="254" builtinId="9" hidden="1"/>
    <cellStyle name="已瀏覽過的超連結" xfId="256" builtinId="9" hidden="1"/>
    <cellStyle name="已瀏覽過的超連結" xfId="258" builtinId="9" hidden="1"/>
    <cellStyle name="已瀏覽過的超連結" xfId="260" builtinId="9" hidden="1"/>
    <cellStyle name="已瀏覽過的超連結" xfId="262" builtinId="9" hidden="1"/>
    <cellStyle name="已瀏覽過的超連結" xfId="264" builtinId="9" hidden="1"/>
    <cellStyle name="已瀏覽過的超連結" xfId="266" builtinId="9" hidden="1"/>
    <cellStyle name="已瀏覽過的超連結" xfId="268" builtinId="9" hidden="1"/>
    <cellStyle name="已瀏覽過的超連結" xfId="270" builtinId="9" hidden="1"/>
    <cellStyle name="已瀏覽過的超連結" xfId="272" builtinId="9" hidden="1"/>
    <cellStyle name="已瀏覽過的超連結" xfId="274" builtinId="9" hidden="1"/>
    <cellStyle name="已瀏覽過的超連結" xfId="276" builtinId="9" hidden="1"/>
    <cellStyle name="已瀏覽過的超連結" xfId="278" builtinId="9" hidden="1"/>
    <cellStyle name="已瀏覽過的超連結" xfId="280" builtinId="9" hidden="1"/>
    <cellStyle name="已瀏覽過的超連結" xfId="282" builtinId="9" hidden="1"/>
    <cellStyle name="已瀏覽過的超連結" xfId="284" builtinId="9" hidden="1"/>
    <cellStyle name="已瀏覽過的超連結" xfId="286" builtinId="9" hidden="1"/>
    <cellStyle name="已瀏覽過的超連結" xfId="288" builtinId="9" hidden="1"/>
    <cellStyle name="已瀏覽過的超連結" xfId="290" builtinId="9" hidden="1"/>
    <cellStyle name="已瀏覽過的超連結" xfId="292" builtinId="9" hidden="1"/>
    <cellStyle name="已瀏覽過的超連結" xfId="294" builtinId="9" hidden="1"/>
    <cellStyle name="已瀏覽過的超連結" xfId="296" builtinId="9" hidden="1"/>
    <cellStyle name="已瀏覽過的超連結" xfId="298" builtinId="9" hidden="1"/>
    <cellStyle name="已瀏覽過的超連結" xfId="300" builtinId="9" hidden="1"/>
    <cellStyle name="已瀏覽過的超連結" xfId="302" builtinId="9" hidden="1"/>
    <cellStyle name="已瀏覽過的超連結" xfId="304" builtinId="9" hidden="1"/>
    <cellStyle name="已瀏覽過的超連結" xfId="306" builtinId="9" hidden="1"/>
    <cellStyle name="已瀏覽過的超連結" xfId="308" builtinId="9" hidden="1"/>
    <cellStyle name="已瀏覽過的超連結" xfId="310" builtinId="9" hidden="1"/>
    <cellStyle name="已瀏覽過的超連結" xfId="312" builtinId="9" hidden="1"/>
    <cellStyle name="已瀏覽過的超連結" xfId="314" builtinId="9" hidden="1"/>
    <cellStyle name="已瀏覽過的超連結" xfId="316" builtinId="9" hidden="1"/>
    <cellStyle name="已瀏覽過的超連結" xfId="318" builtinId="9" hidden="1"/>
    <cellStyle name="已瀏覽過的超連結" xfId="320" builtinId="9" hidden="1"/>
    <cellStyle name="已瀏覽過的超連結" xfId="322" builtinId="9" hidden="1"/>
    <cellStyle name="已瀏覽過的超連結" xfId="324" builtinId="9" hidden="1"/>
    <cellStyle name="已瀏覽過的超連結" xfId="326" builtinId="9" hidden="1"/>
    <cellStyle name="已瀏覽過的超連結" xfId="328" builtinId="9" hidden="1"/>
    <cellStyle name="已瀏覽過的超連結" xfId="330" builtinId="9" hidden="1"/>
    <cellStyle name="已瀏覽過的超連結" xfId="332" builtinId="9" hidden="1"/>
    <cellStyle name="已瀏覽過的超連結" xfId="334" builtinId="9" hidden="1"/>
    <cellStyle name="已瀏覽過的超連結" xfId="336" builtinId="9" hidden="1"/>
    <cellStyle name="已瀏覽過的超連結" xfId="338" builtinId="9" hidden="1"/>
    <cellStyle name="已瀏覽過的超連結" xfId="340" builtinId="9" hidden="1"/>
    <cellStyle name="已瀏覽過的超連結" xfId="342" builtinId="9" hidden="1"/>
    <cellStyle name="已瀏覽過的超連結" xfId="344" builtinId="9" hidden="1"/>
    <cellStyle name="已瀏覽過的超連結" xfId="346" builtinId="9" hidden="1"/>
    <cellStyle name="已瀏覽過的超連結" xfId="348" builtinId="9" hidden="1"/>
    <cellStyle name="已瀏覽過的超連結" xfId="350" builtinId="9" hidden="1"/>
    <cellStyle name="已瀏覽過的超連結" xfId="352" builtinId="9" hidden="1"/>
    <cellStyle name="已瀏覽過的超連結" xfId="354" builtinId="9" hidden="1"/>
    <cellStyle name="已瀏覽過的超連結" xfId="356" builtinId="9" hidden="1"/>
    <cellStyle name="已瀏覽過的超連結" xfId="358" builtinId="9" hidden="1"/>
    <cellStyle name="已瀏覽過的超連結" xfId="360" builtinId="9" hidden="1"/>
    <cellStyle name="已瀏覽過的超連結" xfId="362" builtinId="9" hidden="1"/>
    <cellStyle name="已瀏覽過的超連結" xfId="364" builtinId="9" hidden="1"/>
    <cellStyle name="已瀏覽過的超連結" xfId="366" builtinId="9" hidden="1"/>
    <cellStyle name="已瀏覽過的超連結" xfId="368" builtinId="9" hidden="1"/>
    <cellStyle name="已瀏覽過的超連結" xfId="370" builtinId="9" hidden="1"/>
    <cellStyle name="已瀏覽過的超連結" xfId="372" builtinId="9" hidden="1"/>
    <cellStyle name="已瀏覽過的超連結" xfId="374" builtinId="9" hidden="1"/>
    <cellStyle name="已瀏覽過的超連結" xfId="376" builtinId="9" hidden="1"/>
    <cellStyle name="已瀏覽過的超連結" xfId="378" builtinId="9" hidden="1"/>
    <cellStyle name="已瀏覽過的超連結" xfId="380" builtinId="9" hidden="1"/>
    <cellStyle name="已瀏覽過的超連結" xfId="382" builtinId="9" hidden="1"/>
    <cellStyle name="已瀏覽過的超連結" xfId="384" builtinId="9" hidden="1"/>
    <cellStyle name="已瀏覽過的超連結" xfId="386" builtinId="9" hidden="1"/>
    <cellStyle name="已瀏覽過的超連結" xfId="388" builtinId="9" hidden="1"/>
    <cellStyle name="已瀏覽過的超連結" xfId="390" builtinId="9" hidden="1"/>
    <cellStyle name="已瀏覽過的超連結" xfId="392" builtinId="9" hidden="1"/>
    <cellStyle name="已瀏覽過的超連結" xfId="394" builtinId="9" hidden="1"/>
    <cellStyle name="已瀏覽過的超連結" xfId="396" builtinId="9" hidden="1"/>
    <cellStyle name="已瀏覽過的超連結" xfId="398" builtinId="9" hidden="1"/>
    <cellStyle name="已瀏覽過的超連結" xfId="400" builtinId="9" hidden="1"/>
    <cellStyle name="已瀏覽過的超連結" xfId="402" builtinId="9" hidden="1"/>
    <cellStyle name="已瀏覽過的超連結" xfId="404" builtinId="9" hidden="1"/>
    <cellStyle name="已瀏覽過的超連結" xfId="406" builtinId="9" hidden="1"/>
    <cellStyle name="已瀏覽過的超連結" xfId="408" builtinId="9" hidden="1"/>
    <cellStyle name="已瀏覽過的超連結" xfId="410" builtinId="9" hidden="1"/>
    <cellStyle name="已瀏覽過的超連結" xfId="412" builtinId="9" hidden="1"/>
    <cellStyle name="已瀏覽過的超連結" xfId="414" builtinId="9" hidden="1"/>
    <cellStyle name="已瀏覽過的超連結" xfId="416" builtinId="9" hidden="1"/>
    <cellStyle name="已瀏覽過的超連結" xfId="418" builtinId="9" hidden="1"/>
    <cellStyle name="已瀏覽過的超連結" xfId="420" builtinId="9" hidden="1"/>
    <cellStyle name="已瀏覽過的超連結" xfId="422" builtinId="9" hidden="1"/>
    <cellStyle name="已瀏覽過的超連結" xfId="424" builtinId="9" hidden="1"/>
    <cellStyle name="已瀏覽過的超連結" xfId="426" builtinId="9" hidden="1"/>
    <cellStyle name="已瀏覽過的超連結" xfId="428" builtinId="9" hidden="1"/>
    <cellStyle name="已瀏覽過的超連結" xfId="430" builtinId="9" hidden="1"/>
    <cellStyle name="已瀏覽過的超連結" xfId="432" builtinId="9" hidden="1"/>
    <cellStyle name="已瀏覽過的超連結" xfId="434" builtinId="9" hidden="1"/>
    <cellStyle name="已瀏覽過的超連結" xfId="436" builtinId="9" hidden="1"/>
    <cellStyle name="已瀏覽過的超連結" xfId="438" builtinId="9" hidden="1"/>
    <cellStyle name="已瀏覽過的超連結" xfId="440" builtinId="9" hidden="1"/>
    <cellStyle name="已瀏覽過的超連結" xfId="442" builtinId="9" hidden="1"/>
    <cellStyle name="已瀏覽過的超連結" xfId="444" builtinId="9" hidden="1"/>
    <cellStyle name="已瀏覽過的超連結" xfId="446" builtinId="9" hidden="1"/>
    <cellStyle name="已瀏覽過的超連結" xfId="448" builtinId="9" hidden="1"/>
    <cellStyle name="已瀏覽過的超連結" xfId="450" builtinId="9" hidden="1"/>
    <cellStyle name="已瀏覽過的超連結" xfId="452" builtinId="9" hidden="1"/>
    <cellStyle name="已瀏覽過的超連結" xfId="454" builtinId="9" hidden="1"/>
    <cellStyle name="已瀏覽過的超連結" xfId="456" builtinId="9" hidden="1"/>
    <cellStyle name="已瀏覽過的超連結" xfId="458" builtinId="9" hidden="1"/>
    <cellStyle name="已瀏覽過的超連結" xfId="460" builtinId="9" hidden="1"/>
    <cellStyle name="已瀏覽過的超連結" xfId="462" builtinId="9" hidden="1"/>
    <cellStyle name="已瀏覽過的超連結" xfId="464" builtinId="9" hidden="1"/>
    <cellStyle name="已瀏覽過的超連結" xfId="466" builtinId="9" hidden="1"/>
    <cellStyle name="已瀏覽過的超連結" xfId="468" builtinId="9" hidden="1"/>
    <cellStyle name="已瀏覽過的超連結" xfId="470" builtinId="9" hidden="1"/>
    <cellStyle name="已瀏覽過的超連結" xfId="472" builtinId="9" hidden="1"/>
    <cellStyle name="已瀏覽過的超連結" xfId="474" builtinId="9" hidden="1"/>
    <cellStyle name="已瀏覽過的超連結" xfId="476" builtinId="9" hidden="1"/>
    <cellStyle name="已瀏覽過的超連結" xfId="478" builtinId="9" hidden="1"/>
    <cellStyle name="已瀏覽過的超連結" xfId="480" builtinId="9" hidden="1"/>
    <cellStyle name="已瀏覽過的超連結" xfId="482" builtinId="9" hidden="1"/>
    <cellStyle name="已瀏覽過的超連結" xfId="484" builtinId="9" hidden="1"/>
    <cellStyle name="已瀏覽過的超連結" xfId="486" builtinId="9" hidden="1"/>
    <cellStyle name="已瀏覽過的超連結" xfId="488" builtinId="9" hidden="1"/>
    <cellStyle name="已瀏覽過的超連結" xfId="490" builtinId="9" hidden="1"/>
    <cellStyle name="已瀏覽過的超連結" xfId="492" builtinId="9" hidden="1"/>
    <cellStyle name="已瀏覽過的超連結" xfId="494" builtinId="9" hidden="1"/>
    <cellStyle name="已瀏覽過的超連結" xfId="496" builtinId="9" hidden="1"/>
    <cellStyle name="已瀏覽過的超連結" xfId="498" builtinId="9" hidden="1"/>
    <cellStyle name="已瀏覽過的超連結" xfId="500" builtinId="9" hidden="1"/>
    <cellStyle name="已瀏覽過的超連結" xfId="502" builtinId="9" hidden="1"/>
    <cellStyle name="已瀏覽過的超連結" xfId="504" builtinId="9" hidden="1"/>
    <cellStyle name="已瀏覽過的超連結" xfId="506" builtinId="9" hidden="1"/>
    <cellStyle name="已瀏覽過的超連結" xfId="508" builtinId="9" hidden="1"/>
    <cellStyle name="已瀏覽過的超連結" xfId="510" builtinId="9" hidden="1"/>
    <cellStyle name="已瀏覽過的超連結" xfId="512" builtinId="9" hidden="1"/>
    <cellStyle name="已瀏覽過的超連結" xfId="514" builtinId="9" hidden="1"/>
    <cellStyle name="已瀏覽過的超連結" xfId="516" builtinId="9" hidden="1"/>
    <cellStyle name="已瀏覽過的超連結" xfId="518" builtinId="9" hidden="1"/>
    <cellStyle name="已瀏覽過的超連結" xfId="520" builtinId="9" hidden="1"/>
    <cellStyle name="已瀏覽過的超連結" xfId="522" builtinId="9" hidden="1"/>
    <cellStyle name="已瀏覽過的超連結" xfId="524" builtinId="9" hidden="1"/>
    <cellStyle name="已瀏覽過的超連結" xfId="526" builtinId="9" hidden="1"/>
    <cellStyle name="已瀏覽過的超連結" xfId="528" builtinId="9" hidden="1"/>
    <cellStyle name="已瀏覽過的超連結" xfId="530" builtinId="9" hidden="1"/>
    <cellStyle name="已瀏覽過的超連結" xfId="532" builtinId="9" hidden="1"/>
    <cellStyle name="已瀏覽過的超連結" xfId="534" builtinId="9" hidden="1"/>
    <cellStyle name="已瀏覽過的超連結" xfId="536" builtinId="9" hidden="1"/>
    <cellStyle name="已瀏覽過的超連結" xfId="538" builtinId="9" hidden="1"/>
    <cellStyle name="已瀏覽過的超連結" xfId="540" builtinId="9" hidden="1"/>
    <cellStyle name="已瀏覽過的超連結" xfId="542" builtinId="9" hidden="1"/>
    <cellStyle name="已瀏覽過的超連結" xfId="544" builtinId="9" hidden="1"/>
    <cellStyle name="已瀏覽過的超連結" xfId="546" builtinId="9" hidden="1"/>
    <cellStyle name="已瀏覽過的超連結" xfId="548" builtinId="9" hidden="1"/>
    <cellStyle name="已瀏覽過的超連結" xfId="550" builtinId="9" hidden="1"/>
    <cellStyle name="已瀏覽過的超連結" xfId="552" builtinId="9" hidden="1"/>
    <cellStyle name="已瀏覽過的超連結" xfId="554" builtinId="9" hidden="1"/>
    <cellStyle name="已瀏覽過的超連結" xfId="556" builtinId="9" hidden="1"/>
    <cellStyle name="已瀏覽過的超連結" xfId="558" builtinId="9" hidden="1"/>
    <cellStyle name="已瀏覽過的超連結" xfId="560" builtinId="9" hidden="1"/>
    <cellStyle name="已瀏覽過的超連結" xfId="562" builtinId="9" hidden="1"/>
    <cellStyle name="已瀏覽過的超連結" xfId="564" builtinId="9" hidden="1"/>
    <cellStyle name="已瀏覽過的超連結" xfId="566" builtinId="9" hidden="1"/>
    <cellStyle name="已瀏覽過的超連結" xfId="568" builtinId="9" hidden="1"/>
    <cellStyle name="已瀏覽過的超連結" xfId="570" builtinId="9" hidden="1"/>
    <cellStyle name="已瀏覽過的超連結" xfId="572" builtinId="9" hidden="1"/>
    <cellStyle name="已瀏覽過的超連結" xfId="574" builtinId="9" hidden="1"/>
    <cellStyle name="已瀏覽過的超連結" xfId="576" builtinId="9" hidden="1"/>
    <cellStyle name="已瀏覽過的超連結" xfId="578" builtinId="9" hidden="1"/>
    <cellStyle name="已瀏覽過的超連結" xfId="580" builtinId="9" hidden="1"/>
    <cellStyle name="已瀏覽過的超連結" xfId="582" builtinId="9" hidden="1"/>
    <cellStyle name="已瀏覽過的超連結" xfId="584" builtinId="9" hidden="1"/>
    <cellStyle name="已瀏覽過的超連結" xfId="586" builtinId="9" hidden="1"/>
    <cellStyle name="已瀏覽過的超連結" xfId="588" builtinId="9" hidden="1"/>
    <cellStyle name="已瀏覽過的超連結" xfId="590" builtinId="9" hidden="1"/>
    <cellStyle name="已瀏覽過的超連結" xfId="592" builtinId="9" hidden="1"/>
    <cellStyle name="已瀏覽過的超連結" xfId="594" builtinId="9" hidden="1"/>
    <cellStyle name="已瀏覽過的超連結" xfId="596" builtinId="9" hidden="1"/>
    <cellStyle name="已瀏覽過的超連結" xfId="598" builtinId="9" hidden="1"/>
    <cellStyle name="已瀏覽過的超連結" xfId="600" builtinId="9" hidden="1"/>
    <cellStyle name="已瀏覽過的超連結" xfId="602" builtinId="9" hidden="1"/>
    <cellStyle name="已瀏覽過的超連結" xfId="604" builtinId="9" hidden="1"/>
    <cellStyle name="已瀏覽過的超連結" xfId="606" builtinId="9" hidden="1"/>
    <cellStyle name="已瀏覽過的超連結" xfId="608" builtinId="9" hidden="1"/>
    <cellStyle name="已瀏覽過的超連結" xfId="610" builtinId="9" hidden="1"/>
    <cellStyle name="已瀏覽過的超連結" xfId="612" builtinId="9" hidden="1"/>
    <cellStyle name="已瀏覽過的超連結" xfId="614" builtinId="9" hidden="1"/>
    <cellStyle name="已瀏覽過的超連結" xfId="616" builtinId="9" hidden="1"/>
    <cellStyle name="已瀏覽過的超連結" xfId="618" builtinId="9" hidden="1"/>
    <cellStyle name="已瀏覽過的超連結" xfId="620" builtinId="9" hidden="1"/>
    <cellStyle name="已瀏覽過的超連結" xfId="622" builtinId="9" hidden="1"/>
    <cellStyle name="已瀏覽過的超連結" xfId="624" builtinId="9" hidden="1"/>
    <cellStyle name="已瀏覽過的超連結" xfId="626" builtinId="9" hidden="1"/>
    <cellStyle name="已瀏覽過的超連結" xfId="628" builtinId="9" hidden="1"/>
    <cellStyle name="已瀏覽過的超連結" xfId="630" builtinId="9" hidden="1"/>
    <cellStyle name="已瀏覽過的超連結" xfId="632" builtinId="9" hidden="1"/>
    <cellStyle name="已瀏覽過的超連結" xfId="634" builtinId="9" hidden="1"/>
    <cellStyle name="已瀏覽過的超連結" xfId="636" builtinId="9" hidden="1"/>
    <cellStyle name="已瀏覽過的超連結" xfId="638" builtinId="9" hidden="1"/>
    <cellStyle name="已瀏覽過的超連結" xfId="640" builtinId="9" hidden="1"/>
    <cellStyle name="已瀏覽過的超連結" xfId="642" builtinId="9" hidden="1"/>
    <cellStyle name="已瀏覽過的超連結" xfId="644" builtinId="9" hidden="1"/>
    <cellStyle name="已瀏覽過的超連結" xfId="646" builtinId="9" hidden="1"/>
    <cellStyle name="已瀏覽過的超連結" xfId="648" builtinId="9" hidden="1"/>
    <cellStyle name="已瀏覽過的超連結" xfId="650" builtinId="9" hidden="1"/>
    <cellStyle name="已瀏覽過的超連結" xfId="652" builtinId="9" hidden="1"/>
    <cellStyle name="已瀏覽過的超連結" xfId="654" builtinId="9" hidden="1"/>
    <cellStyle name="已瀏覽過的超連結" xfId="656" builtinId="9" hidden="1"/>
    <cellStyle name="已瀏覽過的超連結" xfId="658" builtinId="9" hidden="1"/>
    <cellStyle name="已瀏覽過的超連結" xfId="660" builtinId="9" hidden="1"/>
    <cellStyle name="已瀏覽過的超連結" xfId="662" builtinId="9" hidden="1"/>
    <cellStyle name="已瀏覽過的超連結" xfId="664" builtinId="9" hidden="1"/>
    <cellStyle name="已瀏覽過的超連結" xfId="666" builtinId="9" hidden="1"/>
    <cellStyle name="已瀏覽過的超連結" xfId="668" builtinId="9" hidden="1"/>
    <cellStyle name="已瀏覽過的超連結" xfId="670" builtinId="9" hidden="1"/>
    <cellStyle name="已瀏覽過的超連結" xfId="672" builtinId="9" hidden="1"/>
    <cellStyle name="已瀏覽過的超連結" xfId="674" builtinId="9" hidden="1"/>
    <cellStyle name="已瀏覽過的超連結" xfId="676" builtinId="9" hidden="1"/>
    <cellStyle name="已瀏覽過的超連結" xfId="678" builtinId="9" hidden="1"/>
    <cellStyle name="已瀏覽過的超連結" xfId="680" builtinId="9" hidden="1"/>
    <cellStyle name="已瀏覽過的超連結" xfId="682" builtinId="9" hidden="1"/>
    <cellStyle name="已瀏覽過的超連結" xfId="684" builtinId="9" hidden="1"/>
    <cellStyle name="已瀏覽過的超連結" xfId="686" builtinId="9" hidden="1"/>
    <cellStyle name="已瀏覽過的超連結" xfId="688" builtinId="9" hidden="1"/>
    <cellStyle name="已瀏覽過的超連結" xfId="690" builtinId="9" hidden="1"/>
    <cellStyle name="已瀏覽過的超連結" xfId="692" builtinId="9" hidden="1"/>
    <cellStyle name="已瀏覽過的超連結" xfId="694" builtinId="9" hidden="1"/>
    <cellStyle name="已瀏覽過的超連結" xfId="696" builtinId="9" hidden="1"/>
    <cellStyle name="已瀏覽過的超連結" xfId="698" builtinId="9" hidden="1"/>
    <cellStyle name="已瀏覽過的超連結" xfId="700" builtinId="9" hidden="1"/>
    <cellStyle name="已瀏覽過的超連結" xfId="702" builtinId="9" hidden="1"/>
    <cellStyle name="已瀏覽過的超連結" xfId="704" builtinId="9" hidden="1"/>
    <cellStyle name="已瀏覽過的超連結" xfId="706" builtinId="9" hidden="1"/>
    <cellStyle name="已瀏覽過的超連結" xfId="708" builtinId="9" hidden="1"/>
    <cellStyle name="已瀏覽過的超連結" xfId="710" builtinId="9" hidden="1"/>
    <cellStyle name="已瀏覽過的超連結" xfId="712" builtinId="9" hidden="1"/>
    <cellStyle name="已瀏覽過的超連結" xfId="714" builtinId="9" hidden="1"/>
    <cellStyle name="已瀏覽過的超連結" xfId="716" builtinId="9" hidden="1"/>
    <cellStyle name="已瀏覽過的超連結" xfId="718" builtinId="9" hidden="1"/>
    <cellStyle name="已瀏覽過的超連結" xfId="720" builtinId="9" hidden="1"/>
    <cellStyle name="已瀏覽過的超連結" xfId="722" builtinId="9" hidden="1"/>
    <cellStyle name="已瀏覽過的超連結" xfId="724" builtinId="9" hidden="1"/>
    <cellStyle name="已瀏覽過的超連結" xfId="726" builtinId="9" hidden="1"/>
    <cellStyle name="已瀏覽過的超連結" xfId="728" builtinId="9" hidden="1"/>
    <cellStyle name="已瀏覽過的超連結" xfId="730" builtinId="9" hidden="1"/>
    <cellStyle name="已瀏覽過的超連結" xfId="732" builtinId="9" hidden="1"/>
    <cellStyle name="已瀏覽過的超連結" xfId="734" builtinId="9" hidden="1"/>
    <cellStyle name="已瀏覽過的超連結" xfId="736" builtinId="9" hidden="1"/>
    <cellStyle name="已瀏覽過的超連結" xfId="738" builtinId="9" hidden="1"/>
    <cellStyle name="已瀏覽過的超連結" xfId="740" builtinId="9" hidden="1"/>
    <cellStyle name="已瀏覽過的超連結" xfId="742" builtinId="9" hidden="1"/>
    <cellStyle name="已瀏覽過的超連結" xfId="744" builtinId="9" hidden="1"/>
    <cellStyle name="已瀏覽過的超連結" xfId="746" builtinId="9" hidden="1"/>
    <cellStyle name="已瀏覽過的超連結" xfId="748" builtinId="9" hidden="1"/>
    <cellStyle name="已瀏覽過的超連結" xfId="750" builtinId="9" hidden="1"/>
    <cellStyle name="已瀏覽過的超連結" xfId="752" builtinId="9" hidden="1"/>
    <cellStyle name="已瀏覽過的超連結" xfId="754" builtinId="9" hidden="1"/>
    <cellStyle name="已瀏覽過的超連結" xfId="756" builtinId="9" hidden="1"/>
    <cellStyle name="已瀏覽過的超連結" xfId="758" builtinId="9" hidden="1"/>
    <cellStyle name="已瀏覽過的超連結" xfId="760" builtinId="9" hidden="1"/>
    <cellStyle name="已瀏覽過的超連結" xfId="762" builtinId="9" hidden="1"/>
    <cellStyle name="已瀏覽過的超連結" xfId="764" builtinId="9" hidden="1"/>
    <cellStyle name="已瀏覽過的超連結" xfId="766" builtinId="9" hidden="1"/>
    <cellStyle name="已瀏覽過的超連結" xfId="768" builtinId="9" hidden="1"/>
    <cellStyle name="已瀏覽過的超連結" xfId="770" builtinId="9" hidden="1"/>
    <cellStyle name="已瀏覽過的超連結" xfId="772" builtinId="9" hidden="1"/>
    <cellStyle name="已瀏覽過的超連結" xfId="774" builtinId="9" hidden="1"/>
    <cellStyle name="已瀏覽過的超連結" xfId="776" builtinId="9" hidden="1"/>
    <cellStyle name="已瀏覽過的超連結" xfId="778" builtinId="9" hidden="1"/>
    <cellStyle name="已瀏覽過的超連結" xfId="780" builtinId="9" hidden="1"/>
    <cellStyle name="已瀏覽過的超連結" xfId="782" builtinId="9" hidden="1"/>
    <cellStyle name="已瀏覽過的超連結" xfId="784" builtinId="9" hidden="1"/>
    <cellStyle name="已瀏覽過的超連結" xfId="786" builtinId="9" hidden="1"/>
    <cellStyle name="已瀏覽過的超連結" xfId="788" builtinId="9" hidden="1"/>
    <cellStyle name="已瀏覽過的超連結" xfId="790" builtinId="9" hidden="1"/>
    <cellStyle name="已瀏覽過的超連結" xfId="792" builtinId="9" hidden="1"/>
    <cellStyle name="已瀏覽過的超連結" xfId="794" builtinId="9" hidden="1"/>
    <cellStyle name="已瀏覽過的超連結" xfId="796" builtinId="9" hidden="1"/>
    <cellStyle name="已瀏覽過的超連結" xfId="798" builtinId="9" hidden="1"/>
    <cellStyle name="已瀏覽過的超連結" xfId="800" builtinId="9" hidden="1"/>
    <cellStyle name="已瀏覽過的超連結" xfId="802" builtinId="9" hidden="1"/>
    <cellStyle name="已瀏覽過的超連結" xfId="804" builtinId="9" hidden="1"/>
    <cellStyle name="已瀏覽過的超連結" xfId="806" builtinId="9" hidden="1"/>
    <cellStyle name="已瀏覽過的超連結" xfId="808" builtinId="9" hidden="1"/>
    <cellStyle name="已瀏覽過的超連結" xfId="810" builtinId="9" hidden="1"/>
    <cellStyle name="已瀏覽過的超連結" xfId="812" builtinId="9" hidden="1"/>
    <cellStyle name="已瀏覽過的超連結" xfId="814" builtinId="9" hidden="1"/>
    <cellStyle name="已瀏覽過的超連結" xfId="816" builtinId="9" hidden="1"/>
    <cellStyle name="已瀏覽過的超連結" xfId="818" builtinId="9" hidden="1"/>
    <cellStyle name="已瀏覽過的超連結" xfId="820" builtinId="9" hidden="1"/>
    <cellStyle name="已瀏覽過的超連結" xfId="822" builtinId="9" hidden="1"/>
    <cellStyle name="已瀏覽過的超連結" xfId="824" builtinId="9" hidden="1"/>
    <cellStyle name="已瀏覽過的超連結" xfId="826" builtinId="9" hidden="1"/>
    <cellStyle name="已瀏覽過的超連結" xfId="828" builtinId="9" hidden="1"/>
    <cellStyle name="已瀏覽過的超連結" xfId="830" builtinId="9" hidden="1"/>
    <cellStyle name="已瀏覽過的超連結" xfId="832" builtinId="9" hidden="1"/>
    <cellStyle name="已瀏覽過的超連結" xfId="834" builtinId="9" hidden="1"/>
    <cellStyle name="已瀏覽過的超連結" xfId="836" builtinId="9" hidden="1"/>
    <cellStyle name="已瀏覽過的超連結" xfId="838" builtinId="9" hidden="1"/>
    <cellStyle name="已瀏覽過的超連結" xfId="840" builtinId="9" hidden="1"/>
    <cellStyle name="已瀏覽過的超連結" xfId="842" builtinId="9" hidden="1"/>
    <cellStyle name="已瀏覽過的超連結" xfId="844" builtinId="9" hidden="1"/>
    <cellStyle name="已瀏覽過的超連結" xfId="846" builtinId="9" hidden="1"/>
    <cellStyle name="已瀏覽過的超連結" xfId="848" builtinId="9" hidden="1"/>
    <cellStyle name="已瀏覽過的超連結" xfId="850" builtinId="9" hidden="1"/>
    <cellStyle name="已瀏覽過的超連結" xfId="852" builtinId="9" hidden="1"/>
    <cellStyle name="已瀏覽過的超連結" xfId="854" builtinId="9" hidden="1"/>
    <cellStyle name="已瀏覽過的超連結" xfId="856" builtinId="9" hidden="1"/>
    <cellStyle name="已瀏覽過的超連結" xfId="858" builtinId="9" hidden="1"/>
    <cellStyle name="已瀏覽過的超連結" xfId="860" builtinId="9" hidden="1"/>
    <cellStyle name="已瀏覽過的超連結" xfId="862" builtinId="9" hidden="1"/>
    <cellStyle name="已瀏覽過的超連結" xfId="864" builtinId="9" hidden="1"/>
    <cellStyle name="已瀏覽過的超連結" xfId="866" builtinId="9" hidden="1"/>
    <cellStyle name="已瀏覽過的超連結" xfId="868" builtinId="9" hidden="1"/>
    <cellStyle name="已瀏覽過的超連結" xfId="870" builtinId="9" hidden="1"/>
    <cellStyle name="已瀏覽過的超連結" xfId="872" builtinId="9" hidden="1"/>
    <cellStyle name="已瀏覽過的超連結" xfId="874" builtinId="9" hidden="1"/>
    <cellStyle name="已瀏覽過的超連結" xfId="876" builtinId="9" hidden="1"/>
    <cellStyle name="已瀏覽過的超連結" xfId="878" builtinId="9" hidden="1"/>
    <cellStyle name="已瀏覽過的超連結" xfId="880" builtinId="9" hidden="1"/>
    <cellStyle name="已瀏覽過的超連結" xfId="882" builtinId="9" hidden="1"/>
    <cellStyle name="已瀏覽過的超連結" xfId="884" builtinId="9" hidden="1"/>
    <cellStyle name="已瀏覽過的超連結" xfId="886" builtinId="9" hidden="1"/>
    <cellStyle name="已瀏覽過的超連結" xfId="888" builtinId="9" hidden="1"/>
    <cellStyle name="已瀏覽過的超連結" xfId="890" builtinId="9" hidden="1"/>
    <cellStyle name="已瀏覽過的超連結" xfId="892" builtinId="9" hidden="1"/>
    <cellStyle name="已瀏覽過的超連結" xfId="894" builtinId="9" hidden="1"/>
    <cellStyle name="已瀏覽過的超連結" xfId="896" builtinId="9" hidden="1"/>
    <cellStyle name="已瀏覽過的超連結" xfId="898" builtinId="9" hidden="1"/>
    <cellStyle name="已瀏覽過的超連結" xfId="900" builtinId="9" hidden="1"/>
    <cellStyle name="已瀏覽過的超連結" xfId="902" builtinId="9" hidden="1"/>
    <cellStyle name="已瀏覽過的超連結" xfId="904" builtinId="9" hidden="1"/>
    <cellStyle name="已瀏覽過的超連結" xfId="906" builtinId="9" hidden="1"/>
    <cellStyle name="已瀏覽過的超連結" xfId="908" builtinId="9" hidden="1"/>
    <cellStyle name="已瀏覽過的超連結" xfId="910" builtinId="9" hidden="1"/>
    <cellStyle name="已瀏覽過的超連結" xfId="912" builtinId="9" hidden="1"/>
    <cellStyle name="已瀏覽過的超連結" xfId="914" builtinId="9" hidden="1"/>
    <cellStyle name="已瀏覽過的超連結" xfId="916" builtinId="9" hidden="1"/>
    <cellStyle name="已瀏覽過的超連結" xfId="918" builtinId="9" hidden="1"/>
    <cellStyle name="已瀏覽過的超連結" xfId="920" builtinId="9" hidden="1"/>
    <cellStyle name="已瀏覽過的超連結" xfId="922" builtinId="9" hidden="1"/>
    <cellStyle name="已瀏覽過的超連結" xfId="924" builtinId="9" hidden="1"/>
    <cellStyle name="已瀏覽過的超連結" xfId="926" builtinId="9" hidden="1"/>
    <cellStyle name="已瀏覽過的超連結" xfId="928" builtinId="9" hidden="1"/>
    <cellStyle name="已瀏覽過的超連結" xfId="930" builtinId="9" hidden="1"/>
    <cellStyle name="已瀏覽過的超連結" xfId="932" builtinId="9" hidden="1"/>
    <cellStyle name="已瀏覽過的超連結" xfId="934" builtinId="9" hidden="1"/>
    <cellStyle name="已瀏覽過的超連結" xfId="936" builtinId="9" hidden="1"/>
    <cellStyle name="已瀏覽過的超連結" xfId="938" builtinId="9" hidden="1"/>
    <cellStyle name="已瀏覽過的超連結" xfId="940" builtinId="9" hidden="1"/>
    <cellStyle name="已瀏覽過的超連結" xfId="942" builtinId="9" hidden="1"/>
    <cellStyle name="已瀏覽過的超連結" xfId="944" builtinId="9" hidden="1"/>
    <cellStyle name="已瀏覽過的超連結" xfId="946" builtinId="9" hidden="1"/>
    <cellStyle name="已瀏覽過的超連結" xfId="948" builtinId="9" hidden="1"/>
    <cellStyle name="已瀏覽過的超連結" xfId="950" builtinId="9" hidden="1"/>
    <cellStyle name="已瀏覽過的超連結" xfId="952" builtinId="9" hidden="1"/>
    <cellStyle name="已瀏覽過的超連結" xfId="954" builtinId="9" hidden="1"/>
    <cellStyle name="已瀏覽過的超連結" xfId="956" builtinId="9" hidden="1"/>
    <cellStyle name="已瀏覽過的超連結" xfId="958" builtinId="9" hidden="1"/>
    <cellStyle name="已瀏覽過的超連結" xfId="960" builtinId="9" hidden="1"/>
    <cellStyle name="已瀏覽過的超連結" xfId="962" builtinId="9" hidden="1"/>
    <cellStyle name="已瀏覽過的超連結" xfId="964" builtinId="9" hidden="1"/>
    <cellStyle name="已瀏覽過的超連結" xfId="966" builtinId="9" hidden="1"/>
    <cellStyle name="已瀏覽過的超連結" xfId="968" builtinId="9" hidden="1"/>
    <cellStyle name="已瀏覽過的超連結" xfId="970" builtinId="9" hidden="1"/>
    <cellStyle name="已瀏覽過的超連結" xfId="972" builtinId="9" hidden="1"/>
    <cellStyle name="已瀏覽過的超連結" xfId="974" builtinId="9" hidden="1"/>
    <cellStyle name="已瀏覽過的超連結" xfId="976" builtinId="9" hidden="1"/>
    <cellStyle name="已瀏覽過的超連結" xfId="978" builtinId="9" hidden="1"/>
    <cellStyle name="已瀏覽過的超連結" xfId="980" builtinId="9" hidden="1"/>
    <cellStyle name="已瀏覽過的超連結" xfId="982" builtinId="9" hidden="1"/>
    <cellStyle name="已瀏覽過的超連結" xfId="984" builtinId="9" hidden="1"/>
    <cellStyle name="已瀏覽過的超連結" xfId="986" builtinId="9" hidden="1"/>
    <cellStyle name="已瀏覽過的超連結" xfId="988" builtinId="9" hidden="1"/>
    <cellStyle name="已瀏覽過的超連結" xfId="990" builtinId="9" hidden="1"/>
    <cellStyle name="已瀏覽過的超連結" xfId="992" builtinId="9" hidden="1"/>
    <cellStyle name="已瀏覽過的超連結" xfId="994" builtinId="9" hidden="1"/>
    <cellStyle name="已瀏覽過的超連結" xfId="996" builtinId="9" hidden="1"/>
    <cellStyle name="已瀏覽過的超連結" xfId="998" builtinId="9" hidden="1"/>
    <cellStyle name="已瀏覽過的超連結" xfId="1000" builtinId="9" hidden="1"/>
    <cellStyle name="已瀏覽過的超連結" xfId="1002" builtinId="9" hidden="1"/>
    <cellStyle name="已瀏覽過的超連結" xfId="1004" builtinId="9" hidden="1"/>
    <cellStyle name="已瀏覽過的超連結" xfId="1006" builtinId="9" hidden="1"/>
    <cellStyle name="已瀏覽過的超連結" xfId="1008" builtinId="9" hidden="1"/>
    <cellStyle name="已瀏覽過的超連結" xfId="1010" builtinId="9" hidden="1"/>
    <cellStyle name="已瀏覽過的超連結" xfId="1012" builtinId="9" hidden="1"/>
    <cellStyle name="已瀏覽過的超連結" xfId="1014" builtinId="9" hidden="1"/>
    <cellStyle name="已瀏覽過的超連結" xfId="1016" builtinId="9" hidden="1"/>
    <cellStyle name="已瀏覽過的超連結" xfId="1018" builtinId="9" hidden="1"/>
    <cellStyle name="已瀏覽過的超連結" xfId="1020" builtinId="9" hidden="1"/>
    <cellStyle name="已瀏覽過的超連結" xfId="1022" builtinId="9" hidden="1"/>
    <cellStyle name="已瀏覽過的超連結" xfId="1024" builtinId="9" hidden="1"/>
    <cellStyle name="已瀏覽過的超連結" xfId="1026" builtinId="9" hidden="1"/>
    <cellStyle name="已瀏覽過的超連結" xfId="1028" builtinId="9" hidden="1"/>
    <cellStyle name="已瀏覽過的超連結" xfId="1030" builtinId="9" hidden="1"/>
    <cellStyle name="已瀏覽過的超連結" xfId="1032" builtinId="9" hidden="1"/>
    <cellStyle name="已瀏覽過的超連結" xfId="1034" builtinId="9" hidden="1"/>
    <cellStyle name="已瀏覽過的超連結" xfId="1036" builtinId="9" hidden="1"/>
    <cellStyle name="已瀏覽過的超連結" xfId="1038" builtinId="9" hidden="1"/>
    <cellStyle name="已瀏覽過的超連結" xfId="1040" builtinId="9" hidden="1"/>
    <cellStyle name="已瀏覽過的超連結" xfId="1042" builtinId="9" hidden="1"/>
    <cellStyle name="已瀏覽過的超連結" xfId="1044" builtinId="9" hidden="1"/>
    <cellStyle name="已瀏覽過的超連結" xfId="1046" builtinId="9" hidden="1"/>
    <cellStyle name="已瀏覽過的超連結" xfId="1048" builtinId="9" hidden="1"/>
    <cellStyle name="已瀏覽過的超連結" xfId="1050" builtinId="9" hidden="1"/>
    <cellStyle name="已瀏覽過的超連結" xfId="1052" builtinId="9" hidden="1"/>
    <cellStyle name="已瀏覽過的超連結" xfId="1054" builtinId="9" hidden="1"/>
    <cellStyle name="已瀏覽過的超連結" xfId="1056" builtinId="9" hidden="1"/>
    <cellStyle name="已瀏覽過的超連結" xfId="1058" builtinId="9" hidden="1"/>
    <cellStyle name="已瀏覽過的超連結" xfId="1060" builtinId="9" hidden="1"/>
    <cellStyle name="已瀏覽過的超連結" xfId="1062" builtinId="9" hidden="1"/>
    <cellStyle name="已瀏覽過的超連結" xfId="1064" builtinId="9" hidden="1"/>
    <cellStyle name="已瀏覽過的超連結" xfId="1066" builtinId="9" hidden="1"/>
    <cellStyle name="已瀏覽過的超連結" xfId="1068" builtinId="9" hidden="1"/>
    <cellStyle name="已瀏覽過的超連結" xfId="1070" builtinId="9" hidden="1"/>
    <cellStyle name="已瀏覽過的超連結" xfId="1072" builtinId="9" hidden="1"/>
    <cellStyle name="已瀏覽過的超連結" xfId="1074" builtinId="9" hidden="1"/>
    <cellStyle name="已瀏覽過的超連結" xfId="1076" builtinId="9" hidden="1"/>
    <cellStyle name="已瀏覽過的超連結" xfId="1078" builtinId="9" hidden="1"/>
    <cellStyle name="已瀏覽過的超連結" xfId="1080" builtinId="9" hidden="1"/>
    <cellStyle name="已瀏覽過的超連結" xfId="1082" builtinId="9" hidden="1"/>
    <cellStyle name="已瀏覽過的超連結" xfId="1084" builtinId="9" hidden="1"/>
    <cellStyle name="已瀏覽過的超連結" xfId="1086" builtinId="9" hidden="1"/>
    <cellStyle name="已瀏覽過的超連結" xfId="1088" builtinId="9" hidden="1"/>
    <cellStyle name="已瀏覽過的超連結" xfId="1090" builtinId="9" hidden="1"/>
    <cellStyle name="已瀏覽過的超連結" xfId="1092" builtinId="9" hidden="1"/>
    <cellStyle name="已瀏覽過的超連結" xfId="1094" builtinId="9" hidden="1"/>
    <cellStyle name="已瀏覽過的超連結" xfId="1096" builtinId="9" hidden="1"/>
    <cellStyle name="已瀏覽過的超連結" xfId="1098" builtinId="9" hidden="1"/>
    <cellStyle name="已瀏覽過的超連結" xfId="1100" builtinId="9" hidden="1"/>
    <cellStyle name="已瀏覽過的超連結" xfId="1102" builtinId="9" hidden="1"/>
    <cellStyle name="已瀏覽過的超連結" xfId="1104" builtinId="9" hidden="1"/>
    <cellStyle name="已瀏覽過的超連結" xfId="1106" builtinId="9" hidden="1"/>
    <cellStyle name="已瀏覽過的超連結" xfId="1108" builtinId="9" hidden="1"/>
    <cellStyle name="已瀏覽過的超連結" xfId="1110" builtinId="9" hidden="1"/>
    <cellStyle name="已瀏覽過的超連結" xfId="1112" builtinId="9" hidden="1"/>
    <cellStyle name="已瀏覽過的超連結" xfId="1114" builtinId="9" hidden="1"/>
    <cellStyle name="已瀏覽過的超連結" xfId="1116" builtinId="9" hidden="1"/>
    <cellStyle name="已瀏覽過的超連結" xfId="1118" builtinId="9" hidden="1"/>
    <cellStyle name="已瀏覽過的超連結" xfId="1120" builtinId="9" hidden="1"/>
    <cellStyle name="已瀏覽過的超連結" xfId="1122" builtinId="9" hidden="1"/>
    <cellStyle name="已瀏覽過的超連結" xfId="1124" builtinId="9" hidden="1"/>
    <cellStyle name="已瀏覽過的超連結" xfId="1126" builtinId="9" hidden="1"/>
    <cellStyle name="已瀏覽過的超連結" xfId="1128" builtinId="9" hidden="1"/>
    <cellStyle name="已瀏覽過的超連結" xfId="1130" builtinId="9" hidden="1"/>
    <cellStyle name="已瀏覽過的超連結" xfId="1132" builtinId="9" hidden="1"/>
    <cellStyle name="已瀏覽過的超連結" xfId="1134" builtinId="9" hidden="1"/>
    <cellStyle name="已瀏覽過的超連結" xfId="1136" builtinId="9" hidden="1"/>
    <cellStyle name="已瀏覽過的超連結" xfId="1138" builtinId="9" hidden="1"/>
    <cellStyle name="已瀏覽過的超連結" xfId="1140" builtinId="9" hidden="1"/>
    <cellStyle name="已瀏覽過的超連結" xfId="1142" builtinId="9" hidden="1"/>
    <cellStyle name="已瀏覽過的超連結" xfId="1144" builtinId="9" hidden="1"/>
    <cellStyle name="已瀏覽過的超連結" xfId="1146" builtinId="9" hidden="1"/>
    <cellStyle name="已瀏覽過的超連結" xfId="1148" builtinId="9" hidden="1"/>
    <cellStyle name="已瀏覽過的超連結" xfId="1150" builtinId="9" hidden="1"/>
    <cellStyle name="已瀏覽過的超連結" xfId="1152" builtinId="9" hidden="1"/>
    <cellStyle name="已瀏覽過的超連結" xfId="1154" builtinId="9" hidden="1"/>
    <cellStyle name="已瀏覽過的超連結" xfId="1156" builtinId="9" hidden="1"/>
    <cellStyle name="已瀏覽過的超連結" xfId="1158" builtinId="9" hidden="1"/>
    <cellStyle name="已瀏覽過的超連結" xfId="1160" builtinId="9" hidden="1"/>
    <cellStyle name="已瀏覽過的超連結" xfId="1162" builtinId="9" hidden="1"/>
    <cellStyle name="已瀏覽過的超連結" xfId="1164" builtinId="9" hidden="1"/>
    <cellStyle name="已瀏覽過的超連結" xfId="1166" builtinId="9" hidden="1"/>
    <cellStyle name="已瀏覽過的超連結" xfId="1168" builtinId="9" hidden="1"/>
    <cellStyle name="已瀏覽過的超連結" xfId="1170" builtinId="9" hidden="1"/>
    <cellStyle name="已瀏覽過的超連結" xfId="1172" builtinId="9" hidden="1"/>
    <cellStyle name="已瀏覽過的超連結" xfId="1174" builtinId="9" hidden="1"/>
    <cellStyle name="已瀏覽過的超連結" xfId="1176" builtinId="9" hidden="1"/>
    <cellStyle name="已瀏覽過的超連結" xfId="1178" builtinId="9" hidden="1"/>
    <cellStyle name="已瀏覽過的超連結" xfId="1180" builtinId="9" hidden="1"/>
    <cellStyle name="已瀏覽過的超連結" xfId="1182" builtinId="9" hidden="1"/>
    <cellStyle name="已瀏覽過的超連結" xfId="1184" builtinId="9" hidden="1"/>
    <cellStyle name="已瀏覽過的超連結" xfId="1186" builtinId="9" hidden="1"/>
    <cellStyle name="已瀏覽過的超連結" xfId="1188" builtinId="9" hidden="1"/>
    <cellStyle name="已瀏覽過的超連結" xfId="1190" builtinId="9" hidden="1"/>
    <cellStyle name="已瀏覽過的超連結" xfId="1192" builtinId="9" hidden="1"/>
    <cellStyle name="已瀏覽過的超連結" xfId="1194" builtinId="9" hidden="1"/>
    <cellStyle name="已瀏覽過的超連結" xfId="1196" builtinId="9" hidden="1"/>
    <cellStyle name="已瀏覽過的超連結" xfId="1198" builtinId="9" hidden="1"/>
    <cellStyle name="已瀏覽過的超連結" xfId="1200" builtinId="9" hidden="1"/>
    <cellStyle name="已瀏覽過的超連結" xfId="1202" builtinId="9" hidden="1"/>
    <cellStyle name="已瀏覽過的超連結" xfId="1204" builtinId="9" hidden="1"/>
    <cellStyle name="已瀏覽過的超連結" xfId="1206" builtinId="9" hidden="1"/>
    <cellStyle name="已瀏覽過的超連結" xfId="1208" builtinId="9" hidden="1"/>
    <cellStyle name="已瀏覽過的超連結" xfId="1210" builtinId="9" hidden="1"/>
    <cellStyle name="已瀏覽過的超連結" xfId="1212" builtinId="9" hidden="1"/>
    <cellStyle name="已瀏覽過的超連結" xfId="1214" builtinId="9" hidden="1"/>
    <cellStyle name="已瀏覽過的超連結" xfId="1216" builtinId="9" hidden="1"/>
    <cellStyle name="已瀏覽過的超連結" xfId="1218" builtinId="9" hidden="1"/>
    <cellStyle name="已瀏覽過的超連結" xfId="1220" builtinId="9" hidden="1"/>
    <cellStyle name="已瀏覽過的超連結" xfId="1222" builtinId="9" hidden="1"/>
    <cellStyle name="已瀏覽過的超連結" xfId="1224" builtinId="9" hidden="1"/>
    <cellStyle name="已瀏覽過的超連結" xfId="1226" builtinId="9" hidden="1"/>
    <cellStyle name="已瀏覽過的超連結" xfId="1228" builtinId="9" hidden="1"/>
    <cellStyle name="已瀏覽過的超連結" xfId="1230" builtinId="9" hidden="1"/>
    <cellStyle name="已瀏覽過的超連結" xfId="1232" builtinId="9" hidden="1"/>
    <cellStyle name="已瀏覽過的超連結" xfId="1234" builtinId="9" hidden="1"/>
    <cellStyle name="已瀏覽過的超連結" xfId="1236" builtinId="9" hidden="1"/>
    <cellStyle name="已瀏覽過的超連結" xfId="1238" builtinId="9" hidden="1"/>
    <cellStyle name="已瀏覽過的超連結" xfId="1240" builtinId="9" hidden="1"/>
    <cellStyle name="已瀏覽過的超連結" xfId="1242" builtinId="9" hidden="1"/>
    <cellStyle name="已瀏覽過的超連結" xfId="1244" builtinId="9" hidden="1"/>
    <cellStyle name="已瀏覽過的超連結" xfId="1246" builtinId="9" hidden="1"/>
    <cellStyle name="已瀏覽過的超連結" xfId="1248" builtinId="9" hidden="1"/>
    <cellStyle name="已瀏覽過的超連結" xfId="1250" builtinId="9" hidden="1"/>
    <cellStyle name="已瀏覽過的超連結" xfId="1252" builtinId="9" hidden="1"/>
    <cellStyle name="已瀏覽過的超連結" xfId="1254" builtinId="9" hidden="1"/>
    <cellStyle name="已瀏覽過的超連結" xfId="1256" builtinId="9" hidden="1"/>
    <cellStyle name="已瀏覽過的超連結" xfId="1258" builtinId="9" hidden="1"/>
    <cellStyle name="已瀏覽過的超連結" xfId="1260" builtinId="9" hidden="1"/>
    <cellStyle name="已瀏覽過的超連結" xfId="1262" builtinId="9" hidden="1"/>
    <cellStyle name="超連結" xfId="1" builtinId="8" hidden="1"/>
    <cellStyle name="超連結" xfId="3" builtinId="8" hidden="1"/>
    <cellStyle name="超連結" xfId="5" builtinId="8" hidden="1"/>
    <cellStyle name="超連結" xfId="7" builtinId="8" hidden="1"/>
    <cellStyle name="超連結" xfId="9" builtinId="8" hidden="1"/>
    <cellStyle name="超連結" xfId="11" builtinId="8" hidden="1"/>
    <cellStyle name="超連結" xfId="13" builtinId="8" hidden="1"/>
    <cellStyle name="超連結" xfId="15" builtinId="8" hidden="1"/>
    <cellStyle name="超連結" xfId="17" builtinId="8" hidden="1"/>
    <cellStyle name="超連結" xfId="19" builtinId="8" hidden="1"/>
    <cellStyle name="超連結" xfId="21" builtinId="8" hidden="1"/>
    <cellStyle name="超連結" xfId="23" builtinId="8" hidden="1"/>
    <cellStyle name="超連結" xfId="25" builtinId="8" hidden="1"/>
    <cellStyle name="超連結" xfId="27" builtinId="8" hidden="1"/>
    <cellStyle name="超連結" xfId="29" builtinId="8" hidden="1"/>
    <cellStyle name="超連結" xfId="31" builtinId="8" hidden="1"/>
    <cellStyle name="超連結" xfId="33" builtinId="8" hidden="1"/>
    <cellStyle name="超連結" xfId="35" builtinId="8" hidden="1"/>
    <cellStyle name="超連結" xfId="37" builtinId="8" hidden="1"/>
    <cellStyle name="超連結" xfId="39" builtinId="8" hidden="1"/>
    <cellStyle name="超連結" xfId="41" builtinId="8" hidden="1"/>
    <cellStyle name="超連結" xfId="43" builtinId="8" hidden="1"/>
    <cellStyle name="超連結" xfId="45" builtinId="8" hidden="1"/>
    <cellStyle name="超連結" xfId="47" builtinId="8" hidden="1"/>
    <cellStyle name="超連結" xfId="49" builtinId="8" hidden="1"/>
    <cellStyle name="超連結" xfId="51" builtinId="8" hidden="1"/>
    <cellStyle name="超連結" xfId="53" builtinId="8" hidden="1"/>
    <cellStyle name="超連結" xfId="55" builtinId="8" hidden="1"/>
    <cellStyle name="超連結" xfId="57" builtinId="8" hidden="1"/>
    <cellStyle name="超連結" xfId="59" builtinId="8" hidden="1"/>
    <cellStyle name="超連結" xfId="61" builtinId="8" hidden="1"/>
    <cellStyle name="超連結" xfId="63" builtinId="8" hidden="1"/>
    <cellStyle name="超連結" xfId="65" builtinId="8" hidden="1"/>
    <cellStyle name="超連結" xfId="67" builtinId="8" hidden="1"/>
    <cellStyle name="超連結" xfId="69" builtinId="8" hidden="1"/>
    <cellStyle name="超連結" xfId="71" builtinId="8" hidden="1"/>
    <cellStyle name="超連結" xfId="73" builtinId="8" hidden="1"/>
    <cellStyle name="超連結" xfId="75" builtinId="8" hidden="1"/>
    <cellStyle name="超連結" xfId="77" builtinId="8" hidden="1"/>
    <cellStyle name="超連結" xfId="79" builtinId="8" hidden="1"/>
    <cellStyle name="超連結" xfId="81" builtinId="8" hidden="1"/>
    <cellStyle name="超連結" xfId="83" builtinId="8" hidden="1"/>
    <cellStyle name="超連結" xfId="85" builtinId="8" hidden="1"/>
    <cellStyle name="超連結" xfId="87" builtinId="8" hidden="1"/>
    <cellStyle name="超連結" xfId="89" builtinId="8" hidden="1"/>
    <cellStyle name="超連結" xfId="91" builtinId="8" hidden="1"/>
    <cellStyle name="超連結" xfId="93" builtinId="8" hidden="1"/>
    <cellStyle name="超連結" xfId="95" builtinId="8" hidden="1"/>
    <cellStyle name="超連結" xfId="97" builtinId="8" hidden="1"/>
    <cellStyle name="超連結" xfId="99" builtinId="8" hidden="1"/>
    <cellStyle name="超連結" xfId="101" builtinId="8" hidden="1"/>
    <cellStyle name="超連結" xfId="103" builtinId="8" hidden="1"/>
    <cellStyle name="超連結" xfId="105" builtinId="8" hidden="1"/>
    <cellStyle name="超連結" xfId="107" builtinId="8" hidden="1"/>
    <cellStyle name="超連結" xfId="109" builtinId="8" hidden="1"/>
    <cellStyle name="超連結" xfId="111" builtinId="8" hidden="1"/>
    <cellStyle name="超連結" xfId="113" builtinId="8" hidden="1"/>
    <cellStyle name="超連結" xfId="115" builtinId="8" hidden="1"/>
    <cellStyle name="超連結" xfId="117" builtinId="8" hidden="1"/>
    <cellStyle name="超連結" xfId="119" builtinId="8" hidden="1"/>
    <cellStyle name="超連結" xfId="121" builtinId="8" hidden="1"/>
    <cellStyle name="超連結" xfId="123" builtinId="8" hidden="1"/>
    <cellStyle name="超連結" xfId="125" builtinId="8" hidden="1"/>
    <cellStyle name="超連結" xfId="127" builtinId="8" hidden="1"/>
    <cellStyle name="超連結" xfId="129" builtinId="8" hidden="1"/>
    <cellStyle name="超連結" xfId="131" builtinId="8" hidden="1"/>
    <cellStyle name="超連結" xfId="133" builtinId="8" hidden="1"/>
    <cellStyle name="超連結" xfId="135" builtinId="8" hidden="1"/>
    <cellStyle name="超連結" xfId="137" builtinId="8" hidden="1"/>
    <cellStyle name="超連結" xfId="139" builtinId="8" hidden="1"/>
    <cellStyle name="超連結" xfId="141" builtinId="8" hidden="1"/>
    <cellStyle name="超連結" xfId="143" builtinId="8" hidden="1"/>
    <cellStyle name="超連結" xfId="145" builtinId="8" hidden="1"/>
    <cellStyle name="超連結" xfId="147" builtinId="8" hidden="1"/>
    <cellStyle name="超連結" xfId="149" builtinId="8" hidden="1"/>
    <cellStyle name="超連結" xfId="151" builtinId="8" hidden="1"/>
    <cellStyle name="超連結" xfId="153" builtinId="8" hidden="1"/>
    <cellStyle name="超連結" xfId="155" builtinId="8" hidden="1"/>
    <cellStyle name="超連結" xfId="157" builtinId="8" hidden="1"/>
    <cellStyle name="超連結" xfId="159" builtinId="8" hidden="1"/>
    <cellStyle name="超連結" xfId="161" builtinId="8" hidden="1"/>
    <cellStyle name="超連結" xfId="163" builtinId="8" hidden="1"/>
    <cellStyle name="超連結" xfId="165" builtinId="8" hidden="1"/>
    <cellStyle name="超連結" xfId="167" builtinId="8" hidden="1"/>
    <cellStyle name="超連結" xfId="169" builtinId="8" hidden="1"/>
    <cellStyle name="超連結" xfId="171" builtinId="8" hidden="1"/>
    <cellStyle name="超連結" xfId="173" builtinId="8" hidden="1"/>
    <cellStyle name="超連結" xfId="175" builtinId="8" hidden="1"/>
    <cellStyle name="超連結" xfId="177" builtinId="8" hidden="1"/>
    <cellStyle name="超連結" xfId="179" builtinId="8" hidden="1"/>
    <cellStyle name="超連結" xfId="181" builtinId="8" hidden="1"/>
    <cellStyle name="超連結" xfId="183" builtinId="8" hidden="1"/>
    <cellStyle name="超連結" xfId="185" builtinId="8" hidden="1"/>
    <cellStyle name="超連結" xfId="187" builtinId="8" hidden="1"/>
    <cellStyle name="超連結" xfId="189" builtinId="8" hidden="1"/>
    <cellStyle name="超連結" xfId="191" builtinId="8" hidden="1"/>
    <cellStyle name="超連結" xfId="193" builtinId="8" hidden="1"/>
    <cellStyle name="超連結" xfId="195" builtinId="8" hidden="1"/>
    <cellStyle name="超連結" xfId="197" builtinId="8" hidden="1"/>
    <cellStyle name="超連結" xfId="199" builtinId="8" hidden="1"/>
    <cellStyle name="超連結" xfId="201" builtinId="8" hidden="1"/>
    <cellStyle name="超連結" xfId="203" builtinId="8" hidden="1"/>
    <cellStyle name="超連結" xfId="205" builtinId="8" hidden="1"/>
    <cellStyle name="超連結" xfId="207" builtinId="8" hidden="1"/>
    <cellStyle name="超連結" xfId="209" builtinId="8" hidden="1"/>
    <cellStyle name="超連結" xfId="211" builtinId="8" hidden="1"/>
    <cellStyle name="超連結" xfId="213" builtinId="8" hidden="1"/>
    <cellStyle name="超連結" xfId="215" builtinId="8" hidden="1"/>
    <cellStyle name="超連結" xfId="217" builtinId="8" hidden="1"/>
    <cellStyle name="超連結" xfId="219" builtinId="8" hidden="1"/>
    <cellStyle name="超連結" xfId="221" builtinId="8" hidden="1"/>
    <cellStyle name="超連結" xfId="223" builtinId="8" hidden="1"/>
    <cellStyle name="超連結" xfId="225" builtinId="8" hidden="1"/>
    <cellStyle name="超連結" xfId="227" builtinId="8" hidden="1"/>
    <cellStyle name="超連結" xfId="229" builtinId="8" hidden="1"/>
    <cellStyle name="超連結" xfId="231" builtinId="8" hidden="1"/>
    <cellStyle name="超連結" xfId="233" builtinId="8" hidden="1"/>
    <cellStyle name="超連結" xfId="235" builtinId="8" hidden="1"/>
    <cellStyle name="超連結" xfId="237" builtinId="8" hidden="1"/>
    <cellStyle name="超連結" xfId="239" builtinId="8" hidden="1"/>
    <cellStyle name="超連結" xfId="241" builtinId="8" hidden="1"/>
    <cellStyle name="超連結" xfId="243" builtinId="8" hidden="1"/>
    <cellStyle name="超連結" xfId="245" builtinId="8" hidden="1"/>
    <cellStyle name="超連結" xfId="247" builtinId="8" hidden="1"/>
    <cellStyle name="超連結" xfId="249" builtinId="8" hidden="1"/>
    <cellStyle name="超連結" xfId="251" builtinId="8" hidden="1"/>
    <cellStyle name="超連結" xfId="253" builtinId="8" hidden="1"/>
    <cellStyle name="超連結" xfId="255" builtinId="8" hidden="1"/>
    <cellStyle name="超連結" xfId="257" builtinId="8" hidden="1"/>
    <cellStyle name="超連結" xfId="259" builtinId="8" hidden="1"/>
    <cellStyle name="超連結" xfId="261" builtinId="8" hidden="1"/>
    <cellStyle name="超連結" xfId="263" builtinId="8" hidden="1"/>
    <cellStyle name="超連結" xfId="265" builtinId="8" hidden="1"/>
    <cellStyle name="超連結" xfId="267" builtinId="8" hidden="1"/>
    <cellStyle name="超連結" xfId="269" builtinId="8" hidden="1"/>
    <cellStyle name="超連結" xfId="271" builtinId="8" hidden="1"/>
    <cellStyle name="超連結" xfId="273" builtinId="8" hidden="1"/>
    <cellStyle name="超連結" xfId="275" builtinId="8" hidden="1"/>
    <cellStyle name="超連結" xfId="277" builtinId="8" hidden="1"/>
    <cellStyle name="超連結" xfId="279" builtinId="8" hidden="1"/>
    <cellStyle name="超連結" xfId="281" builtinId="8" hidden="1"/>
    <cellStyle name="超連結" xfId="283" builtinId="8" hidden="1"/>
    <cellStyle name="超連結" xfId="285" builtinId="8" hidden="1"/>
    <cellStyle name="超連結" xfId="287" builtinId="8" hidden="1"/>
    <cellStyle name="超連結" xfId="289" builtinId="8" hidden="1"/>
    <cellStyle name="超連結" xfId="291" builtinId="8" hidden="1"/>
    <cellStyle name="超連結" xfId="293" builtinId="8" hidden="1"/>
    <cellStyle name="超連結" xfId="295" builtinId="8" hidden="1"/>
    <cellStyle name="超連結" xfId="297" builtinId="8" hidden="1"/>
    <cellStyle name="超連結" xfId="299" builtinId="8" hidden="1"/>
    <cellStyle name="超連結" xfId="301" builtinId="8" hidden="1"/>
    <cellStyle name="超連結" xfId="303" builtinId="8" hidden="1"/>
    <cellStyle name="超連結" xfId="305" builtinId="8" hidden="1"/>
    <cellStyle name="超連結" xfId="307" builtinId="8" hidden="1"/>
    <cellStyle name="超連結" xfId="309" builtinId="8" hidden="1"/>
    <cellStyle name="超連結" xfId="311" builtinId="8" hidden="1"/>
    <cellStyle name="超連結" xfId="313" builtinId="8" hidden="1"/>
    <cellStyle name="超連結" xfId="315" builtinId="8" hidden="1"/>
    <cellStyle name="超連結" xfId="317" builtinId="8" hidden="1"/>
    <cellStyle name="超連結" xfId="319" builtinId="8" hidden="1"/>
    <cellStyle name="超連結" xfId="321" builtinId="8" hidden="1"/>
    <cellStyle name="超連結" xfId="323" builtinId="8" hidden="1"/>
    <cellStyle name="超連結" xfId="325" builtinId="8" hidden="1"/>
    <cellStyle name="超連結" xfId="327" builtinId="8" hidden="1"/>
    <cellStyle name="超連結" xfId="329" builtinId="8" hidden="1"/>
    <cellStyle name="超連結" xfId="331" builtinId="8" hidden="1"/>
    <cellStyle name="超連結" xfId="333" builtinId="8" hidden="1"/>
    <cellStyle name="超連結" xfId="335" builtinId="8" hidden="1"/>
    <cellStyle name="超連結" xfId="337" builtinId="8" hidden="1"/>
    <cellStyle name="超連結" xfId="339" builtinId="8" hidden="1"/>
    <cellStyle name="超連結" xfId="341" builtinId="8" hidden="1"/>
    <cellStyle name="超連結" xfId="343" builtinId="8" hidden="1"/>
    <cellStyle name="超連結" xfId="345" builtinId="8" hidden="1"/>
    <cellStyle name="超連結" xfId="347" builtinId="8" hidden="1"/>
    <cellStyle name="超連結" xfId="349" builtinId="8" hidden="1"/>
    <cellStyle name="超連結" xfId="351" builtinId="8" hidden="1"/>
    <cellStyle name="超連結" xfId="353" builtinId="8" hidden="1"/>
    <cellStyle name="超連結" xfId="355" builtinId="8" hidden="1"/>
    <cellStyle name="超連結" xfId="357" builtinId="8" hidden="1"/>
    <cellStyle name="超連結" xfId="359" builtinId="8" hidden="1"/>
    <cellStyle name="超連結" xfId="361" builtinId="8" hidden="1"/>
    <cellStyle name="超連結" xfId="363" builtinId="8" hidden="1"/>
    <cellStyle name="超連結" xfId="365" builtinId="8" hidden="1"/>
    <cellStyle name="超連結" xfId="367" builtinId="8" hidden="1"/>
    <cellStyle name="超連結" xfId="369" builtinId="8" hidden="1"/>
    <cellStyle name="超連結" xfId="371" builtinId="8" hidden="1"/>
    <cellStyle name="超連結" xfId="373" builtinId="8" hidden="1"/>
    <cellStyle name="超連結" xfId="375" builtinId="8" hidden="1"/>
    <cellStyle name="超連結" xfId="377" builtinId="8" hidden="1"/>
    <cellStyle name="超連結" xfId="379" builtinId="8" hidden="1"/>
    <cellStyle name="超連結" xfId="381" builtinId="8" hidden="1"/>
    <cellStyle name="超連結" xfId="383" builtinId="8" hidden="1"/>
    <cellStyle name="超連結" xfId="385" builtinId="8" hidden="1"/>
    <cellStyle name="超連結" xfId="387" builtinId="8" hidden="1"/>
    <cellStyle name="超連結" xfId="389" builtinId="8" hidden="1"/>
    <cellStyle name="超連結" xfId="391" builtinId="8" hidden="1"/>
    <cellStyle name="超連結" xfId="393" builtinId="8" hidden="1"/>
    <cellStyle name="超連結" xfId="395" builtinId="8" hidden="1"/>
    <cellStyle name="超連結" xfId="397" builtinId="8" hidden="1"/>
    <cellStyle name="超連結" xfId="399" builtinId="8" hidden="1"/>
    <cellStyle name="超連結" xfId="401" builtinId="8" hidden="1"/>
    <cellStyle name="超連結" xfId="403" builtinId="8" hidden="1"/>
    <cellStyle name="超連結" xfId="405" builtinId="8" hidden="1"/>
    <cellStyle name="超連結" xfId="407" builtinId="8" hidden="1"/>
    <cellStyle name="超連結" xfId="409" builtinId="8" hidden="1"/>
    <cellStyle name="超連結" xfId="411" builtinId="8" hidden="1"/>
    <cellStyle name="超連結" xfId="413" builtinId="8" hidden="1"/>
    <cellStyle name="超連結" xfId="415" builtinId="8" hidden="1"/>
    <cellStyle name="超連結" xfId="417" builtinId="8" hidden="1"/>
    <cellStyle name="超連結" xfId="419" builtinId="8" hidden="1"/>
    <cellStyle name="超連結" xfId="421" builtinId="8" hidden="1"/>
    <cellStyle name="超連結" xfId="423" builtinId="8" hidden="1"/>
    <cellStyle name="超連結" xfId="425" builtinId="8" hidden="1"/>
    <cellStyle name="超連結" xfId="427" builtinId="8" hidden="1"/>
    <cellStyle name="超連結" xfId="429" builtinId="8" hidden="1"/>
    <cellStyle name="超連結" xfId="431" builtinId="8" hidden="1"/>
    <cellStyle name="超連結" xfId="433" builtinId="8" hidden="1"/>
    <cellStyle name="超連結" xfId="435" builtinId="8" hidden="1"/>
    <cellStyle name="超連結" xfId="437" builtinId="8" hidden="1"/>
    <cellStyle name="超連結" xfId="439" builtinId="8" hidden="1"/>
    <cellStyle name="超連結" xfId="441" builtinId="8" hidden="1"/>
    <cellStyle name="超連結" xfId="443" builtinId="8" hidden="1"/>
    <cellStyle name="超連結" xfId="445" builtinId="8" hidden="1"/>
    <cellStyle name="超連結" xfId="447" builtinId="8" hidden="1"/>
    <cellStyle name="超連結" xfId="449" builtinId="8" hidden="1"/>
    <cellStyle name="超連結" xfId="451" builtinId="8" hidden="1"/>
    <cellStyle name="超連結" xfId="453" builtinId="8" hidden="1"/>
    <cellStyle name="超連結" xfId="455" builtinId="8" hidden="1"/>
    <cellStyle name="超連結" xfId="457" builtinId="8" hidden="1"/>
    <cellStyle name="超連結" xfId="459" builtinId="8" hidden="1"/>
    <cellStyle name="超連結" xfId="461" builtinId="8" hidden="1"/>
    <cellStyle name="超連結" xfId="463" builtinId="8" hidden="1"/>
    <cellStyle name="超連結" xfId="465" builtinId="8" hidden="1"/>
    <cellStyle name="超連結" xfId="467" builtinId="8" hidden="1"/>
    <cellStyle name="超連結" xfId="469" builtinId="8" hidden="1"/>
    <cellStyle name="超連結" xfId="471" builtinId="8" hidden="1"/>
    <cellStyle name="超連結" xfId="473" builtinId="8" hidden="1"/>
    <cellStyle name="超連結" xfId="475" builtinId="8" hidden="1"/>
    <cellStyle name="超連結" xfId="477" builtinId="8" hidden="1"/>
    <cellStyle name="超連結" xfId="479" builtinId="8" hidden="1"/>
    <cellStyle name="超連結" xfId="481" builtinId="8" hidden="1"/>
    <cellStyle name="超連結" xfId="483" builtinId="8" hidden="1"/>
    <cellStyle name="超連結" xfId="485" builtinId="8" hidden="1"/>
    <cellStyle name="超連結" xfId="487" builtinId="8" hidden="1"/>
    <cellStyle name="超連結" xfId="489" builtinId="8" hidden="1"/>
    <cellStyle name="超連結" xfId="491" builtinId="8" hidden="1"/>
    <cellStyle name="超連結" xfId="493" builtinId="8" hidden="1"/>
    <cellStyle name="超連結" xfId="495" builtinId="8" hidden="1"/>
    <cellStyle name="超連結" xfId="497" builtinId="8" hidden="1"/>
    <cellStyle name="超連結" xfId="499" builtinId="8" hidden="1"/>
    <cellStyle name="超連結" xfId="501" builtinId="8" hidden="1"/>
    <cellStyle name="超連結" xfId="503" builtinId="8" hidden="1"/>
    <cellStyle name="超連結" xfId="505" builtinId="8" hidden="1"/>
    <cellStyle name="超連結" xfId="507" builtinId="8" hidden="1"/>
    <cellStyle name="超連結" xfId="509" builtinId="8" hidden="1"/>
    <cellStyle name="超連結" xfId="511" builtinId="8" hidden="1"/>
    <cellStyle name="超連結" xfId="513" builtinId="8" hidden="1"/>
    <cellStyle name="超連結" xfId="515" builtinId="8" hidden="1"/>
    <cellStyle name="超連結" xfId="517" builtinId="8" hidden="1"/>
    <cellStyle name="超連結" xfId="519" builtinId="8" hidden="1"/>
    <cellStyle name="超連結" xfId="521" builtinId="8" hidden="1"/>
    <cellStyle name="超連結" xfId="523" builtinId="8" hidden="1"/>
    <cellStyle name="超連結" xfId="525" builtinId="8" hidden="1"/>
    <cellStyle name="超連結" xfId="527" builtinId="8" hidden="1"/>
    <cellStyle name="超連結" xfId="529" builtinId="8" hidden="1"/>
    <cellStyle name="超連結" xfId="531" builtinId="8" hidden="1"/>
    <cellStyle name="超連結" xfId="533" builtinId="8" hidden="1"/>
    <cellStyle name="超連結" xfId="535" builtinId="8" hidden="1"/>
    <cellStyle name="超連結" xfId="537" builtinId="8" hidden="1"/>
    <cellStyle name="超連結" xfId="539" builtinId="8" hidden="1"/>
    <cellStyle name="超連結" xfId="541" builtinId="8" hidden="1"/>
    <cellStyle name="超連結" xfId="543" builtinId="8" hidden="1"/>
    <cellStyle name="超連結" xfId="545" builtinId="8" hidden="1"/>
    <cellStyle name="超連結" xfId="547" builtinId="8" hidden="1"/>
    <cellStyle name="超連結" xfId="549" builtinId="8" hidden="1"/>
    <cellStyle name="超連結" xfId="551" builtinId="8" hidden="1"/>
    <cellStyle name="超連結" xfId="553" builtinId="8" hidden="1"/>
    <cellStyle name="超連結" xfId="555" builtinId="8" hidden="1"/>
    <cellStyle name="超連結" xfId="557" builtinId="8" hidden="1"/>
    <cellStyle name="超連結" xfId="559" builtinId="8" hidden="1"/>
    <cellStyle name="超連結" xfId="561" builtinId="8" hidden="1"/>
    <cellStyle name="超連結" xfId="563" builtinId="8" hidden="1"/>
    <cellStyle name="超連結" xfId="565" builtinId="8" hidden="1"/>
    <cellStyle name="超連結" xfId="567" builtinId="8" hidden="1"/>
    <cellStyle name="超連結" xfId="569" builtinId="8" hidden="1"/>
    <cellStyle name="超連結" xfId="571" builtinId="8" hidden="1"/>
    <cellStyle name="超連結" xfId="573" builtinId="8" hidden="1"/>
    <cellStyle name="超連結" xfId="575" builtinId="8" hidden="1"/>
    <cellStyle name="超連結" xfId="577" builtinId="8" hidden="1"/>
    <cellStyle name="超連結" xfId="579" builtinId="8" hidden="1"/>
    <cellStyle name="超連結" xfId="581" builtinId="8" hidden="1"/>
    <cellStyle name="超連結" xfId="583" builtinId="8" hidden="1"/>
    <cellStyle name="超連結" xfId="585" builtinId="8" hidden="1"/>
    <cellStyle name="超連結" xfId="587" builtinId="8" hidden="1"/>
    <cellStyle name="超連結" xfId="589" builtinId="8" hidden="1"/>
    <cellStyle name="超連結" xfId="591" builtinId="8" hidden="1"/>
    <cellStyle name="超連結" xfId="593" builtinId="8" hidden="1"/>
    <cellStyle name="超連結" xfId="595" builtinId="8" hidden="1"/>
    <cellStyle name="超連結" xfId="597" builtinId="8" hidden="1"/>
    <cellStyle name="超連結" xfId="599" builtinId="8" hidden="1"/>
    <cellStyle name="超連結" xfId="601" builtinId="8" hidden="1"/>
    <cellStyle name="超連結" xfId="603" builtinId="8" hidden="1"/>
    <cellStyle name="超連結" xfId="605" builtinId="8" hidden="1"/>
    <cellStyle name="超連結" xfId="607" builtinId="8" hidden="1"/>
    <cellStyle name="超連結" xfId="609" builtinId="8" hidden="1"/>
    <cellStyle name="超連結" xfId="611" builtinId="8" hidden="1"/>
    <cellStyle name="超連結" xfId="613" builtinId="8" hidden="1"/>
    <cellStyle name="超連結" xfId="615" builtinId="8" hidden="1"/>
    <cellStyle name="超連結" xfId="617" builtinId="8" hidden="1"/>
    <cellStyle name="超連結" xfId="619" builtinId="8" hidden="1"/>
    <cellStyle name="超連結" xfId="621" builtinId="8" hidden="1"/>
    <cellStyle name="超連結" xfId="623" builtinId="8" hidden="1"/>
    <cellStyle name="超連結" xfId="625" builtinId="8" hidden="1"/>
    <cellStyle name="超連結" xfId="627" builtinId="8" hidden="1"/>
    <cellStyle name="超連結" xfId="629" builtinId="8" hidden="1"/>
    <cellStyle name="超連結" xfId="631" builtinId="8" hidden="1"/>
    <cellStyle name="超連結" xfId="633" builtinId="8" hidden="1"/>
    <cellStyle name="超連結" xfId="635" builtinId="8" hidden="1"/>
    <cellStyle name="超連結" xfId="637" builtinId="8" hidden="1"/>
    <cellStyle name="超連結" xfId="639" builtinId="8" hidden="1"/>
    <cellStyle name="超連結" xfId="641" builtinId="8" hidden="1"/>
    <cellStyle name="超連結" xfId="643" builtinId="8" hidden="1"/>
    <cellStyle name="超連結" xfId="645" builtinId="8" hidden="1"/>
    <cellStyle name="超連結" xfId="647" builtinId="8" hidden="1"/>
    <cellStyle name="超連結" xfId="649" builtinId="8" hidden="1"/>
    <cellStyle name="超連結" xfId="651" builtinId="8" hidden="1"/>
    <cellStyle name="超連結" xfId="653" builtinId="8" hidden="1"/>
    <cellStyle name="超連結" xfId="655" builtinId="8" hidden="1"/>
    <cellStyle name="超連結" xfId="657" builtinId="8" hidden="1"/>
    <cellStyle name="超連結" xfId="659" builtinId="8" hidden="1"/>
    <cellStyle name="超連結" xfId="661" builtinId="8" hidden="1"/>
    <cellStyle name="超連結" xfId="663" builtinId="8" hidden="1"/>
    <cellStyle name="超連結" xfId="665" builtinId="8" hidden="1"/>
    <cellStyle name="超連結" xfId="667" builtinId="8" hidden="1"/>
    <cellStyle name="超連結" xfId="669" builtinId="8" hidden="1"/>
    <cellStyle name="超連結" xfId="671" builtinId="8" hidden="1"/>
    <cellStyle name="超連結" xfId="673" builtinId="8" hidden="1"/>
    <cellStyle name="超連結" xfId="675" builtinId="8" hidden="1"/>
    <cellStyle name="超連結" xfId="677" builtinId="8" hidden="1"/>
    <cellStyle name="超連結" xfId="679" builtinId="8" hidden="1"/>
    <cellStyle name="超連結" xfId="681" builtinId="8" hidden="1"/>
    <cellStyle name="超連結" xfId="683" builtinId="8" hidden="1"/>
    <cellStyle name="超連結" xfId="685" builtinId="8" hidden="1"/>
    <cellStyle name="超連結" xfId="687" builtinId="8" hidden="1"/>
    <cellStyle name="超連結" xfId="689" builtinId="8" hidden="1"/>
    <cellStyle name="超連結" xfId="691" builtinId="8" hidden="1"/>
    <cellStyle name="超連結" xfId="693" builtinId="8" hidden="1"/>
    <cellStyle name="超連結" xfId="695" builtinId="8" hidden="1"/>
    <cellStyle name="超連結" xfId="697" builtinId="8" hidden="1"/>
    <cellStyle name="超連結" xfId="699" builtinId="8" hidden="1"/>
    <cellStyle name="超連結" xfId="701" builtinId="8" hidden="1"/>
    <cellStyle name="超連結" xfId="703" builtinId="8" hidden="1"/>
    <cellStyle name="超連結" xfId="705" builtinId="8" hidden="1"/>
    <cellStyle name="超連結" xfId="707" builtinId="8" hidden="1"/>
    <cellStyle name="超連結" xfId="709" builtinId="8" hidden="1"/>
    <cellStyle name="超連結" xfId="711" builtinId="8" hidden="1"/>
    <cellStyle name="超連結" xfId="713" builtinId="8" hidden="1"/>
    <cellStyle name="超連結" xfId="715" builtinId="8" hidden="1"/>
    <cellStyle name="超連結" xfId="717" builtinId="8" hidden="1"/>
    <cellStyle name="超連結" xfId="719" builtinId="8" hidden="1"/>
    <cellStyle name="超連結" xfId="721" builtinId="8" hidden="1"/>
    <cellStyle name="超連結" xfId="723" builtinId="8" hidden="1"/>
    <cellStyle name="超連結" xfId="725" builtinId="8" hidden="1"/>
    <cellStyle name="超連結" xfId="727" builtinId="8" hidden="1"/>
    <cellStyle name="超連結" xfId="729" builtinId="8" hidden="1"/>
    <cellStyle name="超連結" xfId="731" builtinId="8" hidden="1"/>
    <cellStyle name="超連結" xfId="733" builtinId="8" hidden="1"/>
    <cellStyle name="超連結" xfId="735" builtinId="8" hidden="1"/>
    <cellStyle name="超連結" xfId="737" builtinId="8" hidden="1"/>
    <cellStyle name="超連結" xfId="739" builtinId="8" hidden="1"/>
    <cellStyle name="超連結" xfId="741" builtinId="8" hidden="1"/>
    <cellStyle name="超連結" xfId="743" builtinId="8" hidden="1"/>
    <cellStyle name="超連結" xfId="745" builtinId="8" hidden="1"/>
    <cellStyle name="超連結" xfId="747" builtinId="8" hidden="1"/>
    <cellStyle name="超連結" xfId="749" builtinId="8" hidden="1"/>
    <cellStyle name="超連結" xfId="751" builtinId="8" hidden="1"/>
    <cellStyle name="超連結" xfId="753" builtinId="8" hidden="1"/>
    <cellStyle name="超連結" xfId="755" builtinId="8" hidden="1"/>
    <cellStyle name="超連結" xfId="757" builtinId="8" hidden="1"/>
    <cellStyle name="超連結" xfId="759" builtinId="8" hidden="1"/>
    <cellStyle name="超連結" xfId="761" builtinId="8" hidden="1"/>
    <cellStyle name="超連結" xfId="763" builtinId="8" hidden="1"/>
    <cellStyle name="超連結" xfId="765" builtinId="8" hidden="1"/>
    <cellStyle name="超連結" xfId="767" builtinId="8" hidden="1"/>
    <cellStyle name="超連結" xfId="769" builtinId="8" hidden="1"/>
    <cellStyle name="超連結" xfId="771" builtinId="8" hidden="1"/>
    <cellStyle name="超連結" xfId="773" builtinId="8" hidden="1"/>
    <cellStyle name="超連結" xfId="775" builtinId="8" hidden="1"/>
    <cellStyle name="超連結" xfId="777" builtinId="8" hidden="1"/>
    <cellStyle name="超連結" xfId="779" builtinId="8" hidden="1"/>
    <cellStyle name="超連結" xfId="781" builtinId="8" hidden="1"/>
    <cellStyle name="超連結" xfId="783" builtinId="8" hidden="1"/>
    <cellStyle name="超連結" xfId="785" builtinId="8" hidden="1"/>
    <cellStyle name="超連結" xfId="787" builtinId="8" hidden="1"/>
    <cellStyle name="超連結" xfId="789" builtinId="8" hidden="1"/>
    <cellStyle name="超連結" xfId="791" builtinId="8" hidden="1"/>
    <cellStyle name="超連結" xfId="793" builtinId="8" hidden="1"/>
    <cellStyle name="超連結" xfId="795" builtinId="8" hidden="1"/>
    <cellStyle name="超連結" xfId="797" builtinId="8" hidden="1"/>
    <cellStyle name="超連結" xfId="799" builtinId="8" hidden="1"/>
    <cellStyle name="超連結" xfId="801" builtinId="8" hidden="1"/>
    <cellStyle name="超連結" xfId="803" builtinId="8" hidden="1"/>
    <cellStyle name="超連結" xfId="805" builtinId="8" hidden="1"/>
    <cellStyle name="超連結" xfId="807" builtinId="8" hidden="1"/>
    <cellStyle name="超連結" xfId="809" builtinId="8" hidden="1"/>
    <cellStyle name="超連結" xfId="811" builtinId="8" hidden="1"/>
    <cellStyle name="超連結" xfId="813" builtinId="8" hidden="1"/>
    <cellStyle name="超連結" xfId="815" builtinId="8" hidden="1"/>
    <cellStyle name="超連結" xfId="817" builtinId="8" hidden="1"/>
    <cellStyle name="超連結" xfId="819" builtinId="8" hidden="1"/>
    <cellStyle name="超連結" xfId="821" builtinId="8" hidden="1"/>
    <cellStyle name="超連結" xfId="823" builtinId="8" hidden="1"/>
    <cellStyle name="超連結" xfId="825" builtinId="8" hidden="1"/>
    <cellStyle name="超連結" xfId="827" builtinId="8" hidden="1"/>
    <cellStyle name="超連結" xfId="829" builtinId="8" hidden="1"/>
    <cellStyle name="超連結" xfId="831" builtinId="8" hidden="1"/>
    <cellStyle name="超連結" xfId="833" builtinId="8" hidden="1"/>
    <cellStyle name="超連結" xfId="835" builtinId="8" hidden="1"/>
    <cellStyle name="超連結" xfId="837" builtinId="8" hidden="1"/>
    <cellStyle name="超連結" xfId="839" builtinId="8" hidden="1"/>
    <cellStyle name="超連結" xfId="841" builtinId="8" hidden="1"/>
    <cellStyle name="超連結" xfId="843" builtinId="8" hidden="1"/>
    <cellStyle name="超連結" xfId="845" builtinId="8" hidden="1"/>
    <cellStyle name="超連結" xfId="847" builtinId="8" hidden="1"/>
    <cellStyle name="超連結" xfId="849" builtinId="8" hidden="1"/>
    <cellStyle name="超連結" xfId="851" builtinId="8" hidden="1"/>
    <cellStyle name="超連結" xfId="853" builtinId="8" hidden="1"/>
    <cellStyle name="超連結" xfId="855" builtinId="8" hidden="1"/>
    <cellStyle name="超連結" xfId="857" builtinId="8" hidden="1"/>
    <cellStyle name="超連結" xfId="859" builtinId="8" hidden="1"/>
    <cellStyle name="超連結" xfId="861" builtinId="8" hidden="1"/>
    <cellStyle name="超連結" xfId="863" builtinId="8" hidden="1"/>
    <cellStyle name="超連結" xfId="865" builtinId="8" hidden="1"/>
    <cellStyle name="超連結" xfId="867" builtinId="8" hidden="1"/>
    <cellStyle name="超連結" xfId="869" builtinId="8" hidden="1"/>
    <cellStyle name="超連結" xfId="871" builtinId="8" hidden="1"/>
    <cellStyle name="超連結" xfId="873" builtinId="8" hidden="1"/>
    <cellStyle name="超連結" xfId="875" builtinId="8" hidden="1"/>
    <cellStyle name="超連結" xfId="877" builtinId="8" hidden="1"/>
    <cellStyle name="超連結" xfId="879" builtinId="8" hidden="1"/>
    <cellStyle name="超連結" xfId="881" builtinId="8" hidden="1"/>
    <cellStyle name="超連結" xfId="883" builtinId="8" hidden="1"/>
    <cellStyle name="超連結" xfId="885" builtinId="8" hidden="1"/>
    <cellStyle name="超連結" xfId="887" builtinId="8" hidden="1"/>
    <cellStyle name="超連結" xfId="889" builtinId="8" hidden="1"/>
    <cellStyle name="超連結" xfId="891" builtinId="8" hidden="1"/>
    <cellStyle name="超連結" xfId="893" builtinId="8" hidden="1"/>
    <cellStyle name="超連結" xfId="895" builtinId="8" hidden="1"/>
    <cellStyle name="超連結" xfId="897" builtinId="8" hidden="1"/>
    <cellStyle name="超連結" xfId="899" builtinId="8" hidden="1"/>
    <cellStyle name="超連結" xfId="901" builtinId="8" hidden="1"/>
    <cellStyle name="超連結" xfId="903" builtinId="8" hidden="1"/>
    <cellStyle name="超連結" xfId="905" builtinId="8" hidden="1"/>
    <cellStyle name="超連結" xfId="907" builtinId="8" hidden="1"/>
    <cellStyle name="超連結" xfId="909" builtinId="8" hidden="1"/>
    <cellStyle name="超連結" xfId="911" builtinId="8" hidden="1"/>
    <cellStyle name="超連結" xfId="913" builtinId="8" hidden="1"/>
    <cellStyle name="超連結" xfId="915" builtinId="8" hidden="1"/>
    <cellStyle name="超連結" xfId="917" builtinId="8" hidden="1"/>
    <cellStyle name="超連結" xfId="919" builtinId="8" hidden="1"/>
    <cellStyle name="超連結" xfId="921" builtinId="8" hidden="1"/>
    <cellStyle name="超連結" xfId="923" builtinId="8" hidden="1"/>
    <cellStyle name="超連結" xfId="925" builtinId="8" hidden="1"/>
    <cellStyle name="超連結" xfId="927" builtinId="8" hidden="1"/>
    <cellStyle name="超連結" xfId="929" builtinId="8" hidden="1"/>
    <cellStyle name="超連結" xfId="931" builtinId="8" hidden="1"/>
    <cellStyle name="超連結" xfId="933" builtinId="8" hidden="1"/>
    <cellStyle name="超連結" xfId="935" builtinId="8" hidden="1"/>
    <cellStyle name="超連結" xfId="937" builtinId="8" hidden="1"/>
    <cellStyle name="超連結" xfId="939" builtinId="8" hidden="1"/>
    <cellStyle name="超連結" xfId="941" builtinId="8" hidden="1"/>
    <cellStyle name="超連結" xfId="943" builtinId="8" hidden="1"/>
    <cellStyle name="超連結" xfId="945" builtinId="8" hidden="1"/>
    <cellStyle name="超連結" xfId="947" builtinId="8" hidden="1"/>
    <cellStyle name="超連結" xfId="949" builtinId="8" hidden="1"/>
    <cellStyle name="超連結" xfId="951" builtinId="8" hidden="1"/>
    <cellStyle name="超連結" xfId="953" builtinId="8" hidden="1"/>
    <cellStyle name="超連結" xfId="955" builtinId="8" hidden="1"/>
    <cellStyle name="超連結" xfId="957" builtinId="8" hidden="1"/>
    <cellStyle name="超連結" xfId="959" builtinId="8" hidden="1"/>
    <cellStyle name="超連結" xfId="961" builtinId="8" hidden="1"/>
    <cellStyle name="超連結" xfId="963" builtinId="8" hidden="1"/>
    <cellStyle name="超連結" xfId="965" builtinId="8" hidden="1"/>
    <cellStyle name="超連結" xfId="967" builtinId="8" hidden="1"/>
    <cellStyle name="超連結" xfId="969" builtinId="8" hidden="1"/>
    <cellStyle name="超連結" xfId="971" builtinId="8" hidden="1"/>
    <cellStyle name="超連結" xfId="973" builtinId="8" hidden="1"/>
    <cellStyle name="超連結" xfId="975" builtinId="8" hidden="1"/>
    <cellStyle name="超連結" xfId="977" builtinId="8" hidden="1"/>
    <cellStyle name="超連結" xfId="979" builtinId="8" hidden="1"/>
    <cellStyle name="超連結" xfId="981" builtinId="8" hidden="1"/>
    <cellStyle name="超連結" xfId="983" builtinId="8" hidden="1"/>
    <cellStyle name="超連結" xfId="985" builtinId="8" hidden="1"/>
    <cellStyle name="超連結" xfId="987" builtinId="8" hidden="1"/>
    <cellStyle name="超連結" xfId="989" builtinId="8" hidden="1"/>
    <cellStyle name="超連結" xfId="991" builtinId="8" hidden="1"/>
    <cellStyle name="超連結" xfId="993" builtinId="8" hidden="1"/>
    <cellStyle name="超連結" xfId="995" builtinId="8" hidden="1"/>
    <cellStyle name="超連結" xfId="997" builtinId="8" hidden="1"/>
    <cellStyle name="超連結" xfId="999" builtinId="8" hidden="1"/>
    <cellStyle name="超連結" xfId="1001" builtinId="8" hidden="1"/>
    <cellStyle name="超連結" xfId="1003" builtinId="8" hidden="1"/>
    <cellStyle name="超連結" xfId="1005" builtinId="8" hidden="1"/>
    <cellStyle name="超連結" xfId="1007" builtinId="8" hidden="1"/>
    <cellStyle name="超連結" xfId="1009" builtinId="8" hidden="1"/>
    <cellStyle name="超連結" xfId="1011" builtinId="8" hidden="1"/>
    <cellStyle name="超連結" xfId="1013" builtinId="8" hidden="1"/>
    <cellStyle name="超連結" xfId="1015" builtinId="8" hidden="1"/>
    <cellStyle name="超連結" xfId="1017" builtinId="8" hidden="1"/>
    <cellStyle name="超連結" xfId="1019" builtinId="8" hidden="1"/>
    <cellStyle name="超連結" xfId="1021" builtinId="8" hidden="1"/>
    <cellStyle name="超連結" xfId="1023" builtinId="8" hidden="1"/>
    <cellStyle name="超連結" xfId="1025" builtinId="8" hidden="1"/>
    <cellStyle name="超連結" xfId="1027" builtinId="8" hidden="1"/>
    <cellStyle name="超連結" xfId="1029" builtinId="8" hidden="1"/>
    <cellStyle name="超連結" xfId="1031" builtinId="8" hidden="1"/>
    <cellStyle name="超連結" xfId="1033" builtinId="8" hidden="1"/>
    <cellStyle name="超連結" xfId="1035" builtinId="8" hidden="1"/>
    <cellStyle name="超連結" xfId="1037" builtinId="8" hidden="1"/>
    <cellStyle name="超連結" xfId="1039" builtinId="8" hidden="1"/>
    <cellStyle name="超連結" xfId="1041" builtinId="8" hidden="1"/>
    <cellStyle name="超連結" xfId="1043" builtinId="8" hidden="1"/>
    <cellStyle name="超連結" xfId="1045" builtinId="8" hidden="1"/>
    <cellStyle name="超連結" xfId="1047" builtinId="8" hidden="1"/>
    <cellStyle name="超連結" xfId="1049" builtinId="8" hidden="1"/>
    <cellStyle name="超連結" xfId="1051" builtinId="8" hidden="1"/>
    <cellStyle name="超連結" xfId="1053" builtinId="8" hidden="1"/>
    <cellStyle name="超連結" xfId="1055" builtinId="8" hidden="1"/>
    <cellStyle name="超連結" xfId="1057" builtinId="8" hidden="1"/>
    <cellStyle name="超連結" xfId="1059" builtinId="8" hidden="1"/>
    <cellStyle name="超連結" xfId="1061" builtinId="8" hidden="1"/>
    <cellStyle name="超連結" xfId="1063" builtinId="8" hidden="1"/>
    <cellStyle name="超連結" xfId="1065" builtinId="8" hidden="1"/>
    <cellStyle name="超連結" xfId="1067" builtinId="8" hidden="1"/>
    <cellStyle name="超連結" xfId="1069" builtinId="8" hidden="1"/>
    <cellStyle name="超連結" xfId="1071" builtinId="8" hidden="1"/>
    <cellStyle name="超連結" xfId="1073" builtinId="8" hidden="1"/>
    <cellStyle name="超連結" xfId="1075" builtinId="8" hidden="1"/>
    <cellStyle name="超連結" xfId="1077" builtinId="8" hidden="1"/>
    <cellStyle name="超連結" xfId="1079" builtinId="8" hidden="1"/>
    <cellStyle name="超連結" xfId="1081" builtinId="8" hidden="1"/>
    <cellStyle name="超連結" xfId="1083" builtinId="8" hidden="1"/>
    <cellStyle name="超連結" xfId="1085" builtinId="8" hidden="1"/>
    <cellStyle name="超連結" xfId="1087" builtinId="8" hidden="1"/>
    <cellStyle name="超連結" xfId="1089" builtinId="8" hidden="1"/>
    <cellStyle name="超連結" xfId="1091" builtinId="8" hidden="1"/>
    <cellStyle name="超連結" xfId="1093" builtinId="8" hidden="1"/>
    <cellStyle name="超連結" xfId="1095" builtinId="8" hidden="1"/>
    <cellStyle name="超連結" xfId="1097" builtinId="8" hidden="1"/>
    <cellStyle name="超連結" xfId="1099" builtinId="8" hidden="1"/>
    <cellStyle name="超連結" xfId="1101" builtinId="8" hidden="1"/>
    <cellStyle name="超連結" xfId="1103" builtinId="8" hidden="1"/>
    <cellStyle name="超連結" xfId="1105" builtinId="8" hidden="1"/>
    <cellStyle name="超連結" xfId="1107" builtinId="8" hidden="1"/>
    <cellStyle name="超連結" xfId="1109" builtinId="8" hidden="1"/>
    <cellStyle name="超連結" xfId="1111" builtinId="8" hidden="1"/>
    <cellStyle name="超連結" xfId="1113" builtinId="8" hidden="1"/>
    <cellStyle name="超連結" xfId="1115" builtinId="8" hidden="1"/>
    <cellStyle name="超連結" xfId="1117" builtinId="8" hidden="1"/>
    <cellStyle name="超連結" xfId="1119" builtinId="8" hidden="1"/>
    <cellStyle name="超連結" xfId="1121" builtinId="8" hidden="1"/>
    <cellStyle name="超連結" xfId="1123" builtinId="8" hidden="1"/>
    <cellStyle name="超連結" xfId="1125" builtinId="8" hidden="1"/>
    <cellStyle name="超連結" xfId="1127" builtinId="8" hidden="1"/>
    <cellStyle name="超連結" xfId="1129" builtinId="8" hidden="1"/>
    <cellStyle name="超連結" xfId="1131" builtinId="8" hidden="1"/>
    <cellStyle name="超連結" xfId="1133" builtinId="8" hidden="1"/>
    <cellStyle name="超連結" xfId="1135" builtinId="8" hidden="1"/>
    <cellStyle name="超連結" xfId="1137" builtinId="8" hidden="1"/>
    <cellStyle name="超連結" xfId="1139" builtinId="8" hidden="1"/>
    <cellStyle name="超連結" xfId="1141" builtinId="8" hidden="1"/>
    <cellStyle name="超連結" xfId="1143" builtinId="8" hidden="1"/>
    <cellStyle name="超連結" xfId="1145" builtinId="8" hidden="1"/>
    <cellStyle name="超連結" xfId="1147" builtinId="8" hidden="1"/>
    <cellStyle name="超連結" xfId="1149" builtinId="8" hidden="1"/>
    <cellStyle name="超連結" xfId="1151" builtinId="8" hidden="1"/>
    <cellStyle name="超連結" xfId="1153" builtinId="8" hidden="1"/>
    <cellStyle name="超連結" xfId="1155" builtinId="8" hidden="1"/>
    <cellStyle name="超連結" xfId="1157" builtinId="8" hidden="1"/>
    <cellStyle name="超連結" xfId="1159" builtinId="8" hidden="1"/>
    <cellStyle name="超連結" xfId="1161" builtinId="8" hidden="1"/>
    <cellStyle name="超連結" xfId="1163" builtinId="8" hidden="1"/>
    <cellStyle name="超連結" xfId="1165" builtinId="8" hidden="1"/>
    <cellStyle name="超連結" xfId="1167" builtinId="8" hidden="1"/>
    <cellStyle name="超連結" xfId="1169" builtinId="8" hidden="1"/>
    <cellStyle name="超連結" xfId="1171" builtinId="8" hidden="1"/>
    <cellStyle name="超連結" xfId="1173" builtinId="8" hidden="1"/>
    <cellStyle name="超連結" xfId="1175" builtinId="8" hidden="1"/>
    <cellStyle name="超連結" xfId="1177" builtinId="8" hidden="1"/>
    <cellStyle name="超連結" xfId="1179" builtinId="8" hidden="1"/>
    <cellStyle name="超連結" xfId="1181" builtinId="8" hidden="1"/>
    <cellStyle name="超連結" xfId="1183" builtinId="8" hidden="1"/>
    <cellStyle name="超連結" xfId="1185" builtinId="8" hidden="1"/>
    <cellStyle name="超連結" xfId="1187" builtinId="8" hidden="1"/>
    <cellStyle name="超連結" xfId="1189" builtinId="8" hidden="1"/>
    <cellStyle name="超連結" xfId="1191" builtinId="8" hidden="1"/>
    <cellStyle name="超連結" xfId="1193" builtinId="8" hidden="1"/>
    <cellStyle name="超連結" xfId="1195" builtinId="8" hidden="1"/>
    <cellStyle name="超連結" xfId="1197" builtinId="8" hidden="1"/>
    <cellStyle name="超連結" xfId="1199" builtinId="8" hidden="1"/>
    <cellStyle name="超連結" xfId="1201" builtinId="8" hidden="1"/>
    <cellStyle name="超連結" xfId="1203" builtinId="8" hidden="1"/>
    <cellStyle name="超連結" xfId="1205" builtinId="8" hidden="1"/>
    <cellStyle name="超連結" xfId="1207" builtinId="8" hidden="1"/>
    <cellStyle name="超連結" xfId="1209" builtinId="8" hidden="1"/>
    <cellStyle name="超連結" xfId="1211" builtinId="8" hidden="1"/>
    <cellStyle name="超連結" xfId="1213" builtinId="8" hidden="1"/>
    <cellStyle name="超連結" xfId="1215" builtinId="8" hidden="1"/>
    <cellStyle name="超連結" xfId="1217" builtinId="8" hidden="1"/>
    <cellStyle name="超連結" xfId="1219" builtinId="8" hidden="1"/>
    <cellStyle name="超連結" xfId="1221" builtinId="8" hidden="1"/>
    <cellStyle name="超連結" xfId="1223" builtinId="8" hidden="1"/>
    <cellStyle name="超連結" xfId="1225" builtinId="8" hidden="1"/>
    <cellStyle name="超連結" xfId="1227" builtinId="8" hidden="1"/>
    <cellStyle name="超連結" xfId="1229" builtinId="8" hidden="1"/>
    <cellStyle name="超連結" xfId="1231" builtinId="8" hidden="1"/>
    <cellStyle name="超連結" xfId="1233" builtinId="8" hidden="1"/>
    <cellStyle name="超連結" xfId="1235" builtinId="8" hidden="1"/>
    <cellStyle name="超連結" xfId="1237" builtinId="8" hidden="1"/>
    <cellStyle name="超連結" xfId="1239" builtinId="8" hidden="1"/>
    <cellStyle name="超連結" xfId="1241" builtinId="8" hidden="1"/>
    <cellStyle name="超連結" xfId="1243" builtinId="8" hidden="1"/>
    <cellStyle name="超連結" xfId="1245" builtinId="8" hidden="1"/>
    <cellStyle name="超連結" xfId="1247" builtinId="8" hidden="1"/>
    <cellStyle name="超連結" xfId="1249" builtinId="8" hidden="1"/>
    <cellStyle name="超連結" xfId="1251" builtinId="8" hidden="1"/>
    <cellStyle name="超連結" xfId="1253" builtinId="8" hidden="1"/>
    <cellStyle name="超連結" xfId="1255" builtinId="8" hidden="1"/>
    <cellStyle name="超連結" xfId="1257" builtinId="8" hidden="1"/>
    <cellStyle name="超連結" xfId="1259" builtinId="8" hidden="1"/>
    <cellStyle name="超連結" xfId="1261" builtinId="8" hidden="1"/>
  </cellStyles>
  <dxfs count="38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 patternType="solid">
          <fgColor indexed="64"/>
          <bgColor rgb="FFFF0000"/>
        </patternFill>
      </fill>
    </dxf>
    <dxf>
      <font>
        <b/>
        <i val="0"/>
        <color rgb="FFFFFF00"/>
      </font>
      <fill>
        <patternFill patternType="solid">
          <fgColor indexed="64"/>
          <bgColor rgb="FFFF0000"/>
        </patternFill>
      </fill>
    </dxf>
    <dxf>
      <font>
        <b/>
        <i val="0"/>
        <color rgb="FFFFFF00"/>
      </font>
      <fill>
        <patternFill patternType="solid">
          <fgColor indexed="64"/>
          <bgColor rgb="FFFF0000"/>
        </patternFill>
      </fill>
    </dxf>
    <dxf>
      <font>
        <color rgb="FFFF6600"/>
      </font>
      <fill>
        <patternFill patternType="solid">
          <fgColor indexed="64"/>
          <bgColor rgb="FF7030A0"/>
        </patternFill>
      </fill>
    </dxf>
    <dxf>
      <font>
        <b/>
        <i val="0"/>
        <color rgb="FFFF6600"/>
      </font>
      <fill>
        <patternFill patternType="solid">
          <fgColor indexed="64"/>
          <bgColor rgb="FF0000FF"/>
        </patternFill>
      </fill>
    </dxf>
    <dxf>
      <font>
        <b/>
        <i val="0"/>
        <color theme="0" tint="-0.499984740745262"/>
      </font>
      <fill>
        <patternFill patternType="solid">
          <fgColor indexed="64"/>
          <bgColor theme="0" tint="-0.249977111117893"/>
        </patternFill>
      </fill>
      <border>
        <left style="thin">
          <color theme="1" tint="0.249977111117893"/>
        </left>
        <right style="thin">
          <color theme="0" tint="-4.9989318521683403E-2"/>
        </right>
        <top style="thin">
          <color theme="1" tint="0.249977111117893"/>
        </top>
        <bottom style="thin">
          <color theme="0" tint="-4.9989318521683403E-2"/>
        </bottom>
      </border>
    </dxf>
    <dxf>
      <font>
        <b/>
        <i val="0"/>
        <color rgb="FF7030A0"/>
      </font>
      <fill>
        <patternFill patternType="solid">
          <fgColor indexed="64"/>
          <bgColor theme="4" tint="0.59996337778862885"/>
        </patternFill>
      </fill>
    </dxf>
    <dxf>
      <font>
        <b/>
        <i val="0"/>
        <color rgb="FF0000FF"/>
      </font>
      <fill>
        <patternFill patternType="solid">
          <fgColor indexed="64"/>
          <bgColor theme="4" tint="0.59996337778862885"/>
        </patternFill>
      </fill>
    </dxf>
    <dxf>
      <font>
        <b/>
        <i val="0"/>
        <color rgb="FFFF6600"/>
      </font>
      <fill>
        <patternFill patternType="solid">
          <fgColor indexed="64"/>
          <bgColor rgb="FF7030A0"/>
        </patternFill>
      </fill>
    </dxf>
    <dxf>
      <font>
        <b/>
        <i val="0"/>
        <color rgb="FFFF6600"/>
      </font>
      <fill>
        <patternFill patternType="solid">
          <fgColor indexed="64"/>
          <bgColor rgb="FF0000FF"/>
        </patternFill>
      </fill>
    </dxf>
  </dxfs>
  <tableStyles count="0" defaultTableStyle="TableStyleMedium9" defaultPivotStyle="PivotStyleMedium4"/>
  <colors>
    <mruColors>
      <color rgb="FF6600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Scroll" dx="16" fmlaLink="$DE$3" horiz="1" max="12" min="1" page="0" val="5"/>
</file>

<file path=xl/ctrlProps/ctrlProp2.xml><?xml version="1.0" encoding="utf-8"?>
<formControlPr xmlns="http://schemas.microsoft.com/office/spreadsheetml/2009/9/main" objectType="Scroll" dx="16" fmlaLink="$DF$3" horiz="1" max="12" min="1" page="0" val="8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59</xdr:col>
          <xdr:colOff>279400</xdr:colOff>
          <xdr:row>19</xdr:row>
          <xdr:rowOff>749300</xdr:rowOff>
        </xdr:from>
        <xdr:to>
          <xdr:col>68</xdr:col>
          <xdr:colOff>25400</xdr:colOff>
          <xdr:row>21</xdr:row>
          <xdr:rowOff>25400</xdr:rowOff>
        </xdr:to>
        <xdr:sp macro="" textlink="">
          <xdr:nvSpPr>
            <xdr:cNvPr id="1033" name="Scroll Bar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82</xdr:col>
          <xdr:colOff>266700</xdr:colOff>
          <xdr:row>19</xdr:row>
          <xdr:rowOff>723900</xdr:rowOff>
        </xdr:from>
        <xdr:to>
          <xdr:col>90</xdr:col>
          <xdr:colOff>279400</xdr:colOff>
          <xdr:row>21</xdr:row>
          <xdr:rowOff>25400</xdr:rowOff>
        </xdr:to>
        <xdr:sp macro="" textlink="">
          <xdr:nvSpPr>
            <xdr:cNvPr id="1035" name="Scroll Bar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85</xdr:col>
          <xdr:colOff>177800</xdr:colOff>
          <xdr:row>33</xdr:row>
          <xdr:rowOff>698500</xdr:rowOff>
        </xdr:from>
        <xdr:to>
          <xdr:col>93</xdr:col>
          <xdr:colOff>228600</xdr:colOff>
          <xdr:row>37</xdr:row>
          <xdr:rowOff>88900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altLang="zh-TW" sz="3600" b="0" i="0" u="none" strike="noStrike" baseline="0">
                  <a:solidFill>
                    <a:srgbClr val="000000"/>
                  </a:solidFill>
                  <a:latin typeface="Osaka"/>
                  <a:ea typeface="Osaka"/>
                  <a:cs typeface="Osaka"/>
                </a:rPr>
                <a:t>Clear 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</xdr:col>
          <xdr:colOff>228600</xdr:colOff>
          <xdr:row>33</xdr:row>
          <xdr:rowOff>698500</xdr:rowOff>
        </xdr:from>
        <xdr:to>
          <xdr:col>82</xdr:col>
          <xdr:colOff>254000</xdr:colOff>
          <xdr:row>37</xdr:row>
          <xdr:rowOff>76200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altLang="zh-TW" sz="3600" b="0" i="0" u="none" strike="noStrike" baseline="0">
                  <a:solidFill>
                    <a:srgbClr val="000000"/>
                  </a:solidFill>
                  <a:latin typeface="Osaka"/>
                  <a:ea typeface="Osaka"/>
                  <a:cs typeface="Osaka"/>
                </a:rPr>
                <a:t>End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63</xdr:col>
          <xdr:colOff>203200</xdr:colOff>
          <xdr:row>33</xdr:row>
          <xdr:rowOff>723900</xdr:rowOff>
        </xdr:from>
        <xdr:to>
          <xdr:col>71</xdr:col>
          <xdr:colOff>266700</xdr:colOff>
          <xdr:row>37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altLang="zh-TW" sz="3600" b="0" i="0" u="none" strike="noStrike" baseline="0">
                  <a:solidFill>
                    <a:srgbClr val="000000"/>
                  </a:solidFill>
                  <a:latin typeface="Osaka"/>
                  <a:ea typeface="Osaka"/>
                  <a:cs typeface="Osaka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</xdr:col>
          <xdr:colOff>228600</xdr:colOff>
          <xdr:row>30</xdr:row>
          <xdr:rowOff>152400</xdr:rowOff>
        </xdr:from>
        <xdr:to>
          <xdr:col>82</xdr:col>
          <xdr:colOff>266700</xdr:colOff>
          <xdr:row>33</xdr:row>
          <xdr:rowOff>190500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altLang="zh-TW" sz="3600" b="0" i="0" u="none" strike="noStrike" baseline="0">
                  <a:solidFill>
                    <a:srgbClr val="000000"/>
                  </a:solidFill>
                  <a:latin typeface="Osaka"/>
                  <a:ea typeface="Osaka"/>
                  <a:cs typeface="Osaka"/>
                </a:rPr>
                <a:t>New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</xdr:col>
          <xdr:colOff>203200</xdr:colOff>
          <xdr:row>37</xdr:row>
          <xdr:rowOff>508000</xdr:rowOff>
        </xdr:from>
        <xdr:to>
          <xdr:col>82</xdr:col>
          <xdr:colOff>203200</xdr:colOff>
          <xdr:row>40</xdr:row>
          <xdr:rowOff>50800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US" altLang="zh-TW" sz="3600" b="0" i="0" u="none" strike="noStrike" baseline="0">
                  <a:solidFill>
                    <a:srgbClr val="000000"/>
                  </a:solidFill>
                  <a:latin typeface="Osaka"/>
                  <a:ea typeface="Osaka"/>
                  <a:cs typeface="Osaka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8" Type="http://schemas.openxmlformats.org/officeDocument/2006/relationships/ctrlProp" Target="../ctrlProps/ctrlProp6.xml"/><Relationship Id="rId9" Type="http://schemas.openxmlformats.org/officeDocument/2006/relationships/ctrlProp" Target="../ctrlProps/ctrlProp7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 enableFormatConditionsCalculation="0"/>
  <dimension ref="A1:DF46"/>
  <sheetViews>
    <sheetView tabSelected="1" zoomScale="25" zoomScaleNormal="25" zoomScalePageLayoutView="25" workbookViewId="0">
      <pane xSplit="110" ySplit="46" topLeftCell="DG62" activePane="bottomRight" state="frozen"/>
      <selection pane="topRight" activeCell="DG1" sqref="DG1"/>
      <selection pane="bottomLeft" activeCell="A47" sqref="A47"/>
      <selection pane="bottomRight" activeCell="BE2" sqref="BE2:CW6"/>
    </sheetView>
  </sheetViews>
  <sheetFormatPr baseColWidth="10" defaultColWidth="4" defaultRowHeight="21" customHeight="1" x14ac:dyDescent="0"/>
  <cols>
    <col min="1" max="1" width="3.6640625" style="7" customWidth="1"/>
    <col min="2" max="6" width="8.83203125" style="7" customWidth="1"/>
    <col min="7" max="7" width="4.83203125" style="7" customWidth="1"/>
    <col min="8" max="8" width="5.33203125" style="7" customWidth="1"/>
    <col min="9" max="10" width="4.33203125" style="7" customWidth="1"/>
    <col min="11" max="11" width="5" customWidth="1"/>
    <col min="12" max="12" width="4.33203125" customWidth="1"/>
    <col min="13" max="13" width="10.1640625" customWidth="1"/>
    <col min="14" max="14" width="4.33203125" customWidth="1"/>
    <col min="15" max="15" width="10.1640625" customWidth="1"/>
    <col min="16" max="16" width="4.33203125" customWidth="1"/>
    <col min="17" max="17" width="10.1640625" customWidth="1"/>
    <col min="18" max="18" width="4.33203125" customWidth="1"/>
    <col min="19" max="19" width="10.1640625" customWidth="1"/>
    <col min="20" max="20" width="4.33203125" customWidth="1"/>
    <col min="21" max="21" width="10.1640625" customWidth="1"/>
    <col min="22" max="22" width="4.33203125" customWidth="1"/>
    <col min="23" max="23" width="10.1640625" customWidth="1"/>
    <col min="24" max="24" width="4.33203125" customWidth="1"/>
    <col min="25" max="25" width="10.1640625" customWidth="1"/>
    <col min="26" max="26" width="4.33203125" customWidth="1"/>
    <col min="27" max="27" width="10.1640625" customWidth="1"/>
    <col min="28" max="28" width="4.33203125" customWidth="1"/>
    <col min="29" max="29" width="10.1640625" customWidth="1"/>
    <col min="30" max="30" width="4.33203125" customWidth="1"/>
    <col min="31" max="31" width="10.1640625" customWidth="1"/>
    <col min="32" max="32" width="4.33203125" customWidth="1"/>
    <col min="33" max="33" width="10.1640625" customWidth="1"/>
    <col min="34" max="34" width="4.33203125" customWidth="1"/>
    <col min="35" max="35" width="10.1640625" customWidth="1"/>
    <col min="36" max="36" width="4.33203125" customWidth="1"/>
    <col min="37" max="37" width="10.1640625" customWidth="1"/>
    <col min="38" max="38" width="4.33203125" customWidth="1"/>
    <col min="39" max="39" width="10.1640625" customWidth="1"/>
    <col min="40" max="40" width="4.33203125" customWidth="1"/>
    <col min="41" max="41" width="10.1640625" customWidth="1"/>
    <col min="42" max="42" width="4.33203125" customWidth="1"/>
    <col min="43" max="43" width="10.1640625" customWidth="1"/>
    <col min="44" max="44" width="4.33203125" customWidth="1"/>
    <col min="45" max="45" width="10.1640625" customWidth="1"/>
    <col min="46" max="46" width="4.33203125" customWidth="1"/>
    <col min="47" max="47" width="10.1640625" customWidth="1"/>
    <col min="48" max="48" width="4.33203125" customWidth="1"/>
    <col min="49" max="49" width="10.1640625" customWidth="1"/>
    <col min="51" max="51" width="5" customWidth="1"/>
    <col min="106" max="106" width="4" customWidth="1"/>
    <col min="109" max="109" width="4" hidden="1" customWidth="1"/>
    <col min="110" max="110" width="6.5" hidden="1" customWidth="1"/>
    <col min="111" max="111" width="4.33203125" customWidth="1"/>
    <col min="125" max="125" width="9.6640625" bestFit="1" customWidth="1"/>
  </cols>
  <sheetData>
    <row r="1" spans="1:110" ht="89" customHeight="1" thickBot="1">
      <c r="A1" s="55"/>
      <c r="B1" s="55"/>
      <c r="C1" s="55"/>
      <c r="D1" s="55"/>
      <c r="E1" s="55"/>
      <c r="F1" s="55"/>
      <c r="G1" s="55"/>
      <c r="H1" s="55"/>
      <c r="I1" s="55"/>
      <c r="J1" s="55"/>
      <c r="K1" s="56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6"/>
      <c r="AX1" s="56"/>
      <c r="AY1" s="56"/>
      <c r="AZ1" s="56"/>
      <c r="BA1" s="56"/>
      <c r="BB1" s="56"/>
      <c r="BC1" s="56"/>
      <c r="BD1" s="56"/>
      <c r="BE1" s="56"/>
      <c r="BF1" s="56"/>
      <c r="BG1" s="56"/>
      <c r="BH1" s="56"/>
      <c r="BI1" s="56"/>
      <c r="BJ1" s="56"/>
      <c r="BK1" s="56"/>
      <c r="BL1" s="56"/>
      <c r="BM1" s="56"/>
      <c r="BN1" s="56"/>
      <c r="BO1" s="56"/>
      <c r="BP1" s="56"/>
      <c r="BQ1" s="56"/>
      <c r="BR1" s="56"/>
      <c r="BS1" s="56"/>
      <c r="BT1" s="56"/>
      <c r="BU1" s="56"/>
      <c r="BV1" s="56"/>
      <c r="BW1" s="56"/>
      <c r="BX1" s="56"/>
      <c r="BY1" s="56"/>
      <c r="BZ1" s="56"/>
      <c r="CA1" s="56"/>
      <c r="CB1" s="56"/>
      <c r="CC1" s="56"/>
      <c r="CD1" s="56"/>
      <c r="CE1" s="56"/>
      <c r="CF1" s="56"/>
      <c r="CG1" s="56"/>
      <c r="CH1" s="56"/>
      <c r="CI1" s="56"/>
      <c r="CJ1" s="56"/>
      <c r="CK1" s="56"/>
      <c r="CL1" s="56"/>
      <c r="CM1" s="56"/>
      <c r="CN1" s="56"/>
      <c r="CO1" s="56"/>
      <c r="CP1" s="56"/>
      <c r="CQ1" s="56"/>
      <c r="CR1" s="56"/>
      <c r="CS1" s="56"/>
      <c r="CT1" s="56"/>
      <c r="CU1" s="56"/>
      <c r="CV1" s="56"/>
      <c r="CW1" s="56"/>
      <c r="CX1" s="56"/>
      <c r="CY1" s="56"/>
      <c r="CZ1" s="56"/>
      <c r="DA1" s="56"/>
      <c r="DB1" s="56"/>
      <c r="DC1" s="56"/>
      <c r="DD1" s="56"/>
      <c r="DE1" s="4" t="str">
        <f>IF(DE19=DF19,IF(ISODD(DE2),IF(ISEVEN(DE19),BI17,CF17),IF(ISEVEN(DE19),CF17,BI17)),IF(DE19&lt;DF19,BI17,CF17))</f>
        <v>v</v>
      </c>
      <c r="DF1" s="14">
        <f>VLOOKUP(DE1,$DE$20:$DF$21,2,FALSE)</f>
        <v>0</v>
      </c>
    </row>
    <row r="2" spans="1:110" ht="30" customHeight="1" thickBot="1">
      <c r="A2" s="55"/>
      <c r="B2" s="55"/>
      <c r="C2" s="55"/>
      <c r="D2" s="55"/>
      <c r="E2" s="55"/>
      <c r="F2" s="55"/>
      <c r="G2" s="55"/>
      <c r="H2" s="55"/>
      <c r="I2" s="55"/>
      <c r="J2" s="55"/>
      <c r="K2" s="80"/>
      <c r="L2" s="81"/>
      <c r="M2" s="81"/>
      <c r="N2" s="81"/>
      <c r="O2" s="81"/>
      <c r="P2" s="81"/>
      <c r="Q2" s="81"/>
      <c r="R2" s="81"/>
      <c r="S2" s="81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81"/>
      <c r="AU2" s="81"/>
      <c r="AV2" s="81"/>
      <c r="AW2" s="81"/>
      <c r="AX2" s="81"/>
      <c r="AY2" s="82"/>
      <c r="AZ2" s="56"/>
      <c r="BA2" s="56"/>
      <c r="BB2" s="56"/>
      <c r="BC2" s="56"/>
      <c r="BD2" s="56"/>
      <c r="BE2" s="96" t="str">
        <f>IF(DE2&gt;100,"Please Restart","Game "&amp;DE2)</f>
        <v>Game 1</v>
      </c>
      <c r="BF2" s="97"/>
      <c r="BG2" s="97"/>
      <c r="BH2" s="97"/>
      <c r="BI2" s="97"/>
      <c r="BJ2" s="97"/>
      <c r="BK2" s="97"/>
      <c r="BL2" s="97"/>
      <c r="BM2" s="97"/>
      <c r="BN2" s="97"/>
      <c r="BO2" s="97"/>
      <c r="BP2" s="97"/>
      <c r="BQ2" s="97"/>
      <c r="BR2" s="97"/>
      <c r="BS2" s="97"/>
      <c r="BT2" s="97"/>
      <c r="BU2" s="97"/>
      <c r="BV2" s="97"/>
      <c r="BW2" s="97"/>
      <c r="BX2" s="97"/>
      <c r="BY2" s="97"/>
      <c r="BZ2" s="97"/>
      <c r="CA2" s="97"/>
      <c r="CB2" s="97"/>
      <c r="CC2" s="97"/>
      <c r="CD2" s="97"/>
      <c r="CE2" s="97"/>
      <c r="CF2" s="97"/>
      <c r="CG2" s="97"/>
      <c r="CH2" s="97"/>
      <c r="CI2" s="97"/>
      <c r="CJ2" s="97"/>
      <c r="CK2" s="97"/>
      <c r="CL2" s="97"/>
      <c r="CM2" s="97"/>
      <c r="CN2" s="97"/>
      <c r="CO2" s="97"/>
      <c r="CP2" s="97"/>
      <c r="CQ2" s="97"/>
      <c r="CR2" s="97"/>
      <c r="CS2" s="97"/>
      <c r="CT2" s="97"/>
      <c r="CU2" s="97"/>
      <c r="CV2" s="97"/>
      <c r="CW2" s="98"/>
      <c r="CX2" s="77"/>
      <c r="CY2" s="77"/>
      <c r="CZ2" s="77"/>
      <c r="DA2" s="56"/>
      <c r="DB2" s="56"/>
      <c r="DC2" s="56"/>
      <c r="DD2" s="56"/>
      <c r="DE2" s="5">
        <v>1</v>
      </c>
      <c r="DF2" s="5">
        <f>DE2+1</f>
        <v>2</v>
      </c>
    </row>
    <row r="3" spans="1:110" ht="26" customHeight="1" thickBot="1">
      <c r="A3" s="55"/>
      <c r="B3" s="55"/>
      <c r="C3" s="55"/>
      <c r="D3" s="55"/>
      <c r="E3" s="55"/>
      <c r="F3" s="55"/>
      <c r="G3" s="55"/>
      <c r="H3" s="55"/>
      <c r="I3" s="55"/>
      <c r="J3" s="55"/>
      <c r="K3" s="88"/>
      <c r="L3" s="42" t="s">
        <v>17</v>
      </c>
      <c r="M3" s="43" t="s">
        <v>17</v>
      </c>
      <c r="N3" s="43" t="s">
        <v>17</v>
      </c>
      <c r="O3" s="43" t="s">
        <v>17</v>
      </c>
      <c r="P3" s="43" t="s">
        <v>17</v>
      </c>
      <c r="Q3" s="43" t="s">
        <v>17</v>
      </c>
      <c r="R3" s="16" t="s">
        <v>17</v>
      </c>
      <c r="S3" s="16" t="s">
        <v>17</v>
      </c>
      <c r="T3" s="16" t="s">
        <v>17</v>
      </c>
      <c r="U3" s="16" t="s">
        <v>17</v>
      </c>
      <c r="V3" s="16" t="s">
        <v>17</v>
      </c>
      <c r="W3" s="17" t="s">
        <v>17</v>
      </c>
      <c r="X3" s="17" t="s">
        <v>17</v>
      </c>
      <c r="Y3" s="17" t="s">
        <v>17</v>
      </c>
      <c r="Z3" s="17" t="s">
        <v>17</v>
      </c>
      <c r="AA3" s="25" t="s">
        <v>17</v>
      </c>
      <c r="AB3" s="25" t="s">
        <v>17</v>
      </c>
      <c r="AC3" s="25" t="s">
        <v>17</v>
      </c>
      <c r="AD3" s="25" t="s">
        <v>17</v>
      </c>
      <c r="AE3" s="18" t="s">
        <v>17</v>
      </c>
      <c r="AF3" s="18" t="s">
        <v>17</v>
      </c>
      <c r="AG3" s="18" t="s">
        <v>17</v>
      </c>
      <c r="AH3" s="18" t="s">
        <v>17</v>
      </c>
      <c r="AI3" s="18" t="s">
        <v>17</v>
      </c>
      <c r="AJ3" s="18" t="s">
        <v>17</v>
      </c>
      <c r="AK3" s="19" t="s">
        <v>17</v>
      </c>
      <c r="AL3" s="19" t="s">
        <v>17</v>
      </c>
      <c r="AM3" s="19" t="s">
        <v>17</v>
      </c>
      <c r="AN3" s="19" t="s">
        <v>17</v>
      </c>
      <c r="AO3" s="19" t="s">
        <v>17</v>
      </c>
      <c r="AP3" s="19" t="s">
        <v>17</v>
      </c>
      <c r="AQ3" s="44" t="s">
        <v>17</v>
      </c>
      <c r="AR3" s="44" t="s">
        <v>17</v>
      </c>
      <c r="AS3" s="44" t="s">
        <v>17</v>
      </c>
      <c r="AT3" s="44" t="s">
        <v>17</v>
      </c>
      <c r="AU3" s="44" t="s">
        <v>17</v>
      </c>
      <c r="AV3" s="44" t="s">
        <v>17</v>
      </c>
      <c r="AW3" s="44" t="s">
        <v>17</v>
      </c>
      <c r="AX3" s="63" t="s">
        <v>17</v>
      </c>
      <c r="AY3" s="83"/>
      <c r="AZ3" s="56"/>
      <c r="BA3" s="56"/>
      <c r="BB3" s="56"/>
      <c r="BC3" s="56"/>
      <c r="BD3" s="56"/>
      <c r="BE3" s="99"/>
      <c r="BF3" s="100"/>
      <c r="BG3" s="100"/>
      <c r="BH3" s="100"/>
      <c r="BI3" s="100"/>
      <c r="BJ3" s="100"/>
      <c r="BK3" s="100"/>
      <c r="BL3" s="100"/>
      <c r="BM3" s="100"/>
      <c r="BN3" s="100"/>
      <c r="BO3" s="100"/>
      <c r="BP3" s="100"/>
      <c r="BQ3" s="100"/>
      <c r="BR3" s="100"/>
      <c r="BS3" s="100"/>
      <c r="BT3" s="100"/>
      <c r="BU3" s="100"/>
      <c r="BV3" s="100"/>
      <c r="BW3" s="100"/>
      <c r="BX3" s="100"/>
      <c r="BY3" s="100"/>
      <c r="BZ3" s="100"/>
      <c r="CA3" s="100"/>
      <c r="CB3" s="100"/>
      <c r="CC3" s="100"/>
      <c r="CD3" s="100"/>
      <c r="CE3" s="100"/>
      <c r="CF3" s="100"/>
      <c r="CG3" s="100"/>
      <c r="CH3" s="100"/>
      <c r="CI3" s="100"/>
      <c r="CJ3" s="100"/>
      <c r="CK3" s="100"/>
      <c r="CL3" s="100"/>
      <c r="CM3" s="100"/>
      <c r="CN3" s="100"/>
      <c r="CO3" s="100"/>
      <c r="CP3" s="100"/>
      <c r="CQ3" s="100"/>
      <c r="CR3" s="100"/>
      <c r="CS3" s="100"/>
      <c r="CT3" s="100"/>
      <c r="CU3" s="100"/>
      <c r="CV3" s="100"/>
      <c r="CW3" s="101"/>
      <c r="CX3" s="78"/>
      <c r="CY3" s="77"/>
      <c r="CZ3" s="77"/>
      <c r="DA3" s="56"/>
      <c r="DB3" s="56"/>
      <c r="DC3" s="56"/>
      <c r="DD3" s="56"/>
      <c r="DE3" s="5">
        <v>5</v>
      </c>
      <c r="DF3" s="5">
        <v>8</v>
      </c>
    </row>
    <row r="4" spans="1:110" ht="61" customHeight="1" thickBot="1">
      <c r="A4" s="55"/>
      <c r="B4" s="55"/>
      <c r="C4" s="55"/>
      <c r="D4" s="55"/>
      <c r="E4" s="55"/>
      <c r="F4" s="55"/>
      <c r="G4" s="55"/>
      <c r="H4" s="55"/>
      <c r="I4" s="55"/>
      <c r="J4" s="55"/>
      <c r="K4" s="88"/>
      <c r="L4" s="45" t="s">
        <v>17</v>
      </c>
      <c r="M4" s="26"/>
      <c r="N4" s="8" t="s">
        <v>17</v>
      </c>
      <c r="O4" s="26"/>
      <c r="P4" s="8" t="s">
        <v>17</v>
      </c>
      <c r="Q4" s="26"/>
      <c r="R4" s="13" t="s">
        <v>17</v>
      </c>
      <c r="S4" s="26"/>
      <c r="T4" s="13" t="s">
        <v>17</v>
      </c>
      <c r="U4" s="26"/>
      <c r="V4" s="13" t="s">
        <v>17</v>
      </c>
      <c r="W4" s="26"/>
      <c r="X4" s="6" t="s">
        <v>17</v>
      </c>
      <c r="Y4" s="26"/>
      <c r="Z4" s="6" t="s">
        <v>17</v>
      </c>
      <c r="AA4" s="26"/>
      <c r="AB4" s="15" t="s">
        <v>17</v>
      </c>
      <c r="AC4" s="26"/>
      <c r="AD4" s="15" t="s">
        <v>17</v>
      </c>
      <c r="AE4" s="26"/>
      <c r="AF4" s="12" t="s">
        <v>17</v>
      </c>
      <c r="AG4" s="26"/>
      <c r="AH4" s="12" t="s">
        <v>17</v>
      </c>
      <c r="AI4" s="26"/>
      <c r="AJ4" s="12" t="s">
        <v>17</v>
      </c>
      <c r="AK4" s="26"/>
      <c r="AL4" s="10" t="s">
        <v>17</v>
      </c>
      <c r="AM4" s="26"/>
      <c r="AN4" s="10" t="s">
        <v>17</v>
      </c>
      <c r="AO4" s="26"/>
      <c r="AP4" s="10" t="s">
        <v>17</v>
      </c>
      <c r="AQ4" s="26"/>
      <c r="AR4" s="11" t="s">
        <v>17</v>
      </c>
      <c r="AS4" s="26"/>
      <c r="AT4" s="11" t="s">
        <v>17</v>
      </c>
      <c r="AU4" s="26"/>
      <c r="AV4" s="11" t="s">
        <v>17</v>
      </c>
      <c r="AW4" s="26"/>
      <c r="AX4" s="64" t="s">
        <v>17</v>
      </c>
      <c r="AY4" s="83"/>
      <c r="AZ4" s="56"/>
      <c r="BA4" s="56"/>
      <c r="BB4" s="56"/>
      <c r="BC4" s="56"/>
      <c r="BD4" s="56"/>
      <c r="BE4" s="99"/>
      <c r="BF4" s="100"/>
      <c r="BG4" s="100"/>
      <c r="BH4" s="100"/>
      <c r="BI4" s="100"/>
      <c r="BJ4" s="100"/>
      <c r="BK4" s="100"/>
      <c r="BL4" s="100"/>
      <c r="BM4" s="100"/>
      <c r="BN4" s="100"/>
      <c r="BO4" s="100"/>
      <c r="BP4" s="100"/>
      <c r="BQ4" s="100"/>
      <c r="BR4" s="100"/>
      <c r="BS4" s="100"/>
      <c r="BT4" s="100"/>
      <c r="BU4" s="100"/>
      <c r="BV4" s="100"/>
      <c r="BW4" s="100"/>
      <c r="BX4" s="100"/>
      <c r="BY4" s="100"/>
      <c r="BZ4" s="100"/>
      <c r="CA4" s="100"/>
      <c r="CB4" s="100"/>
      <c r="CC4" s="100"/>
      <c r="CD4" s="100"/>
      <c r="CE4" s="100"/>
      <c r="CF4" s="100"/>
      <c r="CG4" s="100"/>
      <c r="CH4" s="100"/>
      <c r="CI4" s="100"/>
      <c r="CJ4" s="100"/>
      <c r="CK4" s="100"/>
      <c r="CL4" s="100"/>
      <c r="CM4" s="100"/>
      <c r="CN4" s="100"/>
      <c r="CO4" s="100"/>
      <c r="CP4" s="100"/>
      <c r="CQ4" s="100"/>
      <c r="CR4" s="100"/>
      <c r="CS4" s="100"/>
      <c r="CT4" s="100"/>
      <c r="CU4" s="100"/>
      <c r="CV4" s="100"/>
      <c r="CW4" s="101"/>
      <c r="CX4" s="78"/>
      <c r="CY4" s="77"/>
      <c r="CZ4" s="77"/>
      <c r="DA4" s="56"/>
      <c r="DB4" s="56"/>
      <c r="DC4" s="56"/>
      <c r="DD4" s="56"/>
      <c r="DE4" s="5">
        <v>1</v>
      </c>
      <c r="DF4" s="4" t="s">
        <v>13</v>
      </c>
    </row>
    <row r="5" spans="1:110" ht="26" customHeight="1" thickBot="1">
      <c r="A5" s="55"/>
      <c r="B5" s="55"/>
      <c r="C5" s="55"/>
      <c r="D5" s="55"/>
      <c r="E5" s="55"/>
      <c r="F5" s="55"/>
      <c r="G5" s="55"/>
      <c r="H5" s="55"/>
      <c r="I5" s="55"/>
      <c r="J5" s="55"/>
      <c r="K5" s="89"/>
      <c r="L5" s="45" t="s">
        <v>17</v>
      </c>
      <c r="M5" s="8" t="s">
        <v>17</v>
      </c>
      <c r="N5" s="8" t="s">
        <v>17</v>
      </c>
      <c r="O5" s="8" t="s">
        <v>17</v>
      </c>
      <c r="P5" s="8" t="s">
        <v>17</v>
      </c>
      <c r="Q5" s="8" t="s">
        <v>17</v>
      </c>
      <c r="R5" s="13" t="s">
        <v>17</v>
      </c>
      <c r="S5" s="13" t="s">
        <v>17</v>
      </c>
      <c r="T5" s="13" t="s">
        <v>17</v>
      </c>
      <c r="U5" s="13" t="s">
        <v>17</v>
      </c>
      <c r="V5" s="13" t="s">
        <v>17</v>
      </c>
      <c r="W5" s="6" t="s">
        <v>17</v>
      </c>
      <c r="X5" s="6" t="s">
        <v>17</v>
      </c>
      <c r="Y5" s="6" t="s">
        <v>17</v>
      </c>
      <c r="Z5" s="6" t="s">
        <v>17</v>
      </c>
      <c r="AA5" s="15" t="s">
        <v>17</v>
      </c>
      <c r="AB5" s="15" t="s">
        <v>17</v>
      </c>
      <c r="AC5" s="15" t="s">
        <v>17</v>
      </c>
      <c r="AD5" s="15" t="s">
        <v>17</v>
      </c>
      <c r="AE5" s="12" t="s">
        <v>17</v>
      </c>
      <c r="AF5" s="12" t="s">
        <v>17</v>
      </c>
      <c r="AG5" s="12" t="s">
        <v>17</v>
      </c>
      <c r="AH5" s="12" t="s">
        <v>17</v>
      </c>
      <c r="AI5" s="12" t="s">
        <v>17</v>
      </c>
      <c r="AJ5" s="12" t="s">
        <v>17</v>
      </c>
      <c r="AK5" s="10" t="s">
        <v>17</v>
      </c>
      <c r="AL5" s="10" t="s">
        <v>17</v>
      </c>
      <c r="AM5" s="10" t="s">
        <v>17</v>
      </c>
      <c r="AN5" s="10" t="s">
        <v>17</v>
      </c>
      <c r="AO5" s="10" t="s">
        <v>17</v>
      </c>
      <c r="AP5" s="10" t="s">
        <v>17</v>
      </c>
      <c r="AQ5" s="47" t="s">
        <v>17</v>
      </c>
      <c r="AR5" s="47" t="s">
        <v>17</v>
      </c>
      <c r="AS5" s="47" t="s">
        <v>17</v>
      </c>
      <c r="AT5" s="47" t="s">
        <v>17</v>
      </c>
      <c r="AU5" s="47" t="s">
        <v>17</v>
      </c>
      <c r="AV5" s="47" t="s">
        <v>17</v>
      </c>
      <c r="AW5" s="47" t="s">
        <v>17</v>
      </c>
      <c r="AX5" s="64" t="s">
        <v>17</v>
      </c>
      <c r="AY5" s="83"/>
      <c r="AZ5" s="56"/>
      <c r="BA5" s="56"/>
      <c r="BB5" s="56"/>
      <c r="BC5" s="56"/>
      <c r="BD5" s="56"/>
      <c r="BE5" s="99"/>
      <c r="BF5" s="100"/>
      <c r="BG5" s="100"/>
      <c r="BH5" s="100"/>
      <c r="BI5" s="100"/>
      <c r="BJ5" s="100"/>
      <c r="BK5" s="100"/>
      <c r="BL5" s="100"/>
      <c r="BM5" s="100"/>
      <c r="BN5" s="100"/>
      <c r="BO5" s="100"/>
      <c r="BP5" s="100"/>
      <c r="BQ5" s="100"/>
      <c r="BR5" s="100"/>
      <c r="BS5" s="100"/>
      <c r="BT5" s="100"/>
      <c r="BU5" s="100"/>
      <c r="BV5" s="100"/>
      <c r="BW5" s="100"/>
      <c r="BX5" s="100"/>
      <c r="BY5" s="100"/>
      <c r="BZ5" s="100"/>
      <c r="CA5" s="100"/>
      <c r="CB5" s="100"/>
      <c r="CC5" s="100"/>
      <c r="CD5" s="100"/>
      <c r="CE5" s="100"/>
      <c r="CF5" s="100"/>
      <c r="CG5" s="100"/>
      <c r="CH5" s="100"/>
      <c r="CI5" s="100"/>
      <c r="CJ5" s="100"/>
      <c r="CK5" s="100"/>
      <c r="CL5" s="100"/>
      <c r="CM5" s="100"/>
      <c r="CN5" s="100"/>
      <c r="CO5" s="100"/>
      <c r="CP5" s="100"/>
      <c r="CQ5" s="100"/>
      <c r="CR5" s="100"/>
      <c r="CS5" s="100"/>
      <c r="CT5" s="100"/>
      <c r="CU5" s="100"/>
      <c r="CV5" s="100"/>
      <c r="CW5" s="101"/>
      <c r="CX5" s="78"/>
      <c r="CY5" s="77"/>
      <c r="CZ5" s="77"/>
      <c r="DA5" s="56"/>
      <c r="DB5" s="56"/>
      <c r="DC5" s="56"/>
      <c r="DD5" s="56"/>
      <c r="DE5" s="5">
        <v>2</v>
      </c>
      <c r="DF5" s="4" t="s">
        <v>0</v>
      </c>
    </row>
    <row r="6" spans="1:110" ht="61" customHeight="1" thickBot="1">
      <c r="A6" s="55"/>
      <c r="B6" s="55"/>
      <c r="C6" s="55"/>
      <c r="D6" s="55"/>
      <c r="E6" s="55"/>
      <c r="F6" s="55"/>
      <c r="G6" s="55"/>
      <c r="H6" s="55"/>
      <c r="I6" s="55"/>
      <c r="J6" s="55"/>
      <c r="K6" s="88"/>
      <c r="L6" s="45" t="s">
        <v>17</v>
      </c>
      <c r="M6" s="26"/>
      <c r="N6" s="8" t="s">
        <v>17</v>
      </c>
      <c r="O6" s="26"/>
      <c r="P6" s="8" t="s">
        <v>17</v>
      </c>
      <c r="Q6" s="26"/>
      <c r="R6" s="13" t="s">
        <v>17</v>
      </c>
      <c r="S6" s="26"/>
      <c r="T6" s="13" t="s">
        <v>17</v>
      </c>
      <c r="U6" s="26"/>
      <c r="V6" s="13" t="s">
        <v>17</v>
      </c>
      <c r="W6" s="26"/>
      <c r="X6" s="6" t="s">
        <v>17</v>
      </c>
      <c r="Y6" s="26"/>
      <c r="Z6" s="6" t="s">
        <v>17</v>
      </c>
      <c r="AA6" s="26"/>
      <c r="AB6" s="15" t="s">
        <v>17</v>
      </c>
      <c r="AC6" s="26"/>
      <c r="AD6" s="15" t="s">
        <v>17</v>
      </c>
      <c r="AE6" s="26"/>
      <c r="AF6" s="12" t="s">
        <v>17</v>
      </c>
      <c r="AG6" s="26"/>
      <c r="AH6" s="12" t="s">
        <v>17</v>
      </c>
      <c r="AI6" s="26"/>
      <c r="AJ6" s="12" t="s">
        <v>17</v>
      </c>
      <c r="AK6" s="26"/>
      <c r="AL6" s="10" t="s">
        <v>17</v>
      </c>
      <c r="AM6" s="26"/>
      <c r="AN6" s="10" t="s">
        <v>17</v>
      </c>
      <c r="AO6" s="26"/>
      <c r="AP6" s="10" t="s">
        <v>17</v>
      </c>
      <c r="AQ6" s="26"/>
      <c r="AR6" s="47" t="s">
        <v>17</v>
      </c>
      <c r="AS6" s="26"/>
      <c r="AT6" s="47" t="s">
        <v>17</v>
      </c>
      <c r="AU6" s="26"/>
      <c r="AV6" s="47" t="s">
        <v>17</v>
      </c>
      <c r="AW6" s="26"/>
      <c r="AX6" s="64" t="s">
        <v>17</v>
      </c>
      <c r="AY6" s="83"/>
      <c r="AZ6" s="56"/>
      <c r="BA6" s="56"/>
      <c r="BB6" s="56"/>
      <c r="BC6" s="56"/>
      <c r="BD6" s="56"/>
      <c r="BE6" s="102"/>
      <c r="BF6" s="103"/>
      <c r="BG6" s="103"/>
      <c r="BH6" s="103"/>
      <c r="BI6" s="103"/>
      <c r="BJ6" s="103"/>
      <c r="BK6" s="103"/>
      <c r="BL6" s="103"/>
      <c r="BM6" s="103"/>
      <c r="BN6" s="103"/>
      <c r="BO6" s="103"/>
      <c r="BP6" s="103"/>
      <c r="BQ6" s="103"/>
      <c r="BR6" s="103"/>
      <c r="BS6" s="103"/>
      <c r="BT6" s="103"/>
      <c r="BU6" s="103"/>
      <c r="BV6" s="103"/>
      <c r="BW6" s="103"/>
      <c r="BX6" s="103"/>
      <c r="BY6" s="103"/>
      <c r="BZ6" s="103"/>
      <c r="CA6" s="103"/>
      <c r="CB6" s="103"/>
      <c r="CC6" s="103"/>
      <c r="CD6" s="103"/>
      <c r="CE6" s="103"/>
      <c r="CF6" s="103"/>
      <c r="CG6" s="103"/>
      <c r="CH6" s="103"/>
      <c r="CI6" s="103"/>
      <c r="CJ6" s="103"/>
      <c r="CK6" s="103"/>
      <c r="CL6" s="103"/>
      <c r="CM6" s="103"/>
      <c r="CN6" s="103"/>
      <c r="CO6" s="103"/>
      <c r="CP6" s="103"/>
      <c r="CQ6" s="103"/>
      <c r="CR6" s="103"/>
      <c r="CS6" s="103"/>
      <c r="CT6" s="103"/>
      <c r="CU6" s="103"/>
      <c r="CV6" s="103"/>
      <c r="CW6" s="104"/>
      <c r="CX6" s="78"/>
      <c r="CY6" s="77"/>
      <c r="CZ6" s="77"/>
      <c r="DA6" s="56"/>
      <c r="DB6" s="56"/>
      <c r="DC6" s="56"/>
      <c r="DD6" s="56"/>
      <c r="DE6" s="5">
        <v>3</v>
      </c>
      <c r="DF6" s="4" t="s">
        <v>1</v>
      </c>
    </row>
    <row r="7" spans="1:110" ht="26" customHeight="1" thickBot="1">
      <c r="A7" s="55"/>
      <c r="B7" s="55"/>
      <c r="C7" s="55"/>
      <c r="D7" s="55"/>
      <c r="E7" s="55"/>
      <c r="F7" s="55"/>
      <c r="G7" s="55"/>
      <c r="H7" s="55"/>
      <c r="I7" s="55"/>
      <c r="J7" s="55"/>
      <c r="K7" s="89"/>
      <c r="L7" s="45" t="s">
        <v>17</v>
      </c>
      <c r="M7" s="8" t="s">
        <v>17</v>
      </c>
      <c r="N7" s="8" t="s">
        <v>17</v>
      </c>
      <c r="O7" s="8" t="s">
        <v>17</v>
      </c>
      <c r="P7" s="8" t="s">
        <v>17</v>
      </c>
      <c r="Q7" s="8" t="s">
        <v>17</v>
      </c>
      <c r="R7" s="13" t="s">
        <v>17</v>
      </c>
      <c r="S7" s="13" t="s">
        <v>17</v>
      </c>
      <c r="T7" s="13" t="s">
        <v>17</v>
      </c>
      <c r="U7" s="13" t="s">
        <v>17</v>
      </c>
      <c r="V7" s="13" t="s">
        <v>17</v>
      </c>
      <c r="W7" s="6" t="s">
        <v>17</v>
      </c>
      <c r="X7" s="6" t="s">
        <v>17</v>
      </c>
      <c r="Y7" s="6" t="s">
        <v>17</v>
      </c>
      <c r="Z7" s="6" t="s">
        <v>17</v>
      </c>
      <c r="AA7" s="15" t="s">
        <v>17</v>
      </c>
      <c r="AB7" s="15" t="s">
        <v>17</v>
      </c>
      <c r="AC7" s="15" t="s">
        <v>17</v>
      </c>
      <c r="AD7" s="15" t="s">
        <v>17</v>
      </c>
      <c r="AE7" s="12" t="s">
        <v>17</v>
      </c>
      <c r="AF7" s="12" t="s">
        <v>17</v>
      </c>
      <c r="AG7" s="12" t="s">
        <v>17</v>
      </c>
      <c r="AH7" s="12" t="s">
        <v>17</v>
      </c>
      <c r="AI7" s="12" t="s">
        <v>17</v>
      </c>
      <c r="AJ7" s="12" t="s">
        <v>17</v>
      </c>
      <c r="AK7" s="10" t="s">
        <v>17</v>
      </c>
      <c r="AL7" s="10" t="s">
        <v>17</v>
      </c>
      <c r="AM7" s="10" t="s">
        <v>17</v>
      </c>
      <c r="AN7" s="10" t="s">
        <v>17</v>
      </c>
      <c r="AO7" s="10" t="s">
        <v>17</v>
      </c>
      <c r="AP7" s="10" t="s">
        <v>17</v>
      </c>
      <c r="AQ7" s="47" t="s">
        <v>17</v>
      </c>
      <c r="AR7" s="47" t="s">
        <v>17</v>
      </c>
      <c r="AS7" s="47" t="s">
        <v>17</v>
      </c>
      <c r="AT7" s="47" t="s">
        <v>17</v>
      </c>
      <c r="AU7" s="47" t="s">
        <v>17</v>
      </c>
      <c r="AV7" s="47" t="s">
        <v>17</v>
      </c>
      <c r="AW7" s="47" t="s">
        <v>17</v>
      </c>
      <c r="AX7" s="64" t="s">
        <v>17</v>
      </c>
      <c r="AY7" s="83"/>
      <c r="AZ7" s="56"/>
      <c r="BA7" s="56"/>
      <c r="BB7" s="56"/>
      <c r="BC7" s="56"/>
      <c r="BD7" s="56"/>
      <c r="BE7" s="56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79"/>
      <c r="CF7" s="79"/>
      <c r="CG7" s="79"/>
      <c r="CH7" s="79"/>
      <c r="CI7" s="79"/>
      <c r="CJ7" s="79"/>
      <c r="CK7" s="79"/>
      <c r="CL7" s="79"/>
      <c r="CM7" s="79"/>
      <c r="CN7" s="79"/>
      <c r="CO7" s="79"/>
      <c r="CP7" s="79"/>
      <c r="CQ7" s="79"/>
      <c r="CR7" s="79"/>
      <c r="CS7" s="79"/>
      <c r="CT7" s="79"/>
      <c r="CU7" s="79"/>
      <c r="CV7" s="79"/>
      <c r="CW7" s="79"/>
      <c r="CX7" s="79"/>
      <c r="CY7" s="56"/>
      <c r="CZ7" s="56"/>
      <c r="DA7" s="56"/>
      <c r="DB7" s="56"/>
      <c r="DC7" s="56"/>
      <c r="DD7" s="56"/>
      <c r="DE7" s="5">
        <v>4</v>
      </c>
      <c r="DF7" s="4" t="s">
        <v>5</v>
      </c>
    </row>
    <row r="8" spans="1:110" ht="61" customHeight="1" thickBot="1">
      <c r="A8" s="55"/>
      <c r="B8" s="55"/>
      <c r="C8" s="55"/>
      <c r="D8" s="55"/>
      <c r="E8" s="55"/>
      <c r="F8" s="55"/>
      <c r="G8" s="55"/>
      <c r="H8" s="55"/>
      <c r="I8" s="55"/>
      <c r="J8" s="55"/>
      <c r="K8" s="88"/>
      <c r="L8" s="45" t="s">
        <v>17</v>
      </c>
      <c r="M8" s="26"/>
      <c r="N8" s="8" t="s">
        <v>17</v>
      </c>
      <c r="O8" s="26"/>
      <c r="P8" s="8" t="s">
        <v>17</v>
      </c>
      <c r="Q8" s="26"/>
      <c r="R8" s="13" t="s">
        <v>17</v>
      </c>
      <c r="S8" s="26"/>
      <c r="T8" s="13" t="s">
        <v>17</v>
      </c>
      <c r="U8" s="26"/>
      <c r="V8" s="13" t="s">
        <v>17</v>
      </c>
      <c r="W8" s="26"/>
      <c r="X8" s="6" t="s">
        <v>17</v>
      </c>
      <c r="Y8" s="26"/>
      <c r="Z8" s="6" t="s">
        <v>17</v>
      </c>
      <c r="AA8" s="26"/>
      <c r="AB8" s="15" t="s">
        <v>17</v>
      </c>
      <c r="AC8" s="26"/>
      <c r="AD8" s="15" t="s">
        <v>17</v>
      </c>
      <c r="AE8" s="26"/>
      <c r="AF8" s="12" t="s">
        <v>17</v>
      </c>
      <c r="AG8" s="26"/>
      <c r="AH8" s="12" t="s">
        <v>17</v>
      </c>
      <c r="AI8" s="26"/>
      <c r="AJ8" s="12" t="s">
        <v>17</v>
      </c>
      <c r="AK8" s="26"/>
      <c r="AL8" s="10" t="s">
        <v>17</v>
      </c>
      <c r="AM8" s="26"/>
      <c r="AN8" s="10" t="s">
        <v>17</v>
      </c>
      <c r="AO8" s="26"/>
      <c r="AP8" s="10" t="s">
        <v>17</v>
      </c>
      <c r="AQ8" s="26"/>
      <c r="AR8" s="47" t="s">
        <v>17</v>
      </c>
      <c r="AS8" s="26"/>
      <c r="AT8" s="47" t="s">
        <v>17</v>
      </c>
      <c r="AU8" s="26"/>
      <c r="AV8" s="47" t="s">
        <v>17</v>
      </c>
      <c r="AW8" s="26"/>
      <c r="AX8" s="64" t="s">
        <v>17</v>
      </c>
      <c r="AY8" s="83"/>
      <c r="AZ8" s="56"/>
      <c r="BA8" s="56"/>
      <c r="BB8" s="56"/>
      <c r="BC8" s="56"/>
      <c r="BD8" s="56"/>
      <c r="BE8" s="56"/>
      <c r="BF8" s="56"/>
      <c r="BG8" s="56"/>
      <c r="BH8" s="56"/>
      <c r="BI8" s="56"/>
      <c r="BJ8" s="56"/>
      <c r="BK8" s="56"/>
      <c r="BL8" s="56"/>
      <c r="BM8" s="56"/>
      <c r="BN8" s="56"/>
      <c r="BO8" s="56"/>
      <c r="BP8" s="56"/>
      <c r="BQ8" s="56"/>
      <c r="BR8" s="56"/>
      <c r="BS8" s="56"/>
      <c r="BT8" s="56"/>
      <c r="BU8" s="56"/>
      <c r="BV8" s="56"/>
      <c r="BW8" s="56"/>
      <c r="BX8" s="56"/>
      <c r="BY8" s="56"/>
      <c r="BZ8" s="56"/>
      <c r="CA8" s="56"/>
      <c r="CB8" s="56"/>
      <c r="CC8" s="56"/>
      <c r="CD8" s="56"/>
      <c r="CE8" s="56"/>
      <c r="CF8" s="56"/>
      <c r="CG8" s="56"/>
      <c r="CH8" s="56"/>
      <c r="CI8" s="56"/>
      <c r="CJ8" s="56"/>
      <c r="CK8" s="56"/>
      <c r="CL8" s="56"/>
      <c r="CM8" s="56"/>
      <c r="CN8" s="56"/>
      <c r="CO8" s="56"/>
      <c r="CP8" s="56"/>
      <c r="CQ8" s="56"/>
      <c r="CR8" s="56"/>
      <c r="CS8" s="56"/>
      <c r="CT8" s="56"/>
      <c r="CU8" s="56"/>
      <c r="CV8" s="56"/>
      <c r="CW8" s="56"/>
      <c r="CX8" s="56"/>
      <c r="CY8" s="56"/>
      <c r="CZ8" s="56"/>
      <c r="DA8" s="56"/>
      <c r="DB8" s="56"/>
      <c r="DC8" s="56"/>
      <c r="DD8" s="56"/>
      <c r="DE8" s="5">
        <v>5</v>
      </c>
      <c r="DF8" s="4" t="s">
        <v>2</v>
      </c>
    </row>
    <row r="9" spans="1:110" ht="26" customHeight="1" thickBot="1">
      <c r="A9" s="55"/>
      <c r="B9" s="55"/>
      <c r="C9" s="55"/>
      <c r="D9" s="55"/>
      <c r="E9" s="55"/>
      <c r="F9" s="55"/>
      <c r="G9" s="55"/>
      <c r="H9" s="55"/>
      <c r="I9" s="55"/>
      <c r="J9" s="55"/>
      <c r="K9" s="89"/>
      <c r="L9" s="20" t="s">
        <v>17</v>
      </c>
      <c r="M9" s="13" t="s">
        <v>17</v>
      </c>
      <c r="N9" s="13" t="s">
        <v>17</v>
      </c>
      <c r="O9" s="13" t="s">
        <v>17</v>
      </c>
      <c r="P9" s="13" t="s">
        <v>17</v>
      </c>
      <c r="Q9" s="13" t="s">
        <v>17</v>
      </c>
      <c r="R9" s="13" t="s">
        <v>17</v>
      </c>
      <c r="S9" s="13" t="s">
        <v>17</v>
      </c>
      <c r="T9" s="13" t="s">
        <v>17</v>
      </c>
      <c r="U9" s="13" t="s">
        <v>17</v>
      </c>
      <c r="V9" s="13" t="s">
        <v>17</v>
      </c>
      <c r="W9" s="6" t="s">
        <v>17</v>
      </c>
      <c r="X9" s="6" t="s">
        <v>17</v>
      </c>
      <c r="Y9" s="6" t="s">
        <v>17</v>
      </c>
      <c r="Z9" s="6" t="s">
        <v>17</v>
      </c>
      <c r="AA9" s="15" t="s">
        <v>17</v>
      </c>
      <c r="AB9" s="15" t="s">
        <v>17</v>
      </c>
      <c r="AC9" s="15" t="s">
        <v>17</v>
      </c>
      <c r="AD9" s="15" t="s">
        <v>17</v>
      </c>
      <c r="AE9" s="12" t="s">
        <v>17</v>
      </c>
      <c r="AF9" s="12" t="s">
        <v>17</v>
      </c>
      <c r="AG9" s="12" t="s">
        <v>17</v>
      </c>
      <c r="AH9" s="12" t="s">
        <v>17</v>
      </c>
      <c r="AI9" s="12" t="s">
        <v>17</v>
      </c>
      <c r="AJ9" s="12" t="s">
        <v>17</v>
      </c>
      <c r="AK9" s="10" t="s">
        <v>17</v>
      </c>
      <c r="AL9" s="10" t="s">
        <v>17</v>
      </c>
      <c r="AM9" s="10" t="s">
        <v>17</v>
      </c>
      <c r="AN9" s="10" t="s">
        <v>17</v>
      </c>
      <c r="AO9" s="10" t="s">
        <v>17</v>
      </c>
      <c r="AP9" s="10" t="s">
        <v>17</v>
      </c>
      <c r="AQ9" s="47" t="s">
        <v>17</v>
      </c>
      <c r="AR9" s="47" t="s">
        <v>17</v>
      </c>
      <c r="AS9" s="47" t="s">
        <v>17</v>
      </c>
      <c r="AT9" s="47" t="s">
        <v>17</v>
      </c>
      <c r="AU9" s="47" t="s">
        <v>17</v>
      </c>
      <c r="AV9" s="47" t="s">
        <v>17</v>
      </c>
      <c r="AW9" s="47" t="s">
        <v>17</v>
      </c>
      <c r="AX9" s="64" t="s">
        <v>17</v>
      </c>
      <c r="AY9" s="83"/>
      <c r="AZ9" s="56"/>
      <c r="BA9" s="56"/>
      <c r="BB9" s="56"/>
      <c r="BC9" s="56"/>
      <c r="BD9" s="56"/>
      <c r="BE9" s="56"/>
      <c r="BF9" s="56"/>
      <c r="BG9" s="56"/>
      <c r="BH9" s="56"/>
      <c r="BI9" s="56"/>
      <c r="BJ9" s="56"/>
      <c r="BK9" s="56"/>
      <c r="BL9" s="56"/>
      <c r="BM9" s="56"/>
      <c r="BN9" s="56"/>
      <c r="BO9" s="56"/>
      <c r="BP9" s="56"/>
      <c r="BQ9" s="56"/>
      <c r="BR9" s="56"/>
      <c r="BS9" s="56"/>
      <c r="BT9" s="56"/>
      <c r="BU9" s="56"/>
      <c r="BV9" s="56"/>
      <c r="BW9" s="56"/>
      <c r="BX9" s="56"/>
      <c r="BY9" s="56"/>
      <c r="BZ9" s="56"/>
      <c r="CA9" s="56"/>
      <c r="CB9" s="56"/>
      <c r="CC9" s="56"/>
      <c r="CD9" s="56"/>
      <c r="CE9" s="56"/>
      <c r="CF9" s="56"/>
      <c r="CG9" s="56"/>
      <c r="CH9" s="56"/>
      <c r="CI9" s="56"/>
      <c r="CJ9" s="56"/>
      <c r="CK9" s="56"/>
      <c r="CL9" s="56"/>
      <c r="CM9" s="56"/>
      <c r="CN9" s="56"/>
      <c r="CO9" s="56"/>
      <c r="CP9" s="56"/>
      <c r="CQ9" s="56"/>
      <c r="CR9" s="56"/>
      <c r="CS9" s="56"/>
      <c r="CT9" s="56"/>
      <c r="CU9" s="56"/>
      <c r="CV9" s="56"/>
      <c r="CW9" s="56"/>
      <c r="CX9" s="56"/>
      <c r="CY9" s="56"/>
      <c r="CZ9" s="56"/>
      <c r="DA9" s="56"/>
      <c r="DB9" s="56"/>
      <c r="DC9" s="56"/>
      <c r="DD9" s="56"/>
      <c r="DE9" s="5">
        <v>6</v>
      </c>
      <c r="DF9" s="4" t="s">
        <v>3</v>
      </c>
    </row>
    <row r="10" spans="1:110" ht="61" customHeight="1" thickBot="1">
      <c r="A10" s="55"/>
      <c r="B10" s="55"/>
      <c r="C10" s="55"/>
      <c r="D10" s="55"/>
      <c r="E10" s="55"/>
      <c r="F10" s="55"/>
      <c r="G10" s="55"/>
      <c r="H10" s="55"/>
      <c r="I10" s="55"/>
      <c r="J10" s="55"/>
      <c r="K10" s="88"/>
      <c r="L10" s="20" t="s">
        <v>17</v>
      </c>
      <c r="M10" s="26"/>
      <c r="N10" s="13" t="s">
        <v>17</v>
      </c>
      <c r="O10" s="26"/>
      <c r="P10" s="13" t="s">
        <v>17</v>
      </c>
      <c r="Q10" s="26"/>
      <c r="R10" s="13" t="s">
        <v>17</v>
      </c>
      <c r="S10" s="26"/>
      <c r="T10" s="13" t="s">
        <v>17</v>
      </c>
      <c r="U10" s="26"/>
      <c r="V10" s="13" t="s">
        <v>17</v>
      </c>
      <c r="W10" s="26"/>
      <c r="X10" s="6" t="s">
        <v>17</v>
      </c>
      <c r="Y10" s="26"/>
      <c r="Z10" s="6" t="s">
        <v>17</v>
      </c>
      <c r="AA10" s="26"/>
      <c r="AB10" s="15" t="s">
        <v>17</v>
      </c>
      <c r="AC10" s="26"/>
      <c r="AD10" s="15" t="s">
        <v>17</v>
      </c>
      <c r="AE10" s="26"/>
      <c r="AF10" s="12" t="s">
        <v>17</v>
      </c>
      <c r="AG10" s="26"/>
      <c r="AH10" s="12" t="s">
        <v>17</v>
      </c>
      <c r="AI10" s="26"/>
      <c r="AJ10" s="12" t="s">
        <v>17</v>
      </c>
      <c r="AK10" s="26"/>
      <c r="AL10" s="10" t="s">
        <v>17</v>
      </c>
      <c r="AM10" s="26"/>
      <c r="AN10" s="10" t="s">
        <v>17</v>
      </c>
      <c r="AO10" s="26"/>
      <c r="AP10" s="10" t="s">
        <v>17</v>
      </c>
      <c r="AQ10" s="26"/>
      <c r="AR10" s="47" t="s">
        <v>17</v>
      </c>
      <c r="AS10" s="26"/>
      <c r="AT10" s="47" t="s">
        <v>17</v>
      </c>
      <c r="AU10" s="26"/>
      <c r="AV10" s="47" t="s">
        <v>17</v>
      </c>
      <c r="AW10" s="26"/>
      <c r="AX10" s="64" t="s">
        <v>17</v>
      </c>
      <c r="AY10" s="83"/>
      <c r="AZ10" s="56"/>
      <c r="BA10" s="56"/>
      <c r="BB10" s="56"/>
      <c r="BC10" s="56"/>
      <c r="BD10" s="56"/>
      <c r="BE10" s="56"/>
      <c r="BF10" s="56"/>
      <c r="BG10" s="109" t="s">
        <v>15</v>
      </c>
      <c r="BH10" s="109"/>
      <c r="BI10" s="109"/>
      <c r="BJ10" s="109"/>
      <c r="BK10" s="109"/>
      <c r="BL10" s="109"/>
      <c r="BM10" s="109"/>
      <c r="BN10" s="109"/>
      <c r="BO10" s="109"/>
      <c r="BP10" s="109"/>
      <c r="BQ10" s="109"/>
      <c r="BR10" s="109"/>
      <c r="BS10" s="109"/>
      <c r="BT10" s="109"/>
      <c r="BU10" s="109"/>
      <c r="BV10" s="109"/>
      <c r="BW10" s="109"/>
      <c r="BX10" s="109"/>
      <c r="BY10" s="57"/>
      <c r="BZ10" s="57"/>
      <c r="CA10" s="57"/>
      <c r="CB10" s="57"/>
      <c r="CC10" s="57"/>
      <c r="CD10" s="108" t="s">
        <v>16</v>
      </c>
      <c r="CE10" s="108"/>
      <c r="CF10" s="108"/>
      <c r="CG10" s="108"/>
      <c r="CH10" s="108"/>
      <c r="CI10" s="108"/>
      <c r="CJ10" s="108"/>
      <c r="CK10" s="108"/>
      <c r="CL10" s="108"/>
      <c r="CM10" s="108"/>
      <c r="CN10" s="108"/>
      <c r="CO10" s="108"/>
      <c r="CP10" s="108"/>
      <c r="CQ10" s="108"/>
      <c r="CR10" s="108"/>
      <c r="CS10" s="108"/>
      <c r="CT10" s="108"/>
      <c r="CU10" s="108"/>
      <c r="CV10" s="56"/>
      <c r="CW10" s="56"/>
      <c r="CX10" s="56"/>
      <c r="CY10" s="56"/>
      <c r="CZ10" s="56"/>
      <c r="DA10" s="56"/>
      <c r="DB10" s="56"/>
      <c r="DC10" s="56"/>
      <c r="DD10" s="56"/>
      <c r="DE10" s="5">
        <v>7</v>
      </c>
      <c r="DF10" s="4" t="s">
        <v>4</v>
      </c>
    </row>
    <row r="11" spans="1:110" ht="26" customHeight="1" thickBot="1">
      <c r="A11" s="55"/>
      <c r="B11" s="55"/>
      <c r="C11" s="55"/>
      <c r="D11" s="55"/>
      <c r="E11" s="55"/>
      <c r="F11" s="55"/>
      <c r="G11" s="55"/>
      <c r="H11" s="55"/>
      <c r="I11" s="55"/>
      <c r="J11" s="55"/>
      <c r="K11" s="88"/>
      <c r="L11" s="20" t="s">
        <v>17</v>
      </c>
      <c r="M11" s="13" t="s">
        <v>17</v>
      </c>
      <c r="N11" s="13" t="s">
        <v>17</v>
      </c>
      <c r="O11" s="13" t="s">
        <v>17</v>
      </c>
      <c r="P11" s="13" t="s">
        <v>17</v>
      </c>
      <c r="Q11" s="13" t="s">
        <v>17</v>
      </c>
      <c r="R11" s="13" t="s">
        <v>17</v>
      </c>
      <c r="S11" s="13" t="s">
        <v>17</v>
      </c>
      <c r="T11" s="13" t="s">
        <v>17</v>
      </c>
      <c r="U11" s="13" t="s">
        <v>17</v>
      </c>
      <c r="V11" s="13" t="s">
        <v>17</v>
      </c>
      <c r="W11" s="6" t="s">
        <v>17</v>
      </c>
      <c r="X11" s="6" t="s">
        <v>17</v>
      </c>
      <c r="Y11" s="6" t="s">
        <v>17</v>
      </c>
      <c r="Z11" s="6" t="s">
        <v>17</v>
      </c>
      <c r="AA11" s="15" t="s">
        <v>17</v>
      </c>
      <c r="AB11" s="15" t="s">
        <v>17</v>
      </c>
      <c r="AC11" s="15" t="s">
        <v>17</v>
      </c>
      <c r="AD11" s="15" t="s">
        <v>17</v>
      </c>
      <c r="AE11" s="12" t="s">
        <v>17</v>
      </c>
      <c r="AF11" s="12" t="s">
        <v>17</v>
      </c>
      <c r="AG11" s="12" t="s">
        <v>17</v>
      </c>
      <c r="AH11" s="12" t="s">
        <v>17</v>
      </c>
      <c r="AI11" s="12" t="s">
        <v>17</v>
      </c>
      <c r="AJ11" s="12" t="s">
        <v>17</v>
      </c>
      <c r="AK11" s="10" t="s">
        <v>17</v>
      </c>
      <c r="AL11" s="10" t="s">
        <v>17</v>
      </c>
      <c r="AM11" s="10" t="s">
        <v>17</v>
      </c>
      <c r="AN11" s="10" t="s">
        <v>17</v>
      </c>
      <c r="AO11" s="10" t="s">
        <v>17</v>
      </c>
      <c r="AP11" s="10" t="s">
        <v>17</v>
      </c>
      <c r="AQ11" s="47" t="s">
        <v>17</v>
      </c>
      <c r="AR11" s="47" t="s">
        <v>17</v>
      </c>
      <c r="AS11" s="47" t="s">
        <v>17</v>
      </c>
      <c r="AT11" s="47" t="s">
        <v>17</v>
      </c>
      <c r="AU11" s="47" t="s">
        <v>17</v>
      </c>
      <c r="AV11" s="47" t="s">
        <v>17</v>
      </c>
      <c r="AW11" s="47" t="s">
        <v>17</v>
      </c>
      <c r="AX11" s="64" t="s">
        <v>17</v>
      </c>
      <c r="AY11" s="83"/>
      <c r="AZ11" s="56"/>
      <c r="BA11" s="56"/>
      <c r="BB11" s="56"/>
      <c r="BC11" s="56"/>
      <c r="BD11" s="56"/>
      <c r="BE11" s="56"/>
      <c r="BF11" s="56"/>
      <c r="BG11" s="109"/>
      <c r="BH11" s="109"/>
      <c r="BI11" s="109"/>
      <c r="BJ11" s="109"/>
      <c r="BK11" s="109"/>
      <c r="BL11" s="109"/>
      <c r="BM11" s="109"/>
      <c r="BN11" s="109"/>
      <c r="BO11" s="109"/>
      <c r="BP11" s="109"/>
      <c r="BQ11" s="109"/>
      <c r="BR11" s="109"/>
      <c r="BS11" s="109"/>
      <c r="BT11" s="109"/>
      <c r="BU11" s="109"/>
      <c r="BV11" s="109"/>
      <c r="BW11" s="109"/>
      <c r="BX11" s="109"/>
      <c r="BY11" s="57"/>
      <c r="BZ11" s="57"/>
      <c r="CA11" s="57"/>
      <c r="CB11" s="57"/>
      <c r="CC11" s="57"/>
      <c r="CD11" s="108"/>
      <c r="CE11" s="108"/>
      <c r="CF11" s="108"/>
      <c r="CG11" s="108"/>
      <c r="CH11" s="108"/>
      <c r="CI11" s="108"/>
      <c r="CJ11" s="108"/>
      <c r="CK11" s="108"/>
      <c r="CL11" s="108"/>
      <c r="CM11" s="108"/>
      <c r="CN11" s="108"/>
      <c r="CO11" s="108"/>
      <c r="CP11" s="108"/>
      <c r="CQ11" s="108"/>
      <c r="CR11" s="108"/>
      <c r="CS11" s="108"/>
      <c r="CT11" s="108"/>
      <c r="CU11" s="108"/>
      <c r="CV11" s="56"/>
      <c r="CW11" s="56"/>
      <c r="CX11" s="56"/>
      <c r="CY11" s="56"/>
      <c r="CZ11" s="56"/>
      <c r="DA11" s="56"/>
      <c r="DB11" s="56"/>
      <c r="DC11" s="56"/>
      <c r="DD11" s="56"/>
      <c r="DE11" s="5">
        <v>8</v>
      </c>
      <c r="DF11" s="4" t="s">
        <v>14</v>
      </c>
    </row>
    <row r="12" spans="1:110" ht="61" customHeight="1" thickBot="1">
      <c r="A12" s="55"/>
      <c r="B12" s="55"/>
      <c r="C12" s="55"/>
      <c r="D12" s="55"/>
      <c r="E12" s="55"/>
      <c r="F12" s="55"/>
      <c r="G12" s="55"/>
      <c r="H12" s="55"/>
      <c r="I12" s="55"/>
      <c r="J12" s="55"/>
      <c r="K12" s="88"/>
      <c r="L12" s="20" t="s">
        <v>17</v>
      </c>
      <c r="M12" s="26"/>
      <c r="N12" s="13" t="s">
        <v>17</v>
      </c>
      <c r="O12" s="26"/>
      <c r="P12" s="13" t="s">
        <v>17</v>
      </c>
      <c r="Q12" s="26"/>
      <c r="R12" s="13" t="s">
        <v>17</v>
      </c>
      <c r="S12" s="26"/>
      <c r="T12" s="13" t="s">
        <v>17</v>
      </c>
      <c r="U12" s="26"/>
      <c r="V12" s="13" t="s">
        <v>17</v>
      </c>
      <c r="W12" s="26"/>
      <c r="X12" s="6" t="s">
        <v>17</v>
      </c>
      <c r="Y12" s="26"/>
      <c r="Z12" s="6" t="s">
        <v>17</v>
      </c>
      <c r="AA12" s="26"/>
      <c r="AB12" s="15" t="s">
        <v>17</v>
      </c>
      <c r="AC12" s="26"/>
      <c r="AD12" s="15" t="s">
        <v>17</v>
      </c>
      <c r="AE12" s="26"/>
      <c r="AF12" s="12" t="s">
        <v>17</v>
      </c>
      <c r="AG12" s="26"/>
      <c r="AH12" s="12" t="s">
        <v>17</v>
      </c>
      <c r="AI12" s="26"/>
      <c r="AJ12" s="12" t="s">
        <v>17</v>
      </c>
      <c r="AK12" s="26"/>
      <c r="AL12" s="10" t="s">
        <v>17</v>
      </c>
      <c r="AM12" s="26"/>
      <c r="AN12" s="10" t="s">
        <v>17</v>
      </c>
      <c r="AO12" s="26"/>
      <c r="AP12" s="10" t="s">
        <v>17</v>
      </c>
      <c r="AQ12" s="26"/>
      <c r="AR12" s="47" t="s">
        <v>17</v>
      </c>
      <c r="AS12" s="26"/>
      <c r="AT12" s="47" t="s">
        <v>17</v>
      </c>
      <c r="AU12" s="26"/>
      <c r="AV12" s="47" t="s">
        <v>17</v>
      </c>
      <c r="AW12" s="26"/>
      <c r="AX12" s="64" t="s">
        <v>17</v>
      </c>
      <c r="AY12" s="83"/>
      <c r="AZ12" s="56"/>
      <c r="BA12" s="56"/>
      <c r="BB12" s="56"/>
      <c r="BC12" s="56"/>
      <c r="BD12" s="56"/>
      <c r="BE12" s="56"/>
      <c r="BF12" s="56"/>
      <c r="BG12" s="109"/>
      <c r="BH12" s="109"/>
      <c r="BI12" s="109"/>
      <c r="BJ12" s="109"/>
      <c r="BK12" s="109"/>
      <c r="BL12" s="109"/>
      <c r="BM12" s="109"/>
      <c r="BN12" s="109"/>
      <c r="BO12" s="109"/>
      <c r="BP12" s="109"/>
      <c r="BQ12" s="109"/>
      <c r="BR12" s="109"/>
      <c r="BS12" s="109"/>
      <c r="BT12" s="109"/>
      <c r="BU12" s="109"/>
      <c r="BV12" s="109"/>
      <c r="BW12" s="109"/>
      <c r="BX12" s="109"/>
      <c r="BY12" s="57"/>
      <c r="BZ12" s="57"/>
      <c r="CA12" s="57"/>
      <c r="CB12" s="57"/>
      <c r="CC12" s="57"/>
      <c r="CD12" s="108"/>
      <c r="CE12" s="108"/>
      <c r="CF12" s="108"/>
      <c r="CG12" s="108"/>
      <c r="CH12" s="108"/>
      <c r="CI12" s="108"/>
      <c r="CJ12" s="108"/>
      <c r="CK12" s="108"/>
      <c r="CL12" s="108"/>
      <c r="CM12" s="108"/>
      <c r="CN12" s="108"/>
      <c r="CO12" s="108"/>
      <c r="CP12" s="108"/>
      <c r="CQ12" s="108"/>
      <c r="CR12" s="108"/>
      <c r="CS12" s="108"/>
      <c r="CT12" s="108"/>
      <c r="CU12" s="108"/>
      <c r="CV12" s="56"/>
      <c r="CW12" s="56"/>
      <c r="CX12" s="56"/>
      <c r="CY12" s="56"/>
      <c r="CZ12" s="56"/>
      <c r="DA12" s="56"/>
      <c r="DB12" s="56"/>
      <c r="DC12" s="56"/>
      <c r="DD12" s="56"/>
      <c r="DE12" s="5">
        <v>9</v>
      </c>
      <c r="DF12" s="4" t="s">
        <v>6</v>
      </c>
    </row>
    <row r="13" spans="1:110" ht="26" customHeight="1" thickBot="1">
      <c r="A13" s="55"/>
      <c r="B13" s="55"/>
      <c r="C13" s="55"/>
      <c r="D13" s="55"/>
      <c r="E13" s="55"/>
      <c r="F13" s="55"/>
      <c r="G13" s="55"/>
      <c r="H13" s="55"/>
      <c r="I13" s="55"/>
      <c r="J13" s="55"/>
      <c r="K13" s="88"/>
      <c r="L13" s="20" t="s">
        <v>17</v>
      </c>
      <c r="M13" s="13" t="s">
        <v>17</v>
      </c>
      <c r="N13" s="13" t="s">
        <v>17</v>
      </c>
      <c r="O13" s="13" t="s">
        <v>17</v>
      </c>
      <c r="P13" s="13" t="s">
        <v>17</v>
      </c>
      <c r="Q13" s="13" t="s">
        <v>17</v>
      </c>
      <c r="R13" s="13" t="s">
        <v>17</v>
      </c>
      <c r="S13" s="13" t="s">
        <v>17</v>
      </c>
      <c r="T13" s="13" t="s">
        <v>17</v>
      </c>
      <c r="U13" s="13" t="s">
        <v>17</v>
      </c>
      <c r="V13" s="13" t="s">
        <v>17</v>
      </c>
      <c r="W13" s="6" t="s">
        <v>17</v>
      </c>
      <c r="X13" s="6" t="s">
        <v>17</v>
      </c>
      <c r="Y13" s="6" t="s">
        <v>17</v>
      </c>
      <c r="Z13" s="6" t="s">
        <v>17</v>
      </c>
      <c r="AA13" s="15" t="s">
        <v>17</v>
      </c>
      <c r="AB13" s="15" t="s">
        <v>17</v>
      </c>
      <c r="AC13" s="15" t="s">
        <v>17</v>
      </c>
      <c r="AD13" s="15" t="s">
        <v>17</v>
      </c>
      <c r="AE13" s="12" t="s">
        <v>17</v>
      </c>
      <c r="AF13" s="12" t="s">
        <v>17</v>
      </c>
      <c r="AG13" s="12" t="s">
        <v>17</v>
      </c>
      <c r="AH13" s="12" t="s">
        <v>17</v>
      </c>
      <c r="AI13" s="12" t="s">
        <v>17</v>
      </c>
      <c r="AJ13" s="12" t="s">
        <v>17</v>
      </c>
      <c r="AK13" s="10" t="s">
        <v>17</v>
      </c>
      <c r="AL13" s="10" t="s">
        <v>17</v>
      </c>
      <c r="AM13" s="10" t="s">
        <v>17</v>
      </c>
      <c r="AN13" s="10" t="s">
        <v>17</v>
      </c>
      <c r="AO13" s="10" t="s">
        <v>17</v>
      </c>
      <c r="AP13" s="10" t="s">
        <v>17</v>
      </c>
      <c r="AQ13" s="47" t="s">
        <v>17</v>
      </c>
      <c r="AR13" s="47" t="s">
        <v>17</v>
      </c>
      <c r="AS13" s="47" t="s">
        <v>17</v>
      </c>
      <c r="AT13" s="47" t="s">
        <v>17</v>
      </c>
      <c r="AU13" s="47" t="s">
        <v>17</v>
      </c>
      <c r="AV13" s="47" t="s">
        <v>17</v>
      </c>
      <c r="AW13" s="47" t="s">
        <v>17</v>
      </c>
      <c r="AX13" s="64" t="s">
        <v>17</v>
      </c>
      <c r="AY13" s="83"/>
      <c r="AZ13" s="56"/>
      <c r="BA13" s="56"/>
      <c r="BB13" s="56"/>
      <c r="BC13" s="56"/>
      <c r="BD13" s="56"/>
      <c r="BE13" s="56"/>
      <c r="BF13" s="56"/>
      <c r="BG13" s="56"/>
      <c r="BH13" s="56"/>
      <c r="BI13" s="57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57"/>
      <c r="BW13" s="57"/>
      <c r="BX13" s="57"/>
      <c r="BY13" s="57"/>
      <c r="BZ13" s="57"/>
      <c r="CA13" s="57"/>
      <c r="CB13" s="57"/>
      <c r="CC13" s="57"/>
      <c r="CD13" s="71"/>
      <c r="CE13" s="71"/>
      <c r="CF13" s="58"/>
      <c r="CG13" s="58"/>
      <c r="CH13" s="58"/>
      <c r="CI13" s="58"/>
      <c r="CJ13" s="58"/>
      <c r="CK13" s="58"/>
      <c r="CL13" s="58"/>
      <c r="CM13" s="58"/>
      <c r="CN13" s="58"/>
      <c r="CO13" s="58"/>
      <c r="CP13" s="58"/>
      <c r="CQ13" s="72"/>
      <c r="CR13" s="72"/>
      <c r="CS13" s="72"/>
      <c r="CT13" s="72"/>
      <c r="CU13" s="72"/>
      <c r="CV13" s="56"/>
      <c r="CW13" s="56"/>
      <c r="CX13" s="56"/>
      <c r="CY13" s="56"/>
      <c r="CZ13" s="56"/>
      <c r="DA13" s="56"/>
      <c r="DB13" s="56"/>
      <c r="DC13" s="56"/>
      <c r="DD13" s="56"/>
      <c r="DE13" s="5">
        <v>10</v>
      </c>
      <c r="DF13" s="4" t="s">
        <v>7</v>
      </c>
    </row>
    <row r="14" spans="1:110" ht="61" customHeight="1" thickBot="1">
      <c r="A14" s="55"/>
      <c r="B14" s="55"/>
      <c r="C14" s="55"/>
      <c r="D14" s="55"/>
      <c r="E14" s="55"/>
      <c r="F14" s="55"/>
      <c r="G14" s="55"/>
      <c r="H14" s="55"/>
      <c r="I14" s="55"/>
      <c r="J14" s="55"/>
      <c r="K14" s="88"/>
      <c r="L14" s="20" t="s">
        <v>17</v>
      </c>
      <c r="M14" s="26"/>
      <c r="N14" s="13" t="s">
        <v>17</v>
      </c>
      <c r="O14" s="26"/>
      <c r="P14" s="13" t="s">
        <v>17</v>
      </c>
      <c r="Q14" s="26"/>
      <c r="R14" s="13" t="s">
        <v>17</v>
      </c>
      <c r="S14" s="26"/>
      <c r="T14" s="13" t="s">
        <v>17</v>
      </c>
      <c r="U14" s="26"/>
      <c r="V14" s="13" t="s">
        <v>17</v>
      </c>
      <c r="W14" s="26"/>
      <c r="X14" s="6" t="s">
        <v>17</v>
      </c>
      <c r="Y14" s="26"/>
      <c r="Z14" s="6" t="s">
        <v>17</v>
      </c>
      <c r="AA14" s="26"/>
      <c r="AB14" s="15" t="s">
        <v>17</v>
      </c>
      <c r="AC14" s="26"/>
      <c r="AD14" s="15" t="s">
        <v>17</v>
      </c>
      <c r="AE14" s="26"/>
      <c r="AF14" s="12" t="s">
        <v>17</v>
      </c>
      <c r="AG14" s="26"/>
      <c r="AH14" s="12" t="s">
        <v>17</v>
      </c>
      <c r="AI14" s="26"/>
      <c r="AJ14" s="12" t="s">
        <v>17</v>
      </c>
      <c r="AK14" s="26"/>
      <c r="AL14" s="10" t="s">
        <v>17</v>
      </c>
      <c r="AM14" s="26"/>
      <c r="AN14" s="10" t="s">
        <v>17</v>
      </c>
      <c r="AO14" s="26"/>
      <c r="AP14" s="10" t="s">
        <v>17</v>
      </c>
      <c r="AQ14" s="26"/>
      <c r="AR14" s="47" t="s">
        <v>17</v>
      </c>
      <c r="AS14" s="26"/>
      <c r="AT14" s="47" t="s">
        <v>17</v>
      </c>
      <c r="AU14" s="26"/>
      <c r="AV14" s="47" t="s">
        <v>17</v>
      </c>
      <c r="AW14" s="26"/>
      <c r="AX14" s="64" t="s">
        <v>17</v>
      </c>
      <c r="AY14" s="83"/>
      <c r="AZ14" s="56"/>
      <c r="BA14" s="56"/>
      <c r="BB14" s="56"/>
      <c r="BC14" s="56"/>
      <c r="BD14" s="56"/>
      <c r="BE14" s="56"/>
      <c r="BF14" s="56"/>
      <c r="BG14" s="56"/>
      <c r="BH14" s="56"/>
      <c r="BI14" s="106"/>
      <c r="BJ14" s="106"/>
      <c r="BK14" s="106"/>
      <c r="BL14" s="106"/>
      <c r="BM14" s="106"/>
      <c r="BN14" s="106"/>
      <c r="BO14" s="106"/>
      <c r="BP14" s="106"/>
      <c r="BQ14" s="106"/>
      <c r="BR14" s="106"/>
      <c r="BS14" s="106"/>
      <c r="BT14" s="106"/>
      <c r="BU14" s="106"/>
      <c r="BV14" s="106"/>
      <c r="BW14" s="106"/>
      <c r="BX14" s="106"/>
      <c r="BY14" s="59"/>
      <c r="BZ14" s="59"/>
      <c r="CA14" s="59"/>
      <c r="CB14" s="59"/>
      <c r="CC14" s="59"/>
      <c r="CD14" s="73"/>
      <c r="CE14" s="73"/>
      <c r="CF14" s="107"/>
      <c r="CG14" s="107"/>
      <c r="CH14" s="107"/>
      <c r="CI14" s="107"/>
      <c r="CJ14" s="107"/>
      <c r="CK14" s="107"/>
      <c r="CL14" s="107"/>
      <c r="CM14" s="107"/>
      <c r="CN14" s="107"/>
      <c r="CO14" s="107"/>
      <c r="CP14" s="107"/>
      <c r="CQ14" s="107"/>
      <c r="CR14" s="107"/>
      <c r="CS14" s="107"/>
      <c r="CT14" s="107"/>
      <c r="CU14" s="107"/>
      <c r="CV14" s="56"/>
      <c r="CW14" s="56"/>
      <c r="CX14" s="56"/>
      <c r="CY14" s="56"/>
      <c r="CZ14" s="56"/>
      <c r="DA14" s="56"/>
      <c r="DB14" s="56"/>
      <c r="DC14" s="56"/>
      <c r="DD14" s="56"/>
      <c r="DE14" s="5">
        <v>11</v>
      </c>
      <c r="DF14" s="4" t="s">
        <v>11</v>
      </c>
    </row>
    <row r="15" spans="1:110" ht="26" customHeight="1" thickBot="1">
      <c r="A15" s="55"/>
      <c r="B15" s="55"/>
      <c r="C15" s="55"/>
      <c r="D15" s="55"/>
      <c r="E15" s="55"/>
      <c r="F15" s="55"/>
      <c r="G15" s="55"/>
      <c r="H15" s="55"/>
      <c r="I15" s="55"/>
      <c r="J15" s="55"/>
      <c r="K15" s="88"/>
      <c r="L15" s="21" t="s">
        <v>17</v>
      </c>
      <c r="M15" s="6" t="s">
        <v>17</v>
      </c>
      <c r="N15" s="6" t="s">
        <v>17</v>
      </c>
      <c r="O15" s="6" t="s">
        <v>17</v>
      </c>
      <c r="P15" s="6" t="s">
        <v>17</v>
      </c>
      <c r="Q15" s="6" t="s">
        <v>17</v>
      </c>
      <c r="R15" s="6" t="s">
        <v>17</v>
      </c>
      <c r="S15" s="6" t="s">
        <v>17</v>
      </c>
      <c r="T15" s="6" t="s">
        <v>17</v>
      </c>
      <c r="U15" s="6" t="s">
        <v>17</v>
      </c>
      <c r="V15" s="6" t="s">
        <v>17</v>
      </c>
      <c r="W15" s="6" t="s">
        <v>17</v>
      </c>
      <c r="X15" s="6" t="s">
        <v>17</v>
      </c>
      <c r="Y15" s="6" t="s">
        <v>17</v>
      </c>
      <c r="Z15" s="6" t="s">
        <v>17</v>
      </c>
      <c r="AA15" s="15" t="s">
        <v>17</v>
      </c>
      <c r="AB15" s="15" t="s">
        <v>17</v>
      </c>
      <c r="AC15" s="15" t="s">
        <v>17</v>
      </c>
      <c r="AD15" s="15" t="s">
        <v>17</v>
      </c>
      <c r="AE15" s="12" t="s">
        <v>17</v>
      </c>
      <c r="AF15" s="12" t="s">
        <v>17</v>
      </c>
      <c r="AG15" s="12" t="s">
        <v>17</v>
      </c>
      <c r="AH15" s="12" t="s">
        <v>17</v>
      </c>
      <c r="AI15" s="12" t="s">
        <v>17</v>
      </c>
      <c r="AJ15" s="12" t="s">
        <v>17</v>
      </c>
      <c r="AK15" s="10" t="s">
        <v>17</v>
      </c>
      <c r="AL15" s="10" t="s">
        <v>17</v>
      </c>
      <c r="AM15" s="10" t="s">
        <v>17</v>
      </c>
      <c r="AN15" s="10" t="s">
        <v>17</v>
      </c>
      <c r="AO15" s="10" t="s">
        <v>17</v>
      </c>
      <c r="AP15" s="10" t="s">
        <v>17</v>
      </c>
      <c r="AQ15" s="47" t="s">
        <v>17</v>
      </c>
      <c r="AR15" s="47" t="s">
        <v>17</v>
      </c>
      <c r="AS15" s="47" t="s">
        <v>17</v>
      </c>
      <c r="AT15" s="47" t="s">
        <v>17</v>
      </c>
      <c r="AU15" s="47" t="s">
        <v>17</v>
      </c>
      <c r="AV15" s="47" t="s">
        <v>17</v>
      </c>
      <c r="AW15" s="47" t="s">
        <v>17</v>
      </c>
      <c r="AX15" s="64" t="s">
        <v>17</v>
      </c>
      <c r="AY15" s="83"/>
      <c r="AZ15" s="56"/>
      <c r="BA15" s="56"/>
      <c r="BB15" s="56"/>
      <c r="BC15" s="56"/>
      <c r="BD15" s="56"/>
      <c r="BE15" s="56"/>
      <c r="BF15" s="56"/>
      <c r="BG15" s="56"/>
      <c r="BH15" s="56"/>
      <c r="BI15" s="106"/>
      <c r="BJ15" s="106"/>
      <c r="BK15" s="106"/>
      <c r="BL15" s="106"/>
      <c r="BM15" s="106"/>
      <c r="BN15" s="106"/>
      <c r="BO15" s="106"/>
      <c r="BP15" s="106"/>
      <c r="BQ15" s="106"/>
      <c r="BR15" s="106"/>
      <c r="BS15" s="106"/>
      <c r="BT15" s="106"/>
      <c r="BU15" s="106"/>
      <c r="BV15" s="106"/>
      <c r="BW15" s="106"/>
      <c r="BX15" s="106"/>
      <c r="BY15" s="59"/>
      <c r="BZ15" s="59"/>
      <c r="CA15" s="59"/>
      <c r="CB15" s="59"/>
      <c r="CC15" s="59"/>
      <c r="CD15" s="73"/>
      <c r="CE15" s="73"/>
      <c r="CF15" s="107"/>
      <c r="CG15" s="107"/>
      <c r="CH15" s="107"/>
      <c r="CI15" s="107"/>
      <c r="CJ15" s="107"/>
      <c r="CK15" s="107"/>
      <c r="CL15" s="107"/>
      <c r="CM15" s="107"/>
      <c r="CN15" s="107"/>
      <c r="CO15" s="107"/>
      <c r="CP15" s="107"/>
      <c r="CQ15" s="107"/>
      <c r="CR15" s="107"/>
      <c r="CS15" s="107"/>
      <c r="CT15" s="107"/>
      <c r="CU15" s="107"/>
      <c r="CV15" s="56"/>
      <c r="CW15" s="56"/>
      <c r="CX15" s="56"/>
      <c r="CY15" s="56"/>
      <c r="CZ15" s="56"/>
      <c r="DA15" s="56"/>
      <c r="DB15" s="56"/>
      <c r="DC15" s="56"/>
      <c r="DD15" s="56"/>
      <c r="DE15" s="5">
        <v>12</v>
      </c>
      <c r="DF15" s="4" t="s">
        <v>12</v>
      </c>
    </row>
    <row r="16" spans="1:110" ht="61" customHeight="1" thickBot="1">
      <c r="A16" s="55"/>
      <c r="B16" s="55"/>
      <c r="C16" s="55"/>
      <c r="D16" s="55"/>
      <c r="E16" s="55"/>
      <c r="F16" s="55"/>
      <c r="G16" s="55"/>
      <c r="H16" s="55"/>
      <c r="I16" s="55"/>
      <c r="J16" s="55"/>
      <c r="K16" s="88"/>
      <c r="L16" s="21" t="s">
        <v>17</v>
      </c>
      <c r="M16" s="26"/>
      <c r="N16" s="6" t="s">
        <v>17</v>
      </c>
      <c r="O16" s="26"/>
      <c r="P16" s="6" t="s">
        <v>17</v>
      </c>
      <c r="Q16" s="26"/>
      <c r="R16" s="6" t="s">
        <v>17</v>
      </c>
      <c r="S16" s="26"/>
      <c r="T16" s="6" t="s">
        <v>17</v>
      </c>
      <c r="U16" s="26"/>
      <c r="V16" s="6" t="s">
        <v>17</v>
      </c>
      <c r="W16" s="26"/>
      <c r="X16" s="6" t="s">
        <v>17</v>
      </c>
      <c r="Y16" s="26"/>
      <c r="Z16" s="6" t="s">
        <v>17</v>
      </c>
      <c r="AA16" s="26"/>
      <c r="AB16" s="15" t="s">
        <v>17</v>
      </c>
      <c r="AC16" s="26"/>
      <c r="AD16" s="15" t="s">
        <v>17</v>
      </c>
      <c r="AE16" s="26"/>
      <c r="AF16" s="12" t="s">
        <v>17</v>
      </c>
      <c r="AG16" s="26"/>
      <c r="AH16" s="12" t="s">
        <v>17</v>
      </c>
      <c r="AI16" s="26"/>
      <c r="AJ16" s="12" t="s">
        <v>17</v>
      </c>
      <c r="AK16" s="26"/>
      <c r="AL16" s="10" t="s">
        <v>17</v>
      </c>
      <c r="AM16" s="26"/>
      <c r="AN16" s="10" t="s">
        <v>17</v>
      </c>
      <c r="AO16" s="26"/>
      <c r="AP16" s="10" t="s">
        <v>17</v>
      </c>
      <c r="AQ16" s="26"/>
      <c r="AR16" s="47" t="s">
        <v>17</v>
      </c>
      <c r="AS16" s="26"/>
      <c r="AT16" s="47" t="s">
        <v>17</v>
      </c>
      <c r="AU16" s="26"/>
      <c r="AV16" s="47" t="s">
        <v>17</v>
      </c>
      <c r="AW16" s="26"/>
      <c r="AX16" s="64" t="s">
        <v>17</v>
      </c>
      <c r="AY16" s="83"/>
      <c r="AZ16" s="56"/>
      <c r="BA16" s="56"/>
      <c r="BB16" s="56"/>
      <c r="BC16" s="56"/>
      <c r="BD16" s="56"/>
      <c r="BE16" s="56"/>
      <c r="BF16" s="56"/>
      <c r="BG16" s="56"/>
      <c r="BH16" s="56"/>
      <c r="BI16" s="106"/>
      <c r="BJ16" s="106"/>
      <c r="BK16" s="106"/>
      <c r="BL16" s="106"/>
      <c r="BM16" s="106"/>
      <c r="BN16" s="106"/>
      <c r="BO16" s="106"/>
      <c r="BP16" s="106"/>
      <c r="BQ16" s="106"/>
      <c r="BR16" s="106"/>
      <c r="BS16" s="106"/>
      <c r="BT16" s="106"/>
      <c r="BU16" s="106"/>
      <c r="BV16" s="106"/>
      <c r="BW16" s="106"/>
      <c r="BX16" s="106"/>
      <c r="BY16" s="59"/>
      <c r="BZ16" s="59"/>
      <c r="CA16" s="59"/>
      <c r="CB16" s="59"/>
      <c r="CC16" s="59"/>
      <c r="CD16" s="73"/>
      <c r="CE16" s="73"/>
      <c r="CF16" s="107"/>
      <c r="CG16" s="107"/>
      <c r="CH16" s="107"/>
      <c r="CI16" s="107"/>
      <c r="CJ16" s="107"/>
      <c r="CK16" s="107"/>
      <c r="CL16" s="107"/>
      <c r="CM16" s="107"/>
      <c r="CN16" s="107"/>
      <c r="CO16" s="107"/>
      <c r="CP16" s="107"/>
      <c r="CQ16" s="107"/>
      <c r="CR16" s="107"/>
      <c r="CS16" s="107"/>
      <c r="CT16" s="107"/>
      <c r="CU16" s="107"/>
      <c r="CV16" s="56"/>
      <c r="CW16" s="56"/>
      <c r="CX16" s="56"/>
      <c r="CY16" s="56"/>
      <c r="CZ16" s="56"/>
      <c r="DA16" s="56"/>
      <c r="DB16" s="56"/>
      <c r="DC16" s="56"/>
      <c r="DD16" s="56"/>
      <c r="DE16" s="5">
        <v>13</v>
      </c>
      <c r="DF16" s="4" t="s">
        <v>8</v>
      </c>
    </row>
    <row r="17" spans="1:110" ht="26" customHeight="1" thickBot="1">
      <c r="A17" s="55"/>
      <c r="B17" s="55"/>
      <c r="C17" s="55"/>
      <c r="D17" s="55"/>
      <c r="E17" s="55"/>
      <c r="F17" s="55"/>
      <c r="G17" s="55"/>
      <c r="H17" s="55"/>
      <c r="I17" s="55"/>
      <c r="J17" s="55"/>
      <c r="K17" s="88"/>
      <c r="L17" s="21" t="s">
        <v>17</v>
      </c>
      <c r="M17" s="6" t="s">
        <v>17</v>
      </c>
      <c r="N17" s="6" t="s">
        <v>17</v>
      </c>
      <c r="O17" s="6" t="s">
        <v>17</v>
      </c>
      <c r="P17" s="6" t="s">
        <v>17</v>
      </c>
      <c r="Q17" s="6" t="s">
        <v>17</v>
      </c>
      <c r="R17" s="6" t="s">
        <v>17</v>
      </c>
      <c r="S17" s="6" t="s">
        <v>17</v>
      </c>
      <c r="T17" s="6" t="s">
        <v>17</v>
      </c>
      <c r="U17" s="6" t="s">
        <v>17</v>
      </c>
      <c r="V17" s="6" t="s">
        <v>17</v>
      </c>
      <c r="W17" s="6" t="s">
        <v>17</v>
      </c>
      <c r="X17" s="6" t="s">
        <v>17</v>
      </c>
      <c r="Y17" s="6" t="s">
        <v>17</v>
      </c>
      <c r="Z17" s="6" t="s">
        <v>17</v>
      </c>
      <c r="AA17" s="15" t="s">
        <v>17</v>
      </c>
      <c r="AB17" s="15" t="s">
        <v>17</v>
      </c>
      <c r="AC17" s="15" t="s">
        <v>17</v>
      </c>
      <c r="AD17" s="15" t="s">
        <v>17</v>
      </c>
      <c r="AE17" s="12" t="s">
        <v>17</v>
      </c>
      <c r="AF17" s="12" t="s">
        <v>17</v>
      </c>
      <c r="AG17" s="12" t="s">
        <v>17</v>
      </c>
      <c r="AH17" s="12" t="s">
        <v>17</v>
      </c>
      <c r="AI17" s="12" t="s">
        <v>17</v>
      </c>
      <c r="AJ17" s="12" t="s">
        <v>17</v>
      </c>
      <c r="AK17" s="10" t="s">
        <v>17</v>
      </c>
      <c r="AL17" s="10" t="s">
        <v>17</v>
      </c>
      <c r="AM17" s="10" t="s">
        <v>17</v>
      </c>
      <c r="AN17" s="10" t="s">
        <v>17</v>
      </c>
      <c r="AO17" s="10" t="s">
        <v>17</v>
      </c>
      <c r="AP17" s="10" t="s">
        <v>17</v>
      </c>
      <c r="AQ17" s="47" t="s">
        <v>17</v>
      </c>
      <c r="AR17" s="47" t="s">
        <v>17</v>
      </c>
      <c r="AS17" s="47" t="s">
        <v>17</v>
      </c>
      <c r="AT17" s="47" t="s">
        <v>17</v>
      </c>
      <c r="AU17" s="47" t="s">
        <v>17</v>
      </c>
      <c r="AV17" s="47" t="s">
        <v>17</v>
      </c>
      <c r="AW17" s="47" t="s">
        <v>17</v>
      </c>
      <c r="AX17" s="64" t="s">
        <v>17</v>
      </c>
      <c r="AY17" s="83"/>
      <c r="AZ17" s="56"/>
      <c r="BA17" s="56"/>
      <c r="BB17" s="56"/>
      <c r="BC17" s="56"/>
      <c r="BD17" s="56"/>
      <c r="BE17" s="56"/>
      <c r="BF17" s="56"/>
      <c r="BG17" s="56"/>
      <c r="BH17" s="56"/>
      <c r="BI17" s="105" t="str">
        <f>VLOOKUP(DE3,$DE$4:$DF$18,2,FALSE)</f>
        <v>v</v>
      </c>
      <c r="BJ17" s="105"/>
      <c r="BK17" s="105"/>
      <c r="BL17" s="105"/>
      <c r="BM17" s="105"/>
      <c r="BN17" s="105"/>
      <c r="BO17" s="105"/>
      <c r="BP17" s="105"/>
      <c r="BQ17" s="58"/>
      <c r="BR17" s="58"/>
      <c r="BS17" s="58"/>
      <c r="BT17" s="58"/>
      <c r="BU17" s="58"/>
      <c r="BV17" s="58"/>
      <c r="BW17" s="58"/>
      <c r="BX17" s="58"/>
      <c r="BY17" s="60"/>
      <c r="BZ17" s="60"/>
      <c r="CA17" s="60"/>
      <c r="CB17" s="60"/>
      <c r="CC17" s="60"/>
      <c r="CD17" s="74"/>
      <c r="CE17" s="74"/>
      <c r="CF17" s="105" t="str">
        <f>IF(DE3=DF3,IF(DF3+1&gt;12,VLOOKUP(DF3-1,$DE$4:$DF$18,2,FALSE),VLOOKUP(DF3+1,$DE$4:$DF$18,2,FALSE)),VLOOKUP(DF3,$DE$4:$DF$18,2,FALSE))</f>
        <v>u</v>
      </c>
      <c r="CG17" s="105"/>
      <c r="CH17" s="105"/>
      <c r="CI17" s="105"/>
      <c r="CJ17" s="105"/>
      <c r="CK17" s="105"/>
      <c r="CL17" s="105"/>
      <c r="CM17" s="105"/>
      <c r="CN17" s="58"/>
      <c r="CO17" s="58"/>
      <c r="CP17" s="58"/>
      <c r="CQ17" s="58"/>
      <c r="CR17" s="58"/>
      <c r="CS17" s="58"/>
      <c r="CT17" s="58"/>
      <c r="CU17" s="58"/>
      <c r="CV17" s="56"/>
      <c r="CW17" s="56"/>
      <c r="CX17" s="56"/>
      <c r="CY17" s="56"/>
      <c r="CZ17" s="56"/>
      <c r="DA17" s="56"/>
      <c r="DB17" s="56"/>
      <c r="DC17" s="56"/>
      <c r="DD17" s="56"/>
      <c r="DE17" s="5">
        <v>14</v>
      </c>
      <c r="DF17" s="4" t="s">
        <v>9</v>
      </c>
    </row>
    <row r="18" spans="1:110" ht="61" customHeight="1" thickBot="1">
      <c r="A18" s="55"/>
      <c r="B18" s="55"/>
      <c r="C18" s="55"/>
      <c r="D18" s="55"/>
      <c r="E18" s="55"/>
      <c r="F18" s="55"/>
      <c r="G18" s="55"/>
      <c r="H18" s="55"/>
      <c r="I18" s="55"/>
      <c r="J18" s="55"/>
      <c r="K18" s="88"/>
      <c r="L18" s="21" t="s">
        <v>17</v>
      </c>
      <c r="M18" s="26"/>
      <c r="N18" s="6" t="s">
        <v>17</v>
      </c>
      <c r="O18" s="26"/>
      <c r="P18" s="6" t="s">
        <v>17</v>
      </c>
      <c r="Q18" s="26"/>
      <c r="R18" s="6" t="s">
        <v>17</v>
      </c>
      <c r="S18" s="26"/>
      <c r="T18" s="6" t="s">
        <v>17</v>
      </c>
      <c r="U18" s="26"/>
      <c r="V18" s="6" t="s">
        <v>17</v>
      </c>
      <c r="W18" s="26"/>
      <c r="X18" s="6" t="s">
        <v>17</v>
      </c>
      <c r="Y18" s="26"/>
      <c r="Z18" s="6" t="s">
        <v>17</v>
      </c>
      <c r="AA18" s="26"/>
      <c r="AB18" s="15" t="s">
        <v>17</v>
      </c>
      <c r="AC18" s="26"/>
      <c r="AD18" s="15" t="s">
        <v>17</v>
      </c>
      <c r="AE18" s="26"/>
      <c r="AF18" s="12" t="s">
        <v>17</v>
      </c>
      <c r="AG18" s="26"/>
      <c r="AH18" s="12" t="s">
        <v>17</v>
      </c>
      <c r="AI18" s="26"/>
      <c r="AJ18" s="12" t="s">
        <v>17</v>
      </c>
      <c r="AK18" s="26"/>
      <c r="AL18" s="10" t="s">
        <v>17</v>
      </c>
      <c r="AM18" s="26"/>
      <c r="AN18" s="10" t="s">
        <v>17</v>
      </c>
      <c r="AO18" s="26"/>
      <c r="AP18" s="10" t="s">
        <v>17</v>
      </c>
      <c r="AQ18" s="26"/>
      <c r="AR18" s="47" t="s">
        <v>17</v>
      </c>
      <c r="AS18" s="26"/>
      <c r="AT18" s="47" t="s">
        <v>17</v>
      </c>
      <c r="AU18" s="26"/>
      <c r="AV18" s="47" t="s">
        <v>17</v>
      </c>
      <c r="AW18" s="26"/>
      <c r="AX18" s="64" t="s">
        <v>17</v>
      </c>
      <c r="AY18" s="83"/>
      <c r="AZ18" s="56"/>
      <c r="BA18" s="56"/>
      <c r="BB18" s="56"/>
      <c r="BC18" s="56"/>
      <c r="BD18" s="56"/>
      <c r="BE18" s="56"/>
      <c r="BF18" s="56"/>
      <c r="BG18" s="56"/>
      <c r="BH18" s="56"/>
      <c r="BI18" s="105"/>
      <c r="BJ18" s="105"/>
      <c r="BK18" s="105"/>
      <c r="BL18" s="105"/>
      <c r="BM18" s="105"/>
      <c r="BN18" s="105"/>
      <c r="BO18" s="105"/>
      <c r="BP18" s="105"/>
      <c r="BQ18" s="58"/>
      <c r="BR18" s="58"/>
      <c r="BS18" s="58"/>
      <c r="BT18" s="58"/>
      <c r="BU18" s="58"/>
      <c r="BV18" s="58"/>
      <c r="BW18" s="58"/>
      <c r="BX18" s="58"/>
      <c r="BY18" s="60"/>
      <c r="BZ18" s="60"/>
      <c r="CA18" s="60"/>
      <c r="CB18" s="60"/>
      <c r="CC18" s="60"/>
      <c r="CD18" s="74"/>
      <c r="CE18" s="74"/>
      <c r="CF18" s="105"/>
      <c r="CG18" s="105"/>
      <c r="CH18" s="105"/>
      <c r="CI18" s="105"/>
      <c r="CJ18" s="105"/>
      <c r="CK18" s="105"/>
      <c r="CL18" s="105"/>
      <c r="CM18" s="105"/>
      <c r="CN18" s="58"/>
      <c r="CO18" s="58"/>
      <c r="CP18" s="58"/>
      <c r="CQ18" s="58"/>
      <c r="CR18" s="58"/>
      <c r="CS18" s="58"/>
      <c r="CT18" s="58"/>
      <c r="CU18" s="58"/>
      <c r="CV18" s="56"/>
      <c r="CW18" s="56"/>
      <c r="CX18" s="56"/>
      <c r="CY18" s="56"/>
      <c r="CZ18" s="56"/>
      <c r="DA18" s="56"/>
      <c r="DB18" s="56"/>
      <c r="DC18" s="56"/>
      <c r="DD18" s="56"/>
      <c r="DE18" s="5">
        <v>15</v>
      </c>
      <c r="DF18" s="4" t="s">
        <v>10</v>
      </c>
    </row>
    <row r="19" spans="1:110" ht="26" customHeight="1" thickBot="1">
      <c r="A19" s="55"/>
      <c r="B19" s="55"/>
      <c r="C19" s="55"/>
      <c r="D19" s="55"/>
      <c r="E19" s="55"/>
      <c r="F19" s="55"/>
      <c r="G19" s="55"/>
      <c r="H19" s="55"/>
      <c r="I19" s="55"/>
      <c r="J19" s="55"/>
      <c r="K19" s="88"/>
      <c r="L19" s="22" t="s">
        <v>17</v>
      </c>
      <c r="M19" s="15" t="s">
        <v>17</v>
      </c>
      <c r="N19" s="15" t="s">
        <v>17</v>
      </c>
      <c r="O19" s="15" t="s">
        <v>17</v>
      </c>
      <c r="P19" s="15" t="s">
        <v>17</v>
      </c>
      <c r="Q19" s="15" t="s">
        <v>17</v>
      </c>
      <c r="R19" s="15" t="s">
        <v>17</v>
      </c>
      <c r="S19" s="15" t="s">
        <v>17</v>
      </c>
      <c r="T19" s="15" t="s">
        <v>17</v>
      </c>
      <c r="U19" s="15" t="s">
        <v>17</v>
      </c>
      <c r="V19" s="15" t="s">
        <v>17</v>
      </c>
      <c r="W19" s="15" t="s">
        <v>17</v>
      </c>
      <c r="X19" s="15" t="s">
        <v>17</v>
      </c>
      <c r="Y19" s="15" t="s">
        <v>17</v>
      </c>
      <c r="Z19" s="15" t="s">
        <v>17</v>
      </c>
      <c r="AA19" s="15" t="s">
        <v>17</v>
      </c>
      <c r="AB19" s="15" t="s">
        <v>17</v>
      </c>
      <c r="AC19" s="15" t="s">
        <v>17</v>
      </c>
      <c r="AD19" s="15" t="s">
        <v>17</v>
      </c>
      <c r="AE19" s="12" t="s">
        <v>17</v>
      </c>
      <c r="AF19" s="12" t="s">
        <v>17</v>
      </c>
      <c r="AG19" s="12" t="s">
        <v>17</v>
      </c>
      <c r="AH19" s="12" t="s">
        <v>17</v>
      </c>
      <c r="AI19" s="12" t="s">
        <v>17</v>
      </c>
      <c r="AJ19" s="12" t="s">
        <v>17</v>
      </c>
      <c r="AK19" s="10" t="s">
        <v>17</v>
      </c>
      <c r="AL19" s="10" t="s">
        <v>17</v>
      </c>
      <c r="AM19" s="10" t="s">
        <v>17</v>
      </c>
      <c r="AN19" s="10" t="s">
        <v>17</v>
      </c>
      <c r="AO19" s="10" t="s">
        <v>17</v>
      </c>
      <c r="AP19" s="10" t="s">
        <v>17</v>
      </c>
      <c r="AQ19" s="47" t="s">
        <v>17</v>
      </c>
      <c r="AR19" s="47" t="s">
        <v>17</v>
      </c>
      <c r="AS19" s="47" t="s">
        <v>17</v>
      </c>
      <c r="AT19" s="47" t="s">
        <v>17</v>
      </c>
      <c r="AU19" s="47" t="s">
        <v>17</v>
      </c>
      <c r="AV19" s="47" t="s">
        <v>17</v>
      </c>
      <c r="AW19" s="47" t="s">
        <v>17</v>
      </c>
      <c r="AX19" s="64" t="s">
        <v>17</v>
      </c>
      <c r="AY19" s="83"/>
      <c r="AZ19" s="56"/>
      <c r="BA19" s="56"/>
      <c r="BB19" s="56"/>
      <c r="BC19" s="56"/>
      <c r="BD19" s="56"/>
      <c r="BE19" s="56"/>
      <c r="BF19" s="56"/>
      <c r="BG19" s="56"/>
      <c r="BH19" s="56"/>
      <c r="BI19" s="105"/>
      <c r="BJ19" s="105"/>
      <c r="BK19" s="105"/>
      <c r="BL19" s="105"/>
      <c r="BM19" s="105"/>
      <c r="BN19" s="105"/>
      <c r="BO19" s="105"/>
      <c r="BP19" s="105"/>
      <c r="BQ19" s="58"/>
      <c r="BR19" s="58"/>
      <c r="BS19" s="58"/>
      <c r="BT19" s="58"/>
      <c r="BU19" s="58"/>
      <c r="BV19" s="58"/>
      <c r="BW19" s="58"/>
      <c r="BX19" s="58"/>
      <c r="BY19" s="60"/>
      <c r="BZ19" s="60"/>
      <c r="CA19" s="60"/>
      <c r="CB19" s="60"/>
      <c r="CC19" s="60"/>
      <c r="CD19" s="74"/>
      <c r="CE19" s="74"/>
      <c r="CF19" s="105"/>
      <c r="CG19" s="105"/>
      <c r="CH19" s="105"/>
      <c r="CI19" s="105"/>
      <c r="CJ19" s="105"/>
      <c r="CK19" s="105"/>
      <c r="CL19" s="105"/>
      <c r="CM19" s="105"/>
      <c r="CN19" s="58"/>
      <c r="CO19" s="58"/>
      <c r="CP19" s="58"/>
      <c r="CQ19" s="58"/>
      <c r="CR19" s="58"/>
      <c r="CS19" s="58"/>
      <c r="CT19" s="58"/>
      <c r="CU19" s="58"/>
      <c r="CV19" s="56"/>
      <c r="CW19" s="56"/>
      <c r="CX19" s="56"/>
      <c r="CY19" s="56"/>
      <c r="CZ19" s="56"/>
      <c r="DA19" s="56"/>
      <c r="DB19" s="56"/>
      <c r="DC19" s="56"/>
      <c r="DD19" s="56"/>
      <c r="DE19" s="5">
        <f>COUNTIF($M$4:$AW$40,BI17)</f>
        <v>0</v>
      </c>
      <c r="DF19" s="5">
        <f>COUNTIF($M$4:$AW$40,CF17)</f>
        <v>0</v>
      </c>
    </row>
    <row r="20" spans="1:110" ht="61" customHeight="1" thickBot="1">
      <c r="A20" s="55"/>
      <c r="B20" s="55"/>
      <c r="C20" s="55"/>
      <c r="D20" s="55"/>
      <c r="E20" s="55"/>
      <c r="F20" s="55"/>
      <c r="G20" s="55"/>
      <c r="H20" s="55"/>
      <c r="I20" s="55"/>
      <c r="J20" s="55"/>
      <c r="K20" s="88"/>
      <c r="L20" s="27" t="s">
        <v>17</v>
      </c>
      <c r="M20" s="26"/>
      <c r="N20" s="15" t="s">
        <v>17</v>
      </c>
      <c r="O20" s="26"/>
      <c r="P20" s="15" t="s">
        <v>17</v>
      </c>
      <c r="Q20" s="26"/>
      <c r="R20" s="15" t="s">
        <v>17</v>
      </c>
      <c r="S20" s="26"/>
      <c r="T20" s="15" t="s">
        <v>17</v>
      </c>
      <c r="U20" s="26"/>
      <c r="V20" s="15" t="s">
        <v>17</v>
      </c>
      <c r="W20" s="26"/>
      <c r="X20" s="15" t="s">
        <v>17</v>
      </c>
      <c r="Y20" s="26"/>
      <c r="Z20" s="15" t="s">
        <v>17</v>
      </c>
      <c r="AA20" s="26"/>
      <c r="AB20" s="15" t="s">
        <v>17</v>
      </c>
      <c r="AC20" s="26"/>
      <c r="AD20" s="15" t="s">
        <v>17</v>
      </c>
      <c r="AE20" s="26"/>
      <c r="AF20" s="12" t="s">
        <v>17</v>
      </c>
      <c r="AG20" s="26"/>
      <c r="AH20" s="12" t="s">
        <v>17</v>
      </c>
      <c r="AI20" s="26"/>
      <c r="AJ20" s="12" t="s">
        <v>17</v>
      </c>
      <c r="AK20" s="26"/>
      <c r="AL20" s="10" t="s">
        <v>17</v>
      </c>
      <c r="AM20" s="26"/>
      <c r="AN20" s="10" t="s">
        <v>17</v>
      </c>
      <c r="AO20" s="26"/>
      <c r="AP20" s="10" t="s">
        <v>17</v>
      </c>
      <c r="AQ20" s="26"/>
      <c r="AR20" s="47" t="s">
        <v>17</v>
      </c>
      <c r="AS20" s="26"/>
      <c r="AT20" s="47" t="s">
        <v>17</v>
      </c>
      <c r="AU20" s="26"/>
      <c r="AV20" s="47" t="s">
        <v>17</v>
      </c>
      <c r="AW20" s="26"/>
      <c r="AX20" s="64" t="s">
        <v>17</v>
      </c>
      <c r="AY20" s="83"/>
      <c r="AZ20" s="56"/>
      <c r="BA20" s="56"/>
      <c r="BB20" s="56"/>
      <c r="BC20" s="56"/>
      <c r="BD20" s="56"/>
      <c r="BE20" s="56"/>
      <c r="BF20" s="56"/>
      <c r="BG20" s="56"/>
      <c r="BH20" s="56"/>
      <c r="BI20" s="105"/>
      <c r="BJ20" s="105"/>
      <c r="BK20" s="105"/>
      <c r="BL20" s="105"/>
      <c r="BM20" s="105"/>
      <c r="BN20" s="105"/>
      <c r="BO20" s="105"/>
      <c r="BP20" s="105"/>
      <c r="BQ20" s="58"/>
      <c r="BR20" s="58"/>
      <c r="BS20" s="58"/>
      <c r="BT20" s="58"/>
      <c r="BU20" s="58"/>
      <c r="BV20" s="58"/>
      <c r="BW20" s="58"/>
      <c r="BX20" s="58"/>
      <c r="BY20" s="56"/>
      <c r="BZ20" s="56"/>
      <c r="CA20" s="56"/>
      <c r="CB20" s="56"/>
      <c r="CC20" s="56"/>
      <c r="CD20" s="75"/>
      <c r="CE20" s="75"/>
      <c r="CF20" s="105"/>
      <c r="CG20" s="105"/>
      <c r="CH20" s="105"/>
      <c r="CI20" s="105"/>
      <c r="CJ20" s="105"/>
      <c r="CK20" s="105"/>
      <c r="CL20" s="105"/>
      <c r="CM20" s="105"/>
      <c r="CN20" s="58"/>
      <c r="CO20" s="58"/>
      <c r="CP20" s="58"/>
      <c r="CQ20" s="58"/>
      <c r="CR20" s="58"/>
      <c r="CS20" s="58"/>
      <c r="CT20" s="58"/>
      <c r="CU20" s="58"/>
      <c r="CV20" s="56"/>
      <c r="CW20" s="56"/>
      <c r="CX20" s="56"/>
      <c r="CY20" s="56"/>
      <c r="CZ20" s="56"/>
      <c r="DA20" s="56"/>
      <c r="DB20" s="56"/>
      <c r="DC20" s="56"/>
      <c r="DD20" s="56"/>
      <c r="DE20" s="3" t="str">
        <f>BI17</f>
        <v>v</v>
      </c>
      <c r="DF20" s="3">
        <f>BI14</f>
        <v>0</v>
      </c>
    </row>
    <row r="21" spans="1:110" ht="26" customHeight="1" thickBot="1">
      <c r="A21" s="55"/>
      <c r="B21" s="55"/>
      <c r="C21" s="55"/>
      <c r="D21" s="55"/>
      <c r="E21" s="55"/>
      <c r="F21" s="55"/>
      <c r="G21" s="55"/>
      <c r="H21" s="55"/>
      <c r="I21" s="55"/>
      <c r="J21" s="55"/>
      <c r="K21" s="88"/>
      <c r="L21" s="22" t="s">
        <v>17</v>
      </c>
      <c r="M21" s="9" t="s">
        <v>17</v>
      </c>
      <c r="N21" s="9" t="s">
        <v>17</v>
      </c>
      <c r="O21" s="9" t="s">
        <v>17</v>
      </c>
      <c r="P21" s="9" t="s">
        <v>17</v>
      </c>
      <c r="Q21" s="9" t="s">
        <v>17</v>
      </c>
      <c r="R21" s="9" t="s">
        <v>17</v>
      </c>
      <c r="S21" s="9" t="s">
        <v>17</v>
      </c>
      <c r="T21" s="9" t="s">
        <v>17</v>
      </c>
      <c r="U21" s="9" t="s">
        <v>17</v>
      </c>
      <c r="V21" s="9" t="s">
        <v>17</v>
      </c>
      <c r="W21" s="9" t="s">
        <v>17</v>
      </c>
      <c r="X21" s="9" t="s">
        <v>17</v>
      </c>
      <c r="Y21" s="9" t="s">
        <v>17</v>
      </c>
      <c r="Z21" s="15" t="s">
        <v>17</v>
      </c>
      <c r="AA21" s="9" t="s">
        <v>17</v>
      </c>
      <c r="AB21" s="15" t="s">
        <v>17</v>
      </c>
      <c r="AC21" s="9" t="s">
        <v>17</v>
      </c>
      <c r="AD21" s="15" t="s">
        <v>17</v>
      </c>
      <c r="AE21" s="12" t="s">
        <v>17</v>
      </c>
      <c r="AF21" s="12" t="s">
        <v>17</v>
      </c>
      <c r="AG21" s="12" t="s">
        <v>17</v>
      </c>
      <c r="AH21" s="12" t="s">
        <v>17</v>
      </c>
      <c r="AI21" s="12" t="s">
        <v>17</v>
      </c>
      <c r="AJ21" s="12" t="s">
        <v>17</v>
      </c>
      <c r="AK21" s="10" t="s">
        <v>17</v>
      </c>
      <c r="AL21" s="10" t="s">
        <v>17</v>
      </c>
      <c r="AM21" s="10" t="s">
        <v>17</v>
      </c>
      <c r="AN21" s="10" t="s">
        <v>17</v>
      </c>
      <c r="AO21" s="10" t="s">
        <v>17</v>
      </c>
      <c r="AP21" s="10" t="s">
        <v>17</v>
      </c>
      <c r="AQ21" s="47" t="s">
        <v>17</v>
      </c>
      <c r="AR21" s="47" t="s">
        <v>17</v>
      </c>
      <c r="AS21" s="47" t="s">
        <v>17</v>
      </c>
      <c r="AT21" s="47" t="s">
        <v>17</v>
      </c>
      <c r="AU21" s="47" t="s">
        <v>17</v>
      </c>
      <c r="AV21" s="47" t="s">
        <v>17</v>
      </c>
      <c r="AW21" s="47" t="s">
        <v>17</v>
      </c>
      <c r="AX21" s="64" t="s">
        <v>17</v>
      </c>
      <c r="AY21" s="83"/>
      <c r="AZ21" s="56"/>
      <c r="BA21" s="56"/>
      <c r="BB21" s="56"/>
      <c r="BC21" s="56"/>
      <c r="BD21" s="56"/>
      <c r="BE21" s="56"/>
      <c r="BF21" s="56"/>
      <c r="BG21" s="56"/>
      <c r="BH21" s="56"/>
      <c r="BI21" s="58"/>
      <c r="BJ21" s="58"/>
      <c r="BK21" s="58"/>
      <c r="BL21" s="58"/>
      <c r="BM21" s="58"/>
      <c r="BN21" s="58"/>
      <c r="BO21" s="58"/>
      <c r="BP21" s="58"/>
      <c r="BQ21" s="58"/>
      <c r="BR21" s="58"/>
      <c r="BS21" s="58"/>
      <c r="BT21" s="58"/>
      <c r="BU21" s="58"/>
      <c r="BV21" s="58"/>
      <c r="BW21" s="58"/>
      <c r="BX21" s="58"/>
      <c r="BY21" s="56"/>
      <c r="BZ21" s="56"/>
      <c r="CA21" s="56"/>
      <c r="CB21" s="56"/>
      <c r="CC21" s="56"/>
      <c r="CD21" s="75"/>
      <c r="CE21" s="75"/>
      <c r="CF21" s="58"/>
      <c r="CG21" s="58"/>
      <c r="CH21" s="58"/>
      <c r="CI21" s="58"/>
      <c r="CJ21" s="58"/>
      <c r="CK21" s="58"/>
      <c r="CL21" s="58"/>
      <c r="CM21" s="58"/>
      <c r="CN21" s="58"/>
      <c r="CO21" s="58"/>
      <c r="CP21" s="58"/>
      <c r="CQ21" s="58"/>
      <c r="CR21" s="58"/>
      <c r="CS21" s="58"/>
      <c r="CT21" s="58"/>
      <c r="CU21" s="58"/>
      <c r="CV21" s="56"/>
      <c r="CW21" s="56"/>
      <c r="CX21" s="56"/>
      <c r="CY21" s="56"/>
      <c r="CZ21" s="56"/>
      <c r="DA21" s="56"/>
      <c r="DB21" s="56"/>
      <c r="DC21" s="56"/>
      <c r="DD21" s="56"/>
      <c r="DE21" s="3" t="str">
        <f>CF17</f>
        <v>u</v>
      </c>
      <c r="DF21" s="3">
        <f>CF14</f>
        <v>0</v>
      </c>
    </row>
    <row r="22" spans="1:110" ht="61" customHeight="1" thickBot="1">
      <c r="A22" s="55"/>
      <c r="B22" s="55"/>
      <c r="C22" s="55"/>
      <c r="D22" s="55"/>
      <c r="E22" s="55"/>
      <c r="F22" s="55"/>
      <c r="G22" s="55"/>
      <c r="H22" s="55"/>
      <c r="I22" s="55"/>
      <c r="J22" s="55"/>
      <c r="K22" s="88"/>
      <c r="L22" s="27" t="s">
        <v>17</v>
      </c>
      <c r="M22" s="26"/>
      <c r="N22" s="15" t="s">
        <v>17</v>
      </c>
      <c r="O22" s="26"/>
      <c r="P22" s="15" t="s">
        <v>17</v>
      </c>
      <c r="Q22" s="26"/>
      <c r="R22" s="15" t="s">
        <v>17</v>
      </c>
      <c r="S22" s="26"/>
      <c r="T22" s="15" t="s">
        <v>17</v>
      </c>
      <c r="U22" s="26"/>
      <c r="V22" s="15" t="s">
        <v>17</v>
      </c>
      <c r="W22" s="26"/>
      <c r="X22" s="15" t="s">
        <v>17</v>
      </c>
      <c r="Y22" s="26"/>
      <c r="Z22" s="15" t="s">
        <v>17</v>
      </c>
      <c r="AA22" s="26"/>
      <c r="AB22" s="15" t="s">
        <v>17</v>
      </c>
      <c r="AC22" s="26"/>
      <c r="AD22" s="15" t="s">
        <v>17</v>
      </c>
      <c r="AE22" s="26"/>
      <c r="AF22" s="12" t="s">
        <v>17</v>
      </c>
      <c r="AG22" s="26"/>
      <c r="AH22" s="12" t="s">
        <v>17</v>
      </c>
      <c r="AI22" s="26"/>
      <c r="AJ22" s="12" t="s">
        <v>17</v>
      </c>
      <c r="AK22" s="26"/>
      <c r="AL22" s="10" t="s">
        <v>17</v>
      </c>
      <c r="AM22" s="26"/>
      <c r="AN22" s="10" t="s">
        <v>17</v>
      </c>
      <c r="AO22" s="26"/>
      <c r="AP22" s="10" t="s">
        <v>17</v>
      </c>
      <c r="AQ22" s="26"/>
      <c r="AR22" s="47" t="s">
        <v>17</v>
      </c>
      <c r="AS22" s="26"/>
      <c r="AT22" s="47" t="s">
        <v>17</v>
      </c>
      <c r="AU22" s="26"/>
      <c r="AV22" s="47" t="s">
        <v>17</v>
      </c>
      <c r="AW22" s="26"/>
      <c r="AX22" s="64" t="s">
        <v>17</v>
      </c>
      <c r="AY22" s="83"/>
      <c r="AZ22" s="56"/>
      <c r="BA22" s="56"/>
      <c r="BB22" s="56"/>
      <c r="BC22" s="56"/>
      <c r="BD22" s="56"/>
      <c r="BE22" s="56"/>
      <c r="BF22" s="56"/>
      <c r="BG22" s="56"/>
      <c r="BH22" s="56"/>
      <c r="BI22" s="58"/>
      <c r="BJ22" s="58"/>
      <c r="BK22" s="58"/>
      <c r="BL22" s="58"/>
      <c r="BM22" s="58"/>
      <c r="BN22" s="58"/>
      <c r="BO22" s="58"/>
      <c r="BP22" s="58"/>
      <c r="BQ22" s="58"/>
      <c r="BR22" s="58"/>
      <c r="BS22" s="58"/>
      <c r="BT22" s="58"/>
      <c r="BU22" s="58"/>
      <c r="BV22" s="58"/>
      <c r="BW22" s="58"/>
      <c r="BX22" s="58"/>
      <c r="BY22" s="56"/>
      <c r="BZ22" s="56"/>
      <c r="CA22" s="56"/>
      <c r="CB22" s="56"/>
      <c r="CC22" s="56"/>
      <c r="CD22" s="75"/>
      <c r="CE22" s="75"/>
      <c r="CF22" s="58"/>
      <c r="CG22" s="58"/>
      <c r="CH22" s="58"/>
      <c r="CI22" s="58"/>
      <c r="CJ22" s="58"/>
      <c r="CK22" s="58"/>
      <c r="CL22" s="58"/>
      <c r="CM22" s="58"/>
      <c r="CN22" s="58"/>
      <c r="CO22" s="58"/>
      <c r="CP22" s="58"/>
      <c r="CQ22" s="58"/>
      <c r="CR22" s="58"/>
      <c r="CS22" s="58"/>
      <c r="CT22" s="58"/>
      <c r="CU22" s="58"/>
      <c r="CV22" s="56"/>
      <c r="CW22" s="56"/>
      <c r="CX22" s="56"/>
      <c r="CY22" s="56"/>
      <c r="CZ22" s="56"/>
      <c r="DA22" s="56"/>
      <c r="DB22" s="56"/>
      <c r="DC22" s="56"/>
      <c r="DD22" s="56"/>
      <c r="DE22" s="3" t="str">
        <f>IF(Cal!AR7&gt;0,DE20,IF(Cal!AS7&gt;0,DE21,IF(DE19+DF19=19^2,"draw","")))</f>
        <v/>
      </c>
      <c r="DF22" s="3" t="str">
        <f>IF(DE22=DE20,DE21,IF(DE22=DE21,DE20,""))</f>
        <v/>
      </c>
    </row>
    <row r="23" spans="1:110" ht="26" customHeight="1" thickBot="1">
      <c r="A23" s="55"/>
      <c r="B23" s="55"/>
      <c r="C23" s="55"/>
      <c r="D23" s="55"/>
      <c r="E23" s="55"/>
      <c r="F23" s="55"/>
      <c r="G23" s="55"/>
      <c r="H23" s="55"/>
      <c r="I23" s="55"/>
      <c r="J23" s="55"/>
      <c r="K23" s="88"/>
      <c r="L23" s="23" t="s">
        <v>17</v>
      </c>
      <c r="M23" s="12" t="s">
        <v>17</v>
      </c>
      <c r="N23" s="12" t="s">
        <v>17</v>
      </c>
      <c r="O23" s="12" t="s">
        <v>17</v>
      </c>
      <c r="P23" s="12" t="s">
        <v>17</v>
      </c>
      <c r="Q23" s="12" t="s">
        <v>17</v>
      </c>
      <c r="R23" s="12" t="s">
        <v>17</v>
      </c>
      <c r="S23" s="12" t="s">
        <v>17</v>
      </c>
      <c r="T23" s="12" t="s">
        <v>17</v>
      </c>
      <c r="U23" s="12" t="s">
        <v>17</v>
      </c>
      <c r="V23" s="12" t="s">
        <v>17</v>
      </c>
      <c r="W23" s="12" t="s">
        <v>17</v>
      </c>
      <c r="X23" s="12" t="s">
        <v>17</v>
      </c>
      <c r="Y23" s="12" t="s">
        <v>17</v>
      </c>
      <c r="Z23" s="12" t="s">
        <v>17</v>
      </c>
      <c r="AA23" s="12" t="s">
        <v>17</v>
      </c>
      <c r="AB23" s="12" t="s">
        <v>17</v>
      </c>
      <c r="AC23" s="12" t="s">
        <v>17</v>
      </c>
      <c r="AD23" s="12" t="s">
        <v>17</v>
      </c>
      <c r="AE23" s="12" t="s">
        <v>17</v>
      </c>
      <c r="AF23" s="12" t="s">
        <v>17</v>
      </c>
      <c r="AG23" s="12" t="s">
        <v>17</v>
      </c>
      <c r="AH23" s="12" t="s">
        <v>17</v>
      </c>
      <c r="AI23" s="12" t="s">
        <v>17</v>
      </c>
      <c r="AJ23" s="12" t="s">
        <v>17</v>
      </c>
      <c r="AK23" s="10" t="s">
        <v>17</v>
      </c>
      <c r="AL23" s="10" t="s">
        <v>17</v>
      </c>
      <c r="AM23" s="10" t="s">
        <v>17</v>
      </c>
      <c r="AN23" s="10" t="s">
        <v>17</v>
      </c>
      <c r="AO23" s="10" t="s">
        <v>17</v>
      </c>
      <c r="AP23" s="10" t="s">
        <v>17</v>
      </c>
      <c r="AQ23" s="47" t="s">
        <v>17</v>
      </c>
      <c r="AR23" s="47" t="s">
        <v>17</v>
      </c>
      <c r="AS23" s="47" t="s">
        <v>17</v>
      </c>
      <c r="AT23" s="47" t="s">
        <v>17</v>
      </c>
      <c r="AU23" s="47" t="s">
        <v>17</v>
      </c>
      <c r="AV23" s="47" t="s">
        <v>17</v>
      </c>
      <c r="AW23" s="47" t="s">
        <v>17</v>
      </c>
      <c r="AX23" s="64" t="s">
        <v>17</v>
      </c>
      <c r="AY23" s="83"/>
      <c r="AZ23" s="56"/>
      <c r="BA23" s="56"/>
      <c r="BB23" s="56"/>
      <c r="BC23" s="56"/>
      <c r="BD23" s="56"/>
      <c r="BE23" s="56"/>
      <c r="BF23" s="56"/>
      <c r="BG23" s="56"/>
      <c r="BH23" s="56"/>
      <c r="BI23" s="56"/>
      <c r="BJ23" s="56"/>
      <c r="BK23" s="56"/>
      <c r="BL23" s="56"/>
      <c r="BM23" s="56"/>
      <c r="BN23" s="56"/>
      <c r="BO23" s="56"/>
      <c r="BP23" s="56"/>
      <c r="BQ23" s="56"/>
      <c r="BR23" s="56"/>
      <c r="BS23" s="56"/>
      <c r="BT23" s="56"/>
      <c r="BU23" s="56"/>
      <c r="BV23" s="56"/>
      <c r="BW23" s="56"/>
      <c r="BX23" s="56"/>
      <c r="BY23" s="56"/>
      <c r="BZ23" s="56"/>
      <c r="CA23" s="56"/>
      <c r="CB23" s="56"/>
      <c r="CC23" s="56"/>
      <c r="CD23" s="75"/>
      <c r="CE23" s="75"/>
      <c r="CF23" s="75"/>
      <c r="CG23" s="75"/>
      <c r="CH23" s="75"/>
      <c r="CI23" s="75"/>
      <c r="CJ23" s="75"/>
      <c r="CK23" s="75"/>
      <c r="CL23" s="75"/>
      <c r="CM23" s="75"/>
      <c r="CN23" s="75"/>
      <c r="CO23" s="75"/>
      <c r="CP23" s="75"/>
      <c r="CQ23" s="75"/>
      <c r="CR23" s="75"/>
      <c r="CS23" s="75"/>
      <c r="CT23" s="75"/>
      <c r="CU23" s="75"/>
      <c r="CV23" s="56"/>
      <c r="CW23" s="56"/>
      <c r="CX23" s="56"/>
      <c r="CY23" s="56"/>
      <c r="CZ23" s="56"/>
      <c r="DA23" s="56"/>
      <c r="DB23" s="56"/>
      <c r="DC23" s="56"/>
      <c r="DD23" s="56"/>
      <c r="DE23" s="3" t="str">
        <f>IF(OR(DE22="",DE22="draw"),"",VLOOKUP(DE22,DE20:DF21,2,FALSE))</f>
        <v/>
      </c>
      <c r="DF23" s="3" t="str">
        <f>IF(DE23=DF20,BG10,IF(DE23=DF21,CD10,""))</f>
        <v/>
      </c>
    </row>
    <row r="24" spans="1:110" ht="61" customHeight="1" thickBot="1">
      <c r="A24" s="55"/>
      <c r="B24" s="55"/>
      <c r="C24" s="55"/>
      <c r="D24" s="55"/>
      <c r="E24" s="55"/>
      <c r="F24" s="55"/>
      <c r="G24" s="55"/>
      <c r="H24" s="55"/>
      <c r="I24" s="55"/>
      <c r="J24" s="55"/>
      <c r="K24" s="88"/>
      <c r="L24" s="23" t="s">
        <v>17</v>
      </c>
      <c r="M24" s="26"/>
      <c r="N24" s="12" t="s">
        <v>17</v>
      </c>
      <c r="O24" s="26"/>
      <c r="P24" s="12" t="s">
        <v>17</v>
      </c>
      <c r="Q24" s="26"/>
      <c r="R24" s="12" t="s">
        <v>17</v>
      </c>
      <c r="S24" s="26"/>
      <c r="T24" s="12" t="s">
        <v>17</v>
      </c>
      <c r="U24" s="26"/>
      <c r="V24" s="12" t="s">
        <v>17</v>
      </c>
      <c r="W24" s="26"/>
      <c r="X24" s="12" t="s">
        <v>17</v>
      </c>
      <c r="Y24" s="26"/>
      <c r="Z24" s="12" t="s">
        <v>17</v>
      </c>
      <c r="AA24" s="26"/>
      <c r="AB24" s="12" t="s">
        <v>17</v>
      </c>
      <c r="AC24" s="26"/>
      <c r="AD24" s="12" t="s">
        <v>17</v>
      </c>
      <c r="AE24" s="26"/>
      <c r="AF24" s="12" t="s">
        <v>17</v>
      </c>
      <c r="AG24" s="26"/>
      <c r="AH24" s="12" t="s">
        <v>17</v>
      </c>
      <c r="AI24" s="26"/>
      <c r="AJ24" s="12" t="s">
        <v>17</v>
      </c>
      <c r="AK24" s="26"/>
      <c r="AL24" s="10" t="s">
        <v>17</v>
      </c>
      <c r="AM24" s="26"/>
      <c r="AN24" s="10" t="s">
        <v>17</v>
      </c>
      <c r="AO24" s="26"/>
      <c r="AP24" s="10" t="s">
        <v>17</v>
      </c>
      <c r="AQ24" s="26"/>
      <c r="AR24" s="47" t="s">
        <v>17</v>
      </c>
      <c r="AS24" s="26"/>
      <c r="AT24" s="47" t="s">
        <v>17</v>
      </c>
      <c r="AU24" s="26"/>
      <c r="AV24" s="47" t="s">
        <v>17</v>
      </c>
      <c r="AW24" s="26"/>
      <c r="AX24" s="64" t="s">
        <v>17</v>
      </c>
      <c r="AY24" s="83"/>
      <c r="AZ24" s="56"/>
      <c r="BA24" s="56"/>
      <c r="BB24" s="56"/>
      <c r="BC24" s="56"/>
      <c r="BD24" s="56"/>
      <c r="BE24" s="56"/>
      <c r="BF24" s="56"/>
      <c r="BG24" s="56"/>
      <c r="BH24" s="56"/>
      <c r="BI24" s="56"/>
      <c r="BJ24" s="61"/>
      <c r="BK24" s="61"/>
      <c r="BL24" s="61"/>
      <c r="BM24" s="61"/>
      <c r="BN24" s="61"/>
      <c r="BO24" s="61"/>
      <c r="BP24" s="61"/>
      <c r="BQ24" s="61"/>
      <c r="BR24" s="61"/>
      <c r="BS24" s="61"/>
      <c r="BT24" s="61"/>
      <c r="BU24" s="61"/>
      <c r="BV24" s="61"/>
      <c r="BW24" s="61"/>
      <c r="BX24" s="61"/>
      <c r="BY24" s="61"/>
      <c r="BZ24" s="61"/>
      <c r="CA24" s="61"/>
      <c r="CB24" s="61"/>
      <c r="CC24" s="61"/>
      <c r="CD24" s="76"/>
      <c r="CE24" s="76"/>
      <c r="CF24" s="75"/>
      <c r="CG24" s="62"/>
      <c r="CH24" s="62"/>
      <c r="CI24" s="62"/>
      <c r="CJ24" s="62"/>
      <c r="CK24" s="62"/>
      <c r="CL24" s="62"/>
      <c r="CM24" s="62"/>
      <c r="CN24" s="62"/>
      <c r="CO24" s="62"/>
      <c r="CP24" s="62"/>
      <c r="CQ24" s="75"/>
      <c r="CR24" s="75"/>
      <c r="CS24" s="75"/>
      <c r="CT24" s="75"/>
      <c r="CU24" s="75"/>
      <c r="CV24" s="56"/>
      <c r="CW24" s="56"/>
      <c r="CX24" s="56"/>
      <c r="CY24" s="56"/>
      <c r="CZ24" s="56"/>
      <c r="DA24" s="56"/>
      <c r="DB24" s="56"/>
      <c r="DC24" s="56"/>
      <c r="DD24" s="56"/>
      <c r="DE24" s="3"/>
      <c r="DF24" s="3"/>
    </row>
    <row r="25" spans="1:110" ht="26" customHeight="1" thickBot="1">
      <c r="A25" s="55"/>
      <c r="B25" s="55"/>
      <c r="C25" s="55"/>
      <c r="D25" s="55"/>
      <c r="E25" s="55"/>
      <c r="F25" s="55"/>
      <c r="G25" s="55"/>
      <c r="H25" s="55"/>
      <c r="I25" s="55"/>
      <c r="J25" s="55"/>
      <c r="K25" s="88"/>
      <c r="L25" s="23" t="s">
        <v>17</v>
      </c>
      <c r="M25" s="12" t="s">
        <v>17</v>
      </c>
      <c r="N25" s="12" t="s">
        <v>17</v>
      </c>
      <c r="O25" s="12" t="s">
        <v>17</v>
      </c>
      <c r="P25" s="12" t="s">
        <v>17</v>
      </c>
      <c r="Q25" s="12" t="s">
        <v>17</v>
      </c>
      <c r="R25" s="12" t="s">
        <v>17</v>
      </c>
      <c r="S25" s="12" t="s">
        <v>17</v>
      </c>
      <c r="T25" s="12" t="s">
        <v>17</v>
      </c>
      <c r="U25" s="12" t="s">
        <v>17</v>
      </c>
      <c r="V25" s="12" t="s">
        <v>17</v>
      </c>
      <c r="W25" s="12" t="s">
        <v>17</v>
      </c>
      <c r="X25" s="12" t="s">
        <v>17</v>
      </c>
      <c r="Y25" s="12" t="s">
        <v>17</v>
      </c>
      <c r="Z25" s="12" t="s">
        <v>17</v>
      </c>
      <c r="AA25" s="12" t="s">
        <v>17</v>
      </c>
      <c r="AB25" s="12" t="s">
        <v>17</v>
      </c>
      <c r="AC25" s="12" t="s">
        <v>17</v>
      </c>
      <c r="AD25" s="12" t="s">
        <v>17</v>
      </c>
      <c r="AE25" s="12" t="s">
        <v>17</v>
      </c>
      <c r="AF25" s="12" t="s">
        <v>17</v>
      </c>
      <c r="AG25" s="12" t="s">
        <v>17</v>
      </c>
      <c r="AH25" s="12" t="s">
        <v>17</v>
      </c>
      <c r="AI25" s="12" t="s">
        <v>17</v>
      </c>
      <c r="AJ25" s="12" t="s">
        <v>17</v>
      </c>
      <c r="AK25" s="10" t="s">
        <v>17</v>
      </c>
      <c r="AL25" s="10" t="s">
        <v>17</v>
      </c>
      <c r="AM25" s="10" t="s">
        <v>17</v>
      </c>
      <c r="AN25" s="10" t="s">
        <v>17</v>
      </c>
      <c r="AO25" s="10" t="s">
        <v>17</v>
      </c>
      <c r="AP25" s="10" t="s">
        <v>17</v>
      </c>
      <c r="AQ25" s="47" t="s">
        <v>17</v>
      </c>
      <c r="AR25" s="47" t="s">
        <v>17</v>
      </c>
      <c r="AS25" s="47" t="s">
        <v>17</v>
      </c>
      <c r="AT25" s="47" t="s">
        <v>17</v>
      </c>
      <c r="AU25" s="47" t="s">
        <v>17</v>
      </c>
      <c r="AV25" s="47" t="s">
        <v>17</v>
      </c>
      <c r="AW25" s="47" t="s">
        <v>17</v>
      </c>
      <c r="AX25" s="64" t="s">
        <v>17</v>
      </c>
      <c r="AY25" s="83"/>
      <c r="AZ25" s="56"/>
      <c r="BA25" s="56"/>
      <c r="BB25" s="56"/>
      <c r="BC25" s="56"/>
      <c r="BD25" s="56"/>
      <c r="BE25" s="56"/>
      <c r="BF25" s="56"/>
      <c r="BG25" s="56"/>
      <c r="BH25" s="56"/>
      <c r="BI25" s="61"/>
      <c r="BJ25" s="61"/>
      <c r="BK25" s="61"/>
      <c r="BL25" s="61"/>
      <c r="BM25" s="61"/>
      <c r="BN25" s="61"/>
      <c r="BO25" s="61"/>
      <c r="BP25" s="61"/>
      <c r="BQ25" s="61"/>
      <c r="BR25" s="61"/>
      <c r="BS25" s="61"/>
      <c r="BT25" s="61"/>
      <c r="BU25" s="61"/>
      <c r="BV25" s="61"/>
      <c r="BW25" s="61"/>
      <c r="BX25" s="61"/>
      <c r="BY25" s="61"/>
      <c r="BZ25" s="61"/>
      <c r="CA25" s="61"/>
      <c r="CB25" s="61"/>
      <c r="CC25" s="61"/>
      <c r="CD25" s="76"/>
      <c r="CE25" s="76"/>
      <c r="CF25" s="62"/>
      <c r="CG25" s="62"/>
      <c r="CH25" s="62"/>
      <c r="CI25" s="62"/>
      <c r="CJ25" s="62"/>
      <c r="CK25" s="62"/>
      <c r="CL25" s="62"/>
      <c r="CM25" s="62"/>
      <c r="CN25" s="62"/>
      <c r="CO25" s="62"/>
      <c r="CP25" s="62"/>
      <c r="CQ25" s="75"/>
      <c r="CR25" s="75"/>
      <c r="CS25" s="75"/>
      <c r="CT25" s="75"/>
      <c r="CU25" s="75"/>
      <c r="CV25" s="56"/>
      <c r="CW25" s="56"/>
      <c r="CX25" s="56"/>
      <c r="CY25" s="56"/>
      <c r="CZ25" s="56"/>
      <c r="DA25" s="56"/>
      <c r="DB25" s="56"/>
      <c r="DC25" s="56"/>
      <c r="DD25" s="56"/>
      <c r="DE25" s="3"/>
      <c r="DF25" s="3"/>
    </row>
    <row r="26" spans="1:110" ht="61" customHeight="1" thickBot="1">
      <c r="A26" s="55"/>
      <c r="B26" s="55"/>
      <c r="C26" s="55"/>
      <c r="D26" s="55"/>
      <c r="E26" s="55"/>
      <c r="F26" s="55"/>
      <c r="G26" s="55"/>
      <c r="H26" s="55"/>
      <c r="I26" s="55"/>
      <c r="J26" s="55"/>
      <c r="K26" s="88"/>
      <c r="L26" s="23" t="s">
        <v>17</v>
      </c>
      <c r="M26" s="26"/>
      <c r="N26" s="12" t="s">
        <v>17</v>
      </c>
      <c r="O26" s="26"/>
      <c r="P26" s="12" t="s">
        <v>17</v>
      </c>
      <c r="Q26" s="26"/>
      <c r="R26" s="12" t="s">
        <v>17</v>
      </c>
      <c r="S26" s="26"/>
      <c r="T26" s="12" t="s">
        <v>17</v>
      </c>
      <c r="U26" s="26"/>
      <c r="V26" s="12" t="s">
        <v>17</v>
      </c>
      <c r="W26" s="26"/>
      <c r="X26" s="12" t="s">
        <v>17</v>
      </c>
      <c r="Y26" s="26"/>
      <c r="Z26" s="12" t="s">
        <v>17</v>
      </c>
      <c r="AA26" s="26"/>
      <c r="AB26" s="12" t="s">
        <v>17</v>
      </c>
      <c r="AC26" s="26"/>
      <c r="AD26" s="12" t="s">
        <v>17</v>
      </c>
      <c r="AE26" s="26"/>
      <c r="AF26" s="12" t="s">
        <v>17</v>
      </c>
      <c r="AG26" s="26"/>
      <c r="AH26" s="12" t="s">
        <v>17</v>
      </c>
      <c r="AI26" s="26"/>
      <c r="AJ26" s="12" t="s">
        <v>17</v>
      </c>
      <c r="AK26" s="26"/>
      <c r="AL26" s="10" t="s">
        <v>17</v>
      </c>
      <c r="AM26" s="26"/>
      <c r="AN26" s="10" t="s">
        <v>17</v>
      </c>
      <c r="AO26" s="26"/>
      <c r="AP26" s="10" t="s">
        <v>17</v>
      </c>
      <c r="AQ26" s="26"/>
      <c r="AR26" s="47" t="s">
        <v>17</v>
      </c>
      <c r="AS26" s="26"/>
      <c r="AT26" s="47" t="s">
        <v>17</v>
      </c>
      <c r="AU26" s="26"/>
      <c r="AV26" s="47" t="s">
        <v>17</v>
      </c>
      <c r="AW26" s="26"/>
      <c r="AX26" s="64" t="s">
        <v>17</v>
      </c>
      <c r="AY26" s="83"/>
      <c r="AZ26" s="56"/>
      <c r="BA26" s="56"/>
      <c r="BB26" s="56"/>
      <c r="BC26" s="56"/>
      <c r="BD26" s="56"/>
      <c r="BE26" s="56"/>
      <c r="BF26" s="56"/>
      <c r="BG26" s="56"/>
      <c r="BH26" s="56"/>
      <c r="BI26" s="61"/>
      <c r="BJ26" s="61"/>
      <c r="BK26" s="61"/>
      <c r="BL26" s="61"/>
      <c r="BM26" s="61"/>
      <c r="BN26" s="61"/>
      <c r="BO26" s="61"/>
      <c r="BP26" s="61"/>
      <c r="BQ26" s="61"/>
      <c r="BR26" s="61"/>
      <c r="BS26" s="61"/>
      <c r="BT26" s="61"/>
      <c r="BU26" s="61"/>
      <c r="BV26" s="61"/>
      <c r="BW26" s="61"/>
      <c r="BX26" s="61"/>
      <c r="BY26" s="61"/>
      <c r="BZ26" s="61"/>
      <c r="CA26" s="61"/>
      <c r="CB26" s="61"/>
      <c r="CC26" s="61"/>
      <c r="CD26" s="76"/>
      <c r="CE26" s="76"/>
      <c r="CF26" s="62"/>
      <c r="CG26" s="62"/>
      <c r="CH26" s="62"/>
      <c r="CI26" s="62"/>
      <c r="CJ26" s="62"/>
      <c r="CK26" s="62"/>
      <c r="CL26" s="62"/>
      <c r="CM26" s="62"/>
      <c r="CN26" s="62"/>
      <c r="CO26" s="62"/>
      <c r="CP26" s="62"/>
      <c r="CQ26" s="75"/>
      <c r="CR26" s="75"/>
      <c r="CS26" s="75"/>
      <c r="CT26" s="75"/>
      <c r="CU26" s="75"/>
      <c r="CV26" s="56"/>
      <c r="CW26" s="56"/>
      <c r="CX26" s="56"/>
      <c r="CY26" s="56"/>
      <c r="CZ26" s="56"/>
      <c r="DA26" s="56"/>
      <c r="DB26" s="56"/>
      <c r="DC26" s="56"/>
      <c r="DD26" s="56"/>
      <c r="DE26" s="3"/>
      <c r="DF26" s="3"/>
    </row>
    <row r="27" spans="1:110" ht="26" customHeight="1" thickBot="1">
      <c r="A27" s="55"/>
      <c r="B27" s="55"/>
      <c r="C27" s="55"/>
      <c r="D27" s="55"/>
      <c r="E27" s="55"/>
      <c r="F27" s="55"/>
      <c r="G27" s="55"/>
      <c r="H27" s="55"/>
      <c r="I27" s="55"/>
      <c r="J27" s="55"/>
      <c r="K27" s="88"/>
      <c r="L27" s="23" t="s">
        <v>17</v>
      </c>
      <c r="M27" s="12" t="s">
        <v>17</v>
      </c>
      <c r="N27" s="12" t="s">
        <v>17</v>
      </c>
      <c r="O27" s="12" t="s">
        <v>17</v>
      </c>
      <c r="P27" s="12" t="s">
        <v>17</v>
      </c>
      <c r="Q27" s="12" t="s">
        <v>17</v>
      </c>
      <c r="R27" s="12" t="s">
        <v>17</v>
      </c>
      <c r="S27" s="12" t="s">
        <v>17</v>
      </c>
      <c r="T27" s="12" t="s">
        <v>17</v>
      </c>
      <c r="U27" s="12" t="s">
        <v>17</v>
      </c>
      <c r="V27" s="12" t="s">
        <v>17</v>
      </c>
      <c r="W27" s="12" t="s">
        <v>17</v>
      </c>
      <c r="X27" s="12" t="s">
        <v>17</v>
      </c>
      <c r="Y27" s="12" t="s">
        <v>17</v>
      </c>
      <c r="Z27" s="12" t="s">
        <v>17</v>
      </c>
      <c r="AA27" s="12" t="s">
        <v>17</v>
      </c>
      <c r="AB27" s="12" t="s">
        <v>17</v>
      </c>
      <c r="AC27" s="12" t="s">
        <v>17</v>
      </c>
      <c r="AD27" s="12" t="s">
        <v>17</v>
      </c>
      <c r="AE27" s="12" t="s">
        <v>17</v>
      </c>
      <c r="AF27" s="12" t="s">
        <v>17</v>
      </c>
      <c r="AG27" s="12" t="s">
        <v>17</v>
      </c>
      <c r="AH27" s="12" t="s">
        <v>17</v>
      </c>
      <c r="AI27" s="12" t="s">
        <v>17</v>
      </c>
      <c r="AJ27" s="12" t="s">
        <v>17</v>
      </c>
      <c r="AK27" s="10" t="s">
        <v>17</v>
      </c>
      <c r="AL27" s="10" t="s">
        <v>17</v>
      </c>
      <c r="AM27" s="10" t="s">
        <v>17</v>
      </c>
      <c r="AN27" s="10" t="s">
        <v>17</v>
      </c>
      <c r="AO27" s="10" t="s">
        <v>17</v>
      </c>
      <c r="AP27" s="10" t="s">
        <v>17</v>
      </c>
      <c r="AQ27" s="47" t="s">
        <v>17</v>
      </c>
      <c r="AR27" s="47" t="s">
        <v>17</v>
      </c>
      <c r="AS27" s="47" t="s">
        <v>17</v>
      </c>
      <c r="AT27" s="47" t="s">
        <v>17</v>
      </c>
      <c r="AU27" s="47" t="s">
        <v>17</v>
      </c>
      <c r="AV27" s="47" t="s">
        <v>17</v>
      </c>
      <c r="AW27" s="47" t="s">
        <v>17</v>
      </c>
      <c r="AX27" s="64" t="s">
        <v>17</v>
      </c>
      <c r="AY27" s="83"/>
      <c r="AZ27" s="56"/>
      <c r="BA27" s="56"/>
      <c r="BB27" s="56"/>
      <c r="BC27" s="56"/>
      <c r="BD27" s="56"/>
      <c r="BE27" s="56"/>
      <c r="BF27" s="56"/>
      <c r="BG27" s="56"/>
      <c r="BH27" s="56"/>
      <c r="BI27" s="61"/>
      <c r="BJ27" s="61"/>
      <c r="BK27" s="61"/>
      <c r="BL27" s="61"/>
      <c r="BM27" s="61"/>
      <c r="BN27" s="61"/>
      <c r="BO27" s="61"/>
      <c r="BP27" s="61"/>
      <c r="BQ27" s="61"/>
      <c r="BR27" s="61"/>
      <c r="BS27" s="61"/>
      <c r="BT27" s="61"/>
      <c r="BU27" s="61"/>
      <c r="BV27" s="61"/>
      <c r="BW27" s="61"/>
      <c r="BX27" s="61"/>
      <c r="BY27" s="61"/>
      <c r="BZ27" s="61"/>
      <c r="CA27" s="61"/>
      <c r="CB27" s="61"/>
      <c r="CC27" s="61"/>
      <c r="CD27" s="76"/>
      <c r="CE27" s="76"/>
      <c r="CF27" s="62"/>
      <c r="CG27" s="62"/>
      <c r="CH27" s="62"/>
      <c r="CI27" s="62"/>
      <c r="CJ27" s="62"/>
      <c r="CK27" s="62"/>
      <c r="CL27" s="62"/>
      <c r="CM27" s="62"/>
      <c r="CN27" s="62"/>
      <c r="CO27" s="62"/>
      <c r="CP27" s="62"/>
      <c r="CQ27" s="75"/>
      <c r="CR27" s="75"/>
      <c r="CS27" s="75"/>
      <c r="CT27" s="75"/>
      <c r="CU27" s="75"/>
      <c r="CV27" s="56"/>
      <c r="CW27" s="56"/>
      <c r="CX27" s="56"/>
      <c r="CY27" s="56"/>
      <c r="CZ27" s="56"/>
      <c r="DA27" s="56"/>
      <c r="DB27" s="56"/>
      <c r="DC27" s="56"/>
      <c r="DD27" s="56"/>
      <c r="DE27" s="3"/>
      <c r="DF27" s="3"/>
    </row>
    <row r="28" spans="1:110" ht="61" customHeight="1" thickBot="1">
      <c r="A28" s="55"/>
      <c r="B28" s="55"/>
      <c r="C28" s="55"/>
      <c r="D28" s="55"/>
      <c r="E28" s="55"/>
      <c r="F28" s="55"/>
      <c r="G28" s="55"/>
      <c r="H28" s="55"/>
      <c r="I28" s="55"/>
      <c r="J28" s="55"/>
      <c r="K28" s="88"/>
      <c r="L28" s="23" t="s">
        <v>17</v>
      </c>
      <c r="M28" s="26"/>
      <c r="N28" s="12" t="s">
        <v>17</v>
      </c>
      <c r="O28" s="26"/>
      <c r="P28" s="12" t="s">
        <v>17</v>
      </c>
      <c r="Q28" s="26"/>
      <c r="R28" s="12" t="s">
        <v>17</v>
      </c>
      <c r="S28" s="26"/>
      <c r="T28" s="12" t="s">
        <v>17</v>
      </c>
      <c r="U28" s="26"/>
      <c r="V28" s="12" t="s">
        <v>17</v>
      </c>
      <c r="W28" s="26"/>
      <c r="X28" s="12" t="s">
        <v>17</v>
      </c>
      <c r="Y28" s="26"/>
      <c r="Z28" s="12" t="s">
        <v>17</v>
      </c>
      <c r="AA28" s="26"/>
      <c r="AB28" s="12" t="s">
        <v>17</v>
      </c>
      <c r="AC28" s="26"/>
      <c r="AD28" s="12" t="s">
        <v>17</v>
      </c>
      <c r="AE28" s="26"/>
      <c r="AF28" s="12" t="s">
        <v>17</v>
      </c>
      <c r="AG28" s="26"/>
      <c r="AH28" s="12" t="s">
        <v>17</v>
      </c>
      <c r="AI28" s="26"/>
      <c r="AJ28" s="12" t="s">
        <v>17</v>
      </c>
      <c r="AK28" s="26"/>
      <c r="AL28" s="10" t="s">
        <v>17</v>
      </c>
      <c r="AM28" s="26"/>
      <c r="AN28" s="10" t="s">
        <v>17</v>
      </c>
      <c r="AO28" s="26"/>
      <c r="AP28" s="10" t="s">
        <v>17</v>
      </c>
      <c r="AQ28" s="26"/>
      <c r="AR28" s="47" t="s">
        <v>17</v>
      </c>
      <c r="AS28" s="26"/>
      <c r="AT28" s="47" t="s">
        <v>17</v>
      </c>
      <c r="AU28" s="26"/>
      <c r="AV28" s="47" t="s">
        <v>17</v>
      </c>
      <c r="AW28" s="26"/>
      <c r="AX28" s="64" t="s">
        <v>17</v>
      </c>
      <c r="AY28" s="83"/>
      <c r="AZ28" s="56"/>
      <c r="BA28" s="56"/>
      <c r="BB28" s="56"/>
      <c r="BC28" s="56"/>
      <c r="BD28" s="56"/>
      <c r="BE28" s="56"/>
      <c r="BF28" s="56"/>
      <c r="BG28" s="56"/>
      <c r="BH28" s="56"/>
      <c r="BI28" s="56"/>
      <c r="BJ28" s="60"/>
      <c r="BK28" s="60"/>
      <c r="BL28" s="60"/>
      <c r="BM28" s="60"/>
      <c r="BN28" s="60"/>
      <c r="BO28" s="60"/>
      <c r="BP28" s="60"/>
      <c r="BQ28" s="60"/>
      <c r="BR28" s="60"/>
      <c r="BS28" s="60"/>
      <c r="BT28" s="60"/>
      <c r="BU28" s="60"/>
      <c r="BV28" s="60"/>
      <c r="BW28" s="60"/>
      <c r="BX28" s="60"/>
      <c r="BY28" s="60"/>
      <c r="BZ28" s="60"/>
      <c r="CA28" s="60"/>
      <c r="CB28" s="60"/>
      <c r="CC28" s="60"/>
      <c r="CD28" s="74"/>
      <c r="CE28" s="74"/>
      <c r="CF28" s="62"/>
      <c r="CG28" s="62"/>
      <c r="CH28" s="62"/>
      <c r="CI28" s="62"/>
      <c r="CJ28" s="62"/>
      <c r="CK28" s="62"/>
      <c r="CL28" s="62"/>
      <c r="CM28" s="62"/>
      <c r="CN28" s="62"/>
      <c r="CO28" s="62"/>
      <c r="CP28" s="62"/>
      <c r="CQ28" s="75"/>
      <c r="CR28" s="75"/>
      <c r="CS28" s="75"/>
      <c r="CT28" s="75"/>
      <c r="CU28" s="75"/>
      <c r="CV28" s="56"/>
      <c r="CW28" s="56"/>
      <c r="CX28" s="56"/>
      <c r="CY28" s="56"/>
      <c r="CZ28" s="56"/>
      <c r="DA28" s="56"/>
      <c r="DB28" s="56"/>
      <c r="DC28" s="56"/>
      <c r="DD28" s="56"/>
      <c r="DE28" s="3"/>
      <c r="DF28" s="3"/>
    </row>
    <row r="29" spans="1:110" ht="26" customHeight="1" thickBot="1">
      <c r="A29" s="55"/>
      <c r="B29" s="55"/>
      <c r="C29" s="55"/>
      <c r="D29" s="55"/>
      <c r="E29" s="55"/>
      <c r="F29" s="55"/>
      <c r="G29" s="55"/>
      <c r="H29" s="55"/>
      <c r="I29" s="55"/>
      <c r="J29" s="55"/>
      <c r="K29" s="88"/>
      <c r="L29" s="23" t="s">
        <v>17</v>
      </c>
      <c r="M29" s="12" t="s">
        <v>17</v>
      </c>
      <c r="N29" s="12" t="s">
        <v>17</v>
      </c>
      <c r="O29" s="12" t="s">
        <v>17</v>
      </c>
      <c r="P29" s="12" t="s">
        <v>17</v>
      </c>
      <c r="Q29" s="12" t="s">
        <v>17</v>
      </c>
      <c r="R29" s="12" t="s">
        <v>17</v>
      </c>
      <c r="S29" s="12" t="s">
        <v>17</v>
      </c>
      <c r="T29" s="12" t="s">
        <v>17</v>
      </c>
      <c r="U29" s="12" t="s">
        <v>17</v>
      </c>
      <c r="V29" s="12" t="s">
        <v>17</v>
      </c>
      <c r="W29" s="12" t="s">
        <v>17</v>
      </c>
      <c r="X29" s="12" t="s">
        <v>17</v>
      </c>
      <c r="Y29" s="12" t="s">
        <v>17</v>
      </c>
      <c r="Z29" s="12" t="s">
        <v>17</v>
      </c>
      <c r="AA29" s="12" t="s">
        <v>17</v>
      </c>
      <c r="AB29" s="12" t="s">
        <v>17</v>
      </c>
      <c r="AC29" s="12" t="s">
        <v>17</v>
      </c>
      <c r="AD29" s="12" t="s">
        <v>17</v>
      </c>
      <c r="AE29" s="12" t="s">
        <v>17</v>
      </c>
      <c r="AF29" s="12" t="s">
        <v>17</v>
      </c>
      <c r="AG29" s="12" t="s">
        <v>17</v>
      </c>
      <c r="AH29" s="12" t="s">
        <v>17</v>
      </c>
      <c r="AI29" s="12" t="s">
        <v>17</v>
      </c>
      <c r="AJ29" s="12" t="s">
        <v>17</v>
      </c>
      <c r="AK29" s="10" t="s">
        <v>17</v>
      </c>
      <c r="AL29" s="10" t="s">
        <v>17</v>
      </c>
      <c r="AM29" s="10" t="s">
        <v>17</v>
      </c>
      <c r="AN29" s="10" t="s">
        <v>17</v>
      </c>
      <c r="AO29" s="10" t="s">
        <v>17</v>
      </c>
      <c r="AP29" s="10" t="s">
        <v>17</v>
      </c>
      <c r="AQ29" s="47" t="s">
        <v>17</v>
      </c>
      <c r="AR29" s="47" t="s">
        <v>17</v>
      </c>
      <c r="AS29" s="47" t="s">
        <v>17</v>
      </c>
      <c r="AT29" s="47" t="s">
        <v>17</v>
      </c>
      <c r="AU29" s="47" t="s">
        <v>17</v>
      </c>
      <c r="AV29" s="47" t="s">
        <v>17</v>
      </c>
      <c r="AW29" s="47" t="s">
        <v>17</v>
      </c>
      <c r="AX29" s="64" t="s">
        <v>17</v>
      </c>
      <c r="AY29" s="83"/>
      <c r="AZ29" s="56"/>
      <c r="BA29" s="56"/>
      <c r="BB29" s="56"/>
      <c r="BC29" s="56"/>
      <c r="BD29" s="56"/>
      <c r="BE29" s="56"/>
      <c r="BF29" s="56"/>
      <c r="BG29" s="56"/>
      <c r="BH29" s="56"/>
      <c r="BI29" s="60"/>
      <c r="BJ29" s="60"/>
      <c r="BK29" s="60"/>
      <c r="BL29" s="60"/>
      <c r="BM29" s="60"/>
      <c r="BN29" s="60"/>
      <c r="BO29" s="60"/>
      <c r="BP29" s="60"/>
      <c r="BQ29" s="60"/>
      <c r="BR29" s="60"/>
      <c r="BS29" s="60"/>
      <c r="BT29" s="60"/>
      <c r="BU29" s="60"/>
      <c r="BV29" s="60"/>
      <c r="BW29" s="60"/>
      <c r="BX29" s="60"/>
      <c r="BY29" s="60"/>
      <c r="BZ29" s="60"/>
      <c r="CA29" s="60"/>
      <c r="CB29" s="60"/>
      <c r="CC29" s="60"/>
      <c r="CD29" s="74"/>
      <c r="CE29" s="74"/>
      <c r="CF29" s="62"/>
      <c r="CG29" s="62"/>
      <c r="CH29" s="62"/>
      <c r="CI29" s="62"/>
      <c r="CJ29" s="62"/>
      <c r="CK29" s="62"/>
      <c r="CL29" s="62"/>
      <c r="CM29" s="62"/>
      <c r="CN29" s="62"/>
      <c r="CO29" s="62"/>
      <c r="CP29" s="62"/>
      <c r="CQ29" s="75"/>
      <c r="CR29" s="75"/>
      <c r="CS29" s="75"/>
      <c r="CT29" s="75"/>
      <c r="CU29" s="75"/>
      <c r="CV29" s="56"/>
      <c r="CW29" s="56"/>
      <c r="CX29" s="56"/>
      <c r="CY29" s="56"/>
      <c r="CZ29" s="56"/>
      <c r="DA29" s="56"/>
      <c r="DB29" s="56"/>
      <c r="DC29" s="56"/>
      <c r="DD29" s="56"/>
      <c r="DE29" s="3"/>
      <c r="DF29" s="3"/>
    </row>
    <row r="30" spans="1:110" ht="61" customHeight="1" thickBot="1">
      <c r="A30" s="55"/>
      <c r="B30" s="55"/>
      <c r="C30" s="55"/>
      <c r="D30" s="55"/>
      <c r="E30" s="55"/>
      <c r="F30" s="55"/>
      <c r="G30" s="55"/>
      <c r="H30" s="55"/>
      <c r="I30" s="55"/>
      <c r="J30" s="55"/>
      <c r="K30" s="88"/>
      <c r="L30" s="24" t="s">
        <v>17</v>
      </c>
      <c r="M30" s="26"/>
      <c r="N30" s="10" t="s">
        <v>17</v>
      </c>
      <c r="O30" s="26"/>
      <c r="P30" s="10" t="s">
        <v>17</v>
      </c>
      <c r="Q30" s="26"/>
      <c r="R30" s="10" t="s">
        <v>17</v>
      </c>
      <c r="S30" s="26"/>
      <c r="T30" s="10" t="s">
        <v>17</v>
      </c>
      <c r="U30" s="26"/>
      <c r="V30" s="10" t="s">
        <v>17</v>
      </c>
      <c r="W30" s="26"/>
      <c r="X30" s="10" t="s">
        <v>17</v>
      </c>
      <c r="Y30" s="26"/>
      <c r="Z30" s="10" t="s">
        <v>17</v>
      </c>
      <c r="AA30" s="26"/>
      <c r="AB30" s="10" t="s">
        <v>17</v>
      </c>
      <c r="AC30" s="26"/>
      <c r="AD30" s="10" t="s">
        <v>17</v>
      </c>
      <c r="AE30" s="26"/>
      <c r="AF30" s="10" t="s">
        <v>17</v>
      </c>
      <c r="AG30" s="26"/>
      <c r="AH30" s="10" t="s">
        <v>17</v>
      </c>
      <c r="AI30" s="26"/>
      <c r="AJ30" s="10" t="s">
        <v>17</v>
      </c>
      <c r="AK30" s="26"/>
      <c r="AL30" s="10" t="s">
        <v>17</v>
      </c>
      <c r="AM30" s="26"/>
      <c r="AN30" s="10" t="s">
        <v>17</v>
      </c>
      <c r="AO30" s="26"/>
      <c r="AP30" s="10" t="s">
        <v>17</v>
      </c>
      <c r="AQ30" s="26"/>
      <c r="AR30" s="47" t="s">
        <v>17</v>
      </c>
      <c r="AS30" s="26"/>
      <c r="AT30" s="47" t="s">
        <v>17</v>
      </c>
      <c r="AU30" s="26"/>
      <c r="AV30" s="47" t="s">
        <v>17</v>
      </c>
      <c r="AW30" s="26"/>
      <c r="AX30" s="64" t="s">
        <v>17</v>
      </c>
      <c r="AY30" s="83"/>
      <c r="AZ30" s="56"/>
      <c r="BA30" s="56"/>
      <c r="BB30" s="56"/>
      <c r="BC30" s="56"/>
      <c r="BD30" s="56"/>
      <c r="BE30" s="56"/>
      <c r="BF30" s="56"/>
      <c r="BG30" s="56"/>
      <c r="BH30" s="56"/>
      <c r="BI30" s="60"/>
      <c r="BJ30" s="60"/>
      <c r="BK30" s="60"/>
      <c r="BL30" s="60"/>
      <c r="BM30" s="60"/>
      <c r="BN30" s="60"/>
      <c r="BO30" s="60"/>
      <c r="BP30" s="60"/>
      <c r="BQ30" s="60"/>
      <c r="BR30" s="60"/>
      <c r="BS30" s="60"/>
      <c r="BT30" s="60"/>
      <c r="BU30" s="60"/>
      <c r="BV30" s="60"/>
      <c r="BW30" s="60"/>
      <c r="BX30" s="60"/>
      <c r="BY30" s="60"/>
      <c r="BZ30" s="60"/>
      <c r="CA30" s="60"/>
      <c r="CB30" s="60"/>
      <c r="CC30" s="60"/>
      <c r="CD30" s="74"/>
      <c r="CE30" s="74"/>
      <c r="CF30" s="62"/>
      <c r="CG30" s="62"/>
      <c r="CH30" s="62"/>
      <c r="CI30" s="62"/>
      <c r="CJ30" s="62"/>
      <c r="CK30" s="62"/>
      <c r="CL30" s="62"/>
      <c r="CM30" s="62"/>
      <c r="CN30" s="62"/>
      <c r="CO30" s="62"/>
      <c r="CP30" s="62"/>
      <c r="CQ30" s="75"/>
      <c r="CR30" s="75"/>
      <c r="CS30" s="75"/>
      <c r="CT30" s="75"/>
      <c r="CU30" s="75"/>
      <c r="CV30" s="56"/>
      <c r="CW30" s="56"/>
      <c r="CX30" s="56"/>
      <c r="CY30" s="56"/>
      <c r="CZ30" s="56"/>
      <c r="DA30" s="56"/>
      <c r="DB30" s="56"/>
      <c r="DC30" s="56"/>
      <c r="DD30" s="56"/>
      <c r="DE30" s="3"/>
      <c r="DF30" s="3"/>
    </row>
    <row r="31" spans="1:110" ht="26" customHeight="1" thickBot="1">
      <c r="A31" s="55"/>
      <c r="B31" s="55"/>
      <c r="C31" s="55"/>
      <c r="D31" s="55"/>
      <c r="E31" s="55"/>
      <c r="F31" s="55"/>
      <c r="G31" s="55"/>
      <c r="H31" s="55"/>
      <c r="I31" s="55"/>
      <c r="J31" s="55"/>
      <c r="K31" s="88"/>
      <c r="L31" s="24" t="s">
        <v>17</v>
      </c>
      <c r="M31" s="10" t="s">
        <v>17</v>
      </c>
      <c r="N31" s="10" t="s">
        <v>17</v>
      </c>
      <c r="O31" s="10" t="s">
        <v>17</v>
      </c>
      <c r="P31" s="10" t="s">
        <v>17</v>
      </c>
      <c r="Q31" s="10" t="s">
        <v>17</v>
      </c>
      <c r="R31" s="10" t="s">
        <v>17</v>
      </c>
      <c r="S31" s="10" t="s">
        <v>17</v>
      </c>
      <c r="T31" s="10" t="s">
        <v>17</v>
      </c>
      <c r="U31" s="10" t="s">
        <v>17</v>
      </c>
      <c r="V31" s="10" t="s">
        <v>17</v>
      </c>
      <c r="W31" s="10" t="s">
        <v>17</v>
      </c>
      <c r="X31" s="10" t="s">
        <v>17</v>
      </c>
      <c r="Y31" s="10" t="s">
        <v>17</v>
      </c>
      <c r="Z31" s="10" t="s">
        <v>17</v>
      </c>
      <c r="AA31" s="10" t="s">
        <v>17</v>
      </c>
      <c r="AB31" s="10" t="s">
        <v>17</v>
      </c>
      <c r="AC31" s="10" t="s">
        <v>17</v>
      </c>
      <c r="AD31" s="10" t="s">
        <v>17</v>
      </c>
      <c r="AE31" s="10" t="s">
        <v>17</v>
      </c>
      <c r="AF31" s="10" t="s">
        <v>17</v>
      </c>
      <c r="AG31" s="10" t="s">
        <v>17</v>
      </c>
      <c r="AH31" s="10" t="s">
        <v>17</v>
      </c>
      <c r="AI31" s="10" t="s">
        <v>17</v>
      </c>
      <c r="AJ31" s="10" t="s">
        <v>17</v>
      </c>
      <c r="AK31" s="10" t="s">
        <v>17</v>
      </c>
      <c r="AL31" s="10" t="s">
        <v>17</v>
      </c>
      <c r="AM31" s="10" t="s">
        <v>17</v>
      </c>
      <c r="AN31" s="10" t="s">
        <v>17</v>
      </c>
      <c r="AO31" s="10" t="s">
        <v>17</v>
      </c>
      <c r="AP31" s="10" t="s">
        <v>17</v>
      </c>
      <c r="AQ31" s="47" t="s">
        <v>17</v>
      </c>
      <c r="AR31" s="47" t="s">
        <v>17</v>
      </c>
      <c r="AS31" s="47" t="s">
        <v>17</v>
      </c>
      <c r="AT31" s="47" t="s">
        <v>17</v>
      </c>
      <c r="AU31" s="47" t="s">
        <v>17</v>
      </c>
      <c r="AV31" s="47" t="s">
        <v>17</v>
      </c>
      <c r="AW31" s="47" t="s">
        <v>17</v>
      </c>
      <c r="AX31" s="64" t="s">
        <v>17</v>
      </c>
      <c r="AY31" s="83"/>
      <c r="AZ31" s="56"/>
      <c r="BA31" s="56"/>
      <c r="BB31" s="56"/>
      <c r="BC31" s="56"/>
      <c r="BD31" s="56"/>
      <c r="BE31" s="56"/>
      <c r="BF31" s="56"/>
      <c r="BG31" s="56"/>
      <c r="BH31" s="56"/>
      <c r="BI31" s="60"/>
      <c r="BJ31" s="60"/>
      <c r="BK31" s="60"/>
      <c r="BL31" s="60"/>
      <c r="BM31" s="60"/>
      <c r="BN31" s="60"/>
      <c r="BO31" s="60"/>
      <c r="BP31" s="60"/>
      <c r="BQ31" s="60"/>
      <c r="BR31" s="60"/>
      <c r="BS31" s="60"/>
      <c r="BT31" s="60"/>
      <c r="BU31" s="60"/>
      <c r="BV31" s="60"/>
      <c r="BW31" s="60"/>
      <c r="BX31" s="60"/>
      <c r="BY31" s="60"/>
      <c r="BZ31" s="60"/>
      <c r="CA31" s="60"/>
      <c r="CB31" s="60"/>
      <c r="CC31" s="60"/>
      <c r="CD31" s="74"/>
      <c r="CE31" s="74"/>
      <c r="CF31" s="62"/>
      <c r="CG31" s="62"/>
      <c r="CH31" s="62"/>
      <c r="CI31" s="62"/>
      <c r="CJ31" s="62"/>
      <c r="CK31" s="62"/>
      <c r="CL31" s="62"/>
      <c r="CM31" s="62"/>
      <c r="CN31" s="62"/>
      <c r="CO31" s="62"/>
      <c r="CP31" s="62"/>
      <c r="CQ31" s="75"/>
      <c r="CR31" s="75"/>
      <c r="CS31" s="75"/>
      <c r="CT31" s="75"/>
      <c r="CU31" s="75"/>
      <c r="CV31" s="56"/>
      <c r="CW31" s="56"/>
      <c r="CX31" s="56"/>
      <c r="CY31" s="56"/>
      <c r="CZ31" s="56"/>
      <c r="DA31" s="56"/>
      <c r="DB31" s="56"/>
      <c r="DC31" s="56"/>
      <c r="DD31" s="56"/>
      <c r="DE31" s="3"/>
      <c r="DF31" s="3"/>
    </row>
    <row r="32" spans="1:110" ht="61" customHeight="1" thickBot="1">
      <c r="A32" s="55"/>
      <c r="B32" s="55"/>
      <c r="C32" s="55"/>
      <c r="D32" s="55"/>
      <c r="E32" s="55"/>
      <c r="F32" s="55"/>
      <c r="G32" s="55"/>
      <c r="H32" s="55"/>
      <c r="I32" s="55"/>
      <c r="J32" s="55"/>
      <c r="K32" s="88"/>
      <c r="L32" s="24" t="s">
        <v>17</v>
      </c>
      <c r="M32" s="26"/>
      <c r="N32" s="10" t="s">
        <v>17</v>
      </c>
      <c r="O32" s="26"/>
      <c r="P32" s="10" t="s">
        <v>17</v>
      </c>
      <c r="Q32" s="26"/>
      <c r="R32" s="10" t="s">
        <v>17</v>
      </c>
      <c r="S32" s="26"/>
      <c r="T32" s="10" t="s">
        <v>17</v>
      </c>
      <c r="U32" s="26"/>
      <c r="V32" s="10" t="s">
        <v>17</v>
      </c>
      <c r="W32" s="26"/>
      <c r="X32" s="10" t="s">
        <v>17</v>
      </c>
      <c r="Y32" s="26"/>
      <c r="Z32" s="10" t="s">
        <v>17</v>
      </c>
      <c r="AA32" s="26"/>
      <c r="AB32" s="10" t="s">
        <v>17</v>
      </c>
      <c r="AC32" s="26"/>
      <c r="AD32" s="10" t="s">
        <v>17</v>
      </c>
      <c r="AE32" s="26"/>
      <c r="AF32" s="10" t="s">
        <v>17</v>
      </c>
      <c r="AG32" s="26"/>
      <c r="AH32" s="10" t="s">
        <v>17</v>
      </c>
      <c r="AI32" s="26"/>
      <c r="AJ32" s="10" t="s">
        <v>17</v>
      </c>
      <c r="AK32" s="26"/>
      <c r="AL32" s="10" t="s">
        <v>17</v>
      </c>
      <c r="AM32" s="26"/>
      <c r="AN32" s="10" t="s">
        <v>17</v>
      </c>
      <c r="AO32" s="26"/>
      <c r="AP32" s="10" t="s">
        <v>17</v>
      </c>
      <c r="AQ32" s="26"/>
      <c r="AR32" s="47" t="s">
        <v>17</v>
      </c>
      <c r="AS32" s="26"/>
      <c r="AT32" s="47" t="s">
        <v>17</v>
      </c>
      <c r="AU32" s="26"/>
      <c r="AV32" s="47" t="s">
        <v>17</v>
      </c>
      <c r="AW32" s="26"/>
      <c r="AX32" s="64" t="s">
        <v>17</v>
      </c>
      <c r="AY32" s="83"/>
      <c r="AZ32" s="56"/>
      <c r="BA32" s="56"/>
      <c r="BB32" s="56"/>
      <c r="BC32" s="56"/>
      <c r="BD32" s="56"/>
      <c r="BE32" s="56"/>
      <c r="BF32" s="56"/>
      <c r="BG32" s="56"/>
      <c r="BH32" s="56"/>
      <c r="BI32" s="60"/>
      <c r="BJ32" s="60"/>
      <c r="BK32" s="60"/>
      <c r="BL32" s="60"/>
      <c r="BM32" s="60"/>
      <c r="BN32" s="60"/>
      <c r="BO32" s="60"/>
      <c r="BP32" s="60"/>
      <c r="BQ32" s="60"/>
      <c r="BR32" s="60"/>
      <c r="BS32" s="60"/>
      <c r="BT32" s="60"/>
      <c r="BU32" s="60"/>
      <c r="BV32" s="60"/>
      <c r="BW32" s="60"/>
      <c r="BX32" s="60"/>
      <c r="BY32" s="60"/>
      <c r="BZ32" s="60"/>
      <c r="CA32" s="60"/>
      <c r="CB32" s="60"/>
      <c r="CC32" s="60"/>
      <c r="CD32" s="74"/>
      <c r="CE32" s="74"/>
      <c r="CF32" s="62"/>
      <c r="CG32" s="62"/>
      <c r="CH32" s="62"/>
      <c r="CI32" s="62"/>
      <c r="CJ32" s="62"/>
      <c r="CK32" s="62"/>
      <c r="CL32" s="62"/>
      <c r="CM32" s="62"/>
      <c r="CN32" s="62"/>
      <c r="CO32" s="62"/>
      <c r="CP32" s="62"/>
      <c r="CQ32" s="75"/>
      <c r="CR32" s="75"/>
      <c r="CS32" s="75"/>
      <c r="CT32" s="75"/>
      <c r="CU32" s="75"/>
      <c r="CV32" s="56"/>
      <c r="CW32" s="56"/>
      <c r="CX32" s="56"/>
      <c r="CY32" s="56"/>
      <c r="CZ32" s="56"/>
      <c r="DA32" s="56"/>
      <c r="DB32" s="56"/>
      <c r="DC32" s="56"/>
      <c r="DD32" s="56"/>
      <c r="DE32" s="3"/>
      <c r="DF32" s="3"/>
    </row>
    <row r="33" spans="1:110" ht="26" customHeight="1" thickBot="1">
      <c r="A33" s="55"/>
      <c r="B33" s="55"/>
      <c r="C33" s="55"/>
      <c r="D33" s="55"/>
      <c r="E33" s="55"/>
      <c r="F33" s="55"/>
      <c r="G33" s="55"/>
      <c r="H33" s="55"/>
      <c r="I33" s="55"/>
      <c r="J33" s="55"/>
      <c r="K33" s="88"/>
      <c r="L33" s="24" t="s">
        <v>17</v>
      </c>
      <c r="M33" s="10" t="s">
        <v>17</v>
      </c>
      <c r="N33" s="10" t="s">
        <v>17</v>
      </c>
      <c r="O33" s="10" t="s">
        <v>17</v>
      </c>
      <c r="P33" s="10" t="s">
        <v>17</v>
      </c>
      <c r="Q33" s="10" t="s">
        <v>17</v>
      </c>
      <c r="R33" s="10" t="s">
        <v>17</v>
      </c>
      <c r="S33" s="10" t="s">
        <v>17</v>
      </c>
      <c r="T33" s="10" t="s">
        <v>17</v>
      </c>
      <c r="U33" s="10" t="s">
        <v>17</v>
      </c>
      <c r="V33" s="10" t="s">
        <v>17</v>
      </c>
      <c r="W33" s="10" t="s">
        <v>17</v>
      </c>
      <c r="X33" s="10" t="s">
        <v>17</v>
      </c>
      <c r="Y33" s="10" t="s">
        <v>17</v>
      </c>
      <c r="Z33" s="10" t="s">
        <v>17</v>
      </c>
      <c r="AA33" s="10" t="s">
        <v>17</v>
      </c>
      <c r="AB33" s="10" t="s">
        <v>17</v>
      </c>
      <c r="AC33" s="10" t="s">
        <v>17</v>
      </c>
      <c r="AD33" s="10" t="s">
        <v>17</v>
      </c>
      <c r="AE33" s="10" t="s">
        <v>17</v>
      </c>
      <c r="AF33" s="10" t="s">
        <v>17</v>
      </c>
      <c r="AG33" s="10" t="s">
        <v>17</v>
      </c>
      <c r="AH33" s="10" t="s">
        <v>17</v>
      </c>
      <c r="AI33" s="10" t="s">
        <v>17</v>
      </c>
      <c r="AJ33" s="10" t="s">
        <v>17</v>
      </c>
      <c r="AK33" s="10" t="s">
        <v>17</v>
      </c>
      <c r="AL33" s="10" t="s">
        <v>17</v>
      </c>
      <c r="AM33" s="10" t="s">
        <v>17</v>
      </c>
      <c r="AN33" s="10" t="s">
        <v>17</v>
      </c>
      <c r="AO33" s="10" t="s">
        <v>17</v>
      </c>
      <c r="AP33" s="10" t="s">
        <v>17</v>
      </c>
      <c r="AQ33" s="47" t="s">
        <v>17</v>
      </c>
      <c r="AR33" s="47" t="s">
        <v>17</v>
      </c>
      <c r="AS33" s="47" t="s">
        <v>17</v>
      </c>
      <c r="AT33" s="47" t="s">
        <v>17</v>
      </c>
      <c r="AU33" s="47" t="s">
        <v>17</v>
      </c>
      <c r="AV33" s="47" t="s">
        <v>17</v>
      </c>
      <c r="AW33" s="47" t="s">
        <v>17</v>
      </c>
      <c r="AX33" s="64" t="s">
        <v>17</v>
      </c>
      <c r="AY33" s="83"/>
      <c r="AZ33" s="56"/>
      <c r="BA33" s="56"/>
      <c r="BB33" s="56"/>
      <c r="BC33" s="56"/>
      <c r="BD33" s="56"/>
      <c r="BE33" s="56"/>
      <c r="BF33" s="56"/>
      <c r="BG33" s="56"/>
      <c r="BH33" s="56"/>
      <c r="BI33" s="60"/>
      <c r="BJ33" s="60"/>
      <c r="BK33" s="60"/>
      <c r="BL33" s="60"/>
      <c r="BM33" s="60"/>
      <c r="BN33" s="60"/>
      <c r="BO33" s="60"/>
      <c r="BP33" s="60"/>
      <c r="BQ33" s="60"/>
      <c r="BR33" s="60"/>
      <c r="BS33" s="60"/>
      <c r="BT33" s="60"/>
      <c r="BU33" s="60"/>
      <c r="BV33" s="60"/>
      <c r="BW33" s="60"/>
      <c r="BX33" s="60"/>
      <c r="BY33" s="60"/>
      <c r="BZ33" s="60"/>
      <c r="CA33" s="60"/>
      <c r="CB33" s="60"/>
      <c r="CC33" s="60"/>
      <c r="CD33" s="74"/>
      <c r="CE33" s="74"/>
      <c r="CF33" s="62"/>
      <c r="CG33" s="62"/>
      <c r="CH33" s="62"/>
      <c r="CI33" s="62"/>
      <c r="CJ33" s="62"/>
      <c r="CK33" s="62"/>
      <c r="CL33" s="62"/>
      <c r="CM33" s="62"/>
      <c r="CN33" s="62"/>
      <c r="CO33" s="62"/>
      <c r="CP33" s="62"/>
      <c r="CQ33" s="75"/>
      <c r="CR33" s="75"/>
      <c r="CS33" s="75"/>
      <c r="CT33" s="75"/>
      <c r="CU33" s="75"/>
      <c r="CV33" s="56"/>
      <c r="CW33" s="56"/>
      <c r="CX33" s="56"/>
      <c r="CY33" s="56"/>
      <c r="CZ33" s="56"/>
      <c r="DA33" s="56"/>
      <c r="DB33" s="56"/>
      <c r="DC33" s="56"/>
      <c r="DD33" s="56"/>
      <c r="DE33" s="3"/>
      <c r="DF33" s="3"/>
    </row>
    <row r="34" spans="1:110" ht="61" customHeight="1" thickBot="1">
      <c r="A34" s="55"/>
      <c r="B34" s="55"/>
      <c r="C34" s="55"/>
      <c r="D34" s="55"/>
      <c r="E34" s="55"/>
      <c r="F34" s="55"/>
      <c r="G34" s="55"/>
      <c r="H34" s="55"/>
      <c r="I34" s="55"/>
      <c r="J34" s="55"/>
      <c r="K34" s="88"/>
      <c r="L34" s="24" t="s">
        <v>17</v>
      </c>
      <c r="M34" s="26"/>
      <c r="N34" s="10" t="s">
        <v>17</v>
      </c>
      <c r="O34" s="26"/>
      <c r="P34" s="10" t="s">
        <v>17</v>
      </c>
      <c r="Q34" s="26"/>
      <c r="R34" s="10" t="s">
        <v>17</v>
      </c>
      <c r="S34" s="26"/>
      <c r="T34" s="10" t="s">
        <v>17</v>
      </c>
      <c r="U34" s="26"/>
      <c r="V34" s="10" t="s">
        <v>17</v>
      </c>
      <c r="W34" s="26"/>
      <c r="X34" s="10" t="s">
        <v>17</v>
      </c>
      <c r="Y34" s="26"/>
      <c r="Z34" s="10" t="s">
        <v>17</v>
      </c>
      <c r="AA34" s="26"/>
      <c r="AB34" s="10" t="s">
        <v>17</v>
      </c>
      <c r="AC34" s="26"/>
      <c r="AD34" s="10" t="s">
        <v>17</v>
      </c>
      <c r="AE34" s="26"/>
      <c r="AF34" s="10" t="s">
        <v>17</v>
      </c>
      <c r="AG34" s="26"/>
      <c r="AH34" s="10" t="s">
        <v>17</v>
      </c>
      <c r="AI34" s="26"/>
      <c r="AJ34" s="10" t="s">
        <v>17</v>
      </c>
      <c r="AK34" s="26"/>
      <c r="AL34" s="10" t="s">
        <v>17</v>
      </c>
      <c r="AM34" s="26"/>
      <c r="AN34" s="10" t="s">
        <v>17</v>
      </c>
      <c r="AO34" s="26"/>
      <c r="AP34" s="10" t="s">
        <v>17</v>
      </c>
      <c r="AQ34" s="26"/>
      <c r="AR34" s="47" t="s">
        <v>17</v>
      </c>
      <c r="AS34" s="26"/>
      <c r="AT34" s="47" t="s">
        <v>17</v>
      </c>
      <c r="AU34" s="26"/>
      <c r="AV34" s="47" t="s">
        <v>17</v>
      </c>
      <c r="AW34" s="26"/>
      <c r="AX34" s="64" t="s">
        <v>17</v>
      </c>
      <c r="AY34" s="83"/>
      <c r="AZ34" s="56"/>
      <c r="BA34" s="56"/>
      <c r="BB34" s="56"/>
      <c r="BC34" s="56"/>
      <c r="BD34" s="56"/>
      <c r="BE34" s="56"/>
      <c r="BF34" s="56"/>
      <c r="BG34" s="56"/>
      <c r="BH34" s="56"/>
      <c r="BI34" s="56"/>
      <c r="BJ34" s="56"/>
      <c r="BK34" s="56"/>
      <c r="BL34" s="56"/>
      <c r="BM34" s="56"/>
      <c r="BN34" s="56"/>
      <c r="BO34" s="56"/>
      <c r="BP34" s="56"/>
      <c r="BQ34" s="56"/>
      <c r="BR34" s="56"/>
      <c r="BS34" s="56"/>
      <c r="BT34" s="56"/>
      <c r="BU34" s="56"/>
      <c r="BV34" s="56"/>
      <c r="BW34" s="56"/>
      <c r="BX34" s="56"/>
      <c r="BY34" s="56"/>
      <c r="BZ34" s="56"/>
      <c r="CA34" s="56"/>
      <c r="CB34" s="56"/>
      <c r="CC34" s="56"/>
      <c r="CD34" s="75"/>
      <c r="CE34" s="75"/>
      <c r="CF34" s="75"/>
      <c r="CG34" s="75"/>
      <c r="CH34" s="75"/>
      <c r="CI34" s="75"/>
      <c r="CJ34" s="75"/>
      <c r="CK34" s="75"/>
      <c r="CL34" s="75"/>
      <c r="CM34" s="75"/>
      <c r="CN34" s="75"/>
      <c r="CO34" s="75"/>
      <c r="CP34" s="75"/>
      <c r="CQ34" s="75"/>
      <c r="CR34" s="75"/>
      <c r="CS34" s="75"/>
      <c r="CT34" s="75"/>
      <c r="CU34" s="75"/>
      <c r="CV34" s="56"/>
      <c r="CW34" s="56"/>
      <c r="CX34" s="56"/>
      <c r="CY34" s="56"/>
      <c r="CZ34" s="56"/>
      <c r="DA34" s="56"/>
      <c r="DB34" s="56"/>
      <c r="DC34" s="56"/>
      <c r="DD34" s="56"/>
      <c r="DE34" s="3"/>
      <c r="DF34" s="3"/>
    </row>
    <row r="35" spans="1:110" ht="26" customHeight="1" thickBot="1">
      <c r="A35" s="55"/>
      <c r="B35" s="55"/>
      <c r="C35" s="55"/>
      <c r="D35" s="55"/>
      <c r="E35" s="55"/>
      <c r="F35" s="55"/>
      <c r="G35" s="55"/>
      <c r="H35" s="55"/>
      <c r="I35" s="55"/>
      <c r="J35" s="55"/>
      <c r="K35" s="88"/>
      <c r="L35" s="69" t="s">
        <v>17</v>
      </c>
      <c r="M35" s="70" t="s">
        <v>17</v>
      </c>
      <c r="N35" s="70" t="s">
        <v>17</v>
      </c>
      <c r="O35" s="70" t="s">
        <v>17</v>
      </c>
      <c r="P35" s="70" t="s">
        <v>17</v>
      </c>
      <c r="Q35" s="70" t="s">
        <v>17</v>
      </c>
      <c r="R35" s="70" t="s">
        <v>17</v>
      </c>
      <c r="S35" s="70" t="s">
        <v>17</v>
      </c>
      <c r="T35" s="70" t="s">
        <v>17</v>
      </c>
      <c r="U35" s="70" t="s">
        <v>17</v>
      </c>
      <c r="V35" s="70" t="s">
        <v>17</v>
      </c>
      <c r="W35" s="70" t="s">
        <v>17</v>
      </c>
      <c r="X35" s="70" t="s">
        <v>17</v>
      </c>
      <c r="Y35" s="70" t="s">
        <v>17</v>
      </c>
      <c r="Z35" s="70" t="s">
        <v>17</v>
      </c>
      <c r="AA35" s="70" t="s">
        <v>17</v>
      </c>
      <c r="AB35" s="70" t="s">
        <v>17</v>
      </c>
      <c r="AC35" s="70" t="s">
        <v>17</v>
      </c>
      <c r="AD35" s="70" t="s">
        <v>17</v>
      </c>
      <c r="AE35" s="70" t="s">
        <v>17</v>
      </c>
      <c r="AF35" s="70" t="s">
        <v>17</v>
      </c>
      <c r="AG35" s="70" t="s">
        <v>17</v>
      </c>
      <c r="AH35" s="70" t="s">
        <v>17</v>
      </c>
      <c r="AI35" s="70" t="s">
        <v>17</v>
      </c>
      <c r="AJ35" s="70" t="s">
        <v>17</v>
      </c>
      <c r="AK35" s="70" t="s">
        <v>17</v>
      </c>
      <c r="AL35" s="70" t="s">
        <v>17</v>
      </c>
      <c r="AM35" s="70" t="s">
        <v>17</v>
      </c>
      <c r="AN35" s="70" t="s">
        <v>17</v>
      </c>
      <c r="AO35" s="70" t="s">
        <v>17</v>
      </c>
      <c r="AP35" s="10" t="s">
        <v>17</v>
      </c>
      <c r="AQ35" s="47" t="s">
        <v>17</v>
      </c>
      <c r="AR35" s="47" t="s">
        <v>17</v>
      </c>
      <c r="AS35" s="47" t="s">
        <v>17</v>
      </c>
      <c r="AT35" s="47" t="s">
        <v>17</v>
      </c>
      <c r="AU35" s="47" t="s">
        <v>17</v>
      </c>
      <c r="AV35" s="47" t="s">
        <v>17</v>
      </c>
      <c r="AW35" s="47" t="s">
        <v>17</v>
      </c>
      <c r="AX35" s="64" t="s">
        <v>17</v>
      </c>
      <c r="AY35" s="83"/>
      <c r="AZ35" s="56"/>
      <c r="BA35" s="56"/>
      <c r="BB35" s="56"/>
      <c r="BC35" s="56"/>
      <c r="BD35" s="56"/>
      <c r="BE35" s="56"/>
      <c r="BF35" s="56"/>
      <c r="BG35" s="56"/>
      <c r="BH35" s="56"/>
      <c r="BI35" s="56"/>
      <c r="BJ35" s="56"/>
      <c r="BK35" s="56"/>
      <c r="BL35" s="56"/>
      <c r="BM35" s="56"/>
      <c r="BN35" s="56"/>
      <c r="BO35" s="56"/>
      <c r="BP35" s="56"/>
      <c r="BQ35" s="56"/>
      <c r="BR35" s="56"/>
      <c r="BS35" s="56"/>
      <c r="BT35" s="56"/>
      <c r="BU35" s="56"/>
      <c r="BV35" s="56"/>
      <c r="BW35" s="56"/>
      <c r="BX35" s="56"/>
      <c r="BY35" s="56"/>
      <c r="BZ35" s="56"/>
      <c r="CA35" s="56"/>
      <c r="CB35" s="56"/>
      <c r="CC35" s="56"/>
      <c r="CD35" s="75"/>
      <c r="CE35" s="75"/>
      <c r="CF35" s="75"/>
      <c r="CG35" s="75"/>
      <c r="CH35" s="75"/>
      <c r="CI35" s="75"/>
      <c r="CJ35" s="75"/>
      <c r="CK35" s="75"/>
      <c r="CL35" s="75"/>
      <c r="CM35" s="75"/>
      <c r="CN35" s="75"/>
      <c r="CO35" s="75"/>
      <c r="CP35" s="75"/>
      <c r="CQ35" s="75"/>
      <c r="CR35" s="75"/>
      <c r="CS35" s="75"/>
      <c r="CT35" s="75"/>
      <c r="CU35" s="75"/>
      <c r="CV35" s="56"/>
      <c r="CW35" s="56"/>
      <c r="CX35" s="56"/>
      <c r="CY35" s="56"/>
      <c r="CZ35" s="56"/>
      <c r="DA35" s="56"/>
      <c r="DB35" s="56"/>
      <c r="DC35" s="56"/>
      <c r="DD35" s="56"/>
      <c r="DE35" s="3"/>
      <c r="DF35" s="3"/>
    </row>
    <row r="36" spans="1:110" ht="61" customHeight="1" thickBot="1">
      <c r="A36" s="55"/>
      <c r="B36" s="55"/>
      <c r="C36" s="55"/>
      <c r="D36" s="55"/>
      <c r="E36" s="55"/>
      <c r="F36" s="55"/>
      <c r="G36" s="55"/>
      <c r="H36" s="55"/>
      <c r="I36" s="55"/>
      <c r="J36" s="55"/>
      <c r="K36" s="88"/>
      <c r="L36" s="46" t="s">
        <v>17</v>
      </c>
      <c r="M36" s="26"/>
      <c r="N36" s="47" t="s">
        <v>17</v>
      </c>
      <c r="O36" s="26"/>
      <c r="P36" s="47" t="s">
        <v>17</v>
      </c>
      <c r="Q36" s="26"/>
      <c r="R36" s="47" t="s">
        <v>17</v>
      </c>
      <c r="S36" s="26"/>
      <c r="T36" s="47" t="s">
        <v>17</v>
      </c>
      <c r="U36" s="26"/>
      <c r="V36" s="47" t="s">
        <v>17</v>
      </c>
      <c r="W36" s="26"/>
      <c r="X36" s="47" t="s">
        <v>17</v>
      </c>
      <c r="Y36" s="26"/>
      <c r="Z36" s="47" t="s">
        <v>17</v>
      </c>
      <c r="AA36" s="26"/>
      <c r="AB36" s="47" t="s">
        <v>17</v>
      </c>
      <c r="AC36" s="26"/>
      <c r="AD36" s="47" t="s">
        <v>17</v>
      </c>
      <c r="AE36" s="26"/>
      <c r="AF36" s="47" t="s">
        <v>17</v>
      </c>
      <c r="AG36" s="26"/>
      <c r="AH36" s="47" t="s">
        <v>17</v>
      </c>
      <c r="AI36" s="26"/>
      <c r="AJ36" s="47" t="s">
        <v>17</v>
      </c>
      <c r="AK36" s="26"/>
      <c r="AL36" s="47" t="s">
        <v>17</v>
      </c>
      <c r="AM36" s="26"/>
      <c r="AN36" s="47" t="s">
        <v>17</v>
      </c>
      <c r="AO36" s="26"/>
      <c r="AP36" s="47" t="s">
        <v>17</v>
      </c>
      <c r="AQ36" s="26"/>
      <c r="AR36" s="47" t="s">
        <v>17</v>
      </c>
      <c r="AS36" s="26"/>
      <c r="AT36" s="47" t="s">
        <v>17</v>
      </c>
      <c r="AU36" s="26"/>
      <c r="AV36" s="47" t="s">
        <v>17</v>
      </c>
      <c r="AW36" s="26"/>
      <c r="AX36" s="64" t="s">
        <v>17</v>
      </c>
      <c r="AY36" s="83"/>
      <c r="AZ36" s="56"/>
      <c r="BA36" s="56"/>
      <c r="BB36" s="56"/>
      <c r="BC36" s="56"/>
      <c r="BD36" s="56"/>
      <c r="BE36" s="56"/>
      <c r="BF36" s="56"/>
      <c r="BG36" s="56"/>
      <c r="BH36" s="56"/>
      <c r="BI36" s="56"/>
      <c r="BJ36" s="56"/>
      <c r="BK36" s="56"/>
      <c r="BL36" s="56"/>
      <c r="BM36" s="56"/>
      <c r="BN36" s="56"/>
      <c r="BO36" s="56"/>
      <c r="BP36" s="56"/>
      <c r="BQ36" s="56"/>
      <c r="BR36" s="56"/>
      <c r="BS36" s="56"/>
      <c r="BT36" s="56"/>
      <c r="BU36" s="56"/>
      <c r="BV36" s="56"/>
      <c r="BW36" s="56"/>
      <c r="BX36" s="56"/>
      <c r="BY36" s="56"/>
      <c r="BZ36" s="56"/>
      <c r="CA36" s="56"/>
      <c r="CB36" s="56"/>
      <c r="CC36" s="56"/>
      <c r="CD36" s="75"/>
      <c r="CE36" s="75"/>
      <c r="CF36" s="75"/>
      <c r="CG36" s="75"/>
      <c r="CH36" s="75"/>
      <c r="CI36" s="75"/>
      <c r="CJ36" s="75"/>
      <c r="CK36" s="75"/>
      <c r="CL36" s="75"/>
      <c r="CM36" s="75"/>
      <c r="CN36" s="75"/>
      <c r="CO36" s="75"/>
      <c r="CP36" s="75"/>
      <c r="CQ36" s="75"/>
      <c r="CR36" s="75"/>
      <c r="CS36" s="75"/>
      <c r="CT36" s="75"/>
      <c r="CU36" s="75"/>
      <c r="CV36" s="56"/>
      <c r="CW36" s="56"/>
      <c r="CX36" s="56"/>
      <c r="CY36" s="56"/>
      <c r="CZ36" s="56"/>
      <c r="DA36" s="56"/>
      <c r="DB36" s="56"/>
      <c r="DC36" s="56"/>
      <c r="DD36" s="56"/>
      <c r="DE36" s="3"/>
      <c r="DF36" s="3"/>
    </row>
    <row r="37" spans="1:110" ht="26" customHeight="1" thickBot="1">
      <c r="A37" s="55"/>
      <c r="B37" s="55"/>
      <c r="C37" s="55"/>
      <c r="D37" s="55"/>
      <c r="E37" s="55"/>
      <c r="F37" s="55"/>
      <c r="G37" s="55"/>
      <c r="H37" s="55"/>
      <c r="I37" s="55"/>
      <c r="J37" s="55"/>
      <c r="K37" s="88"/>
      <c r="L37" s="46" t="s">
        <v>17</v>
      </c>
      <c r="M37" s="47" t="s">
        <v>17</v>
      </c>
      <c r="N37" s="47" t="s">
        <v>17</v>
      </c>
      <c r="O37" s="47" t="s">
        <v>17</v>
      </c>
      <c r="P37" s="47" t="s">
        <v>17</v>
      </c>
      <c r="Q37" s="47" t="s">
        <v>17</v>
      </c>
      <c r="R37" s="47" t="s">
        <v>17</v>
      </c>
      <c r="S37" s="47" t="s">
        <v>17</v>
      </c>
      <c r="T37" s="47" t="s">
        <v>17</v>
      </c>
      <c r="U37" s="47" t="s">
        <v>17</v>
      </c>
      <c r="V37" s="47" t="s">
        <v>17</v>
      </c>
      <c r="W37" s="47" t="s">
        <v>17</v>
      </c>
      <c r="X37" s="47" t="s">
        <v>17</v>
      </c>
      <c r="Y37" s="47" t="s">
        <v>17</v>
      </c>
      <c r="Z37" s="47" t="s">
        <v>17</v>
      </c>
      <c r="AA37" s="47" t="s">
        <v>17</v>
      </c>
      <c r="AB37" s="47" t="s">
        <v>17</v>
      </c>
      <c r="AC37" s="47" t="s">
        <v>17</v>
      </c>
      <c r="AD37" s="47" t="s">
        <v>17</v>
      </c>
      <c r="AE37" s="47" t="s">
        <v>17</v>
      </c>
      <c r="AF37" s="47" t="s">
        <v>17</v>
      </c>
      <c r="AG37" s="47" t="s">
        <v>17</v>
      </c>
      <c r="AH37" s="47" t="s">
        <v>17</v>
      </c>
      <c r="AI37" s="47" t="s">
        <v>17</v>
      </c>
      <c r="AJ37" s="47" t="s">
        <v>17</v>
      </c>
      <c r="AK37" s="47" t="s">
        <v>17</v>
      </c>
      <c r="AL37" s="47" t="s">
        <v>17</v>
      </c>
      <c r="AM37" s="47" t="s">
        <v>17</v>
      </c>
      <c r="AN37" s="47" t="s">
        <v>17</v>
      </c>
      <c r="AO37" s="47" t="s">
        <v>17</v>
      </c>
      <c r="AP37" s="11" t="s">
        <v>17</v>
      </c>
      <c r="AQ37" s="47" t="s">
        <v>17</v>
      </c>
      <c r="AR37" s="47" t="s">
        <v>17</v>
      </c>
      <c r="AS37" s="47" t="s">
        <v>17</v>
      </c>
      <c r="AT37" s="47" t="s">
        <v>17</v>
      </c>
      <c r="AU37" s="47" t="s">
        <v>17</v>
      </c>
      <c r="AV37" s="47" t="s">
        <v>17</v>
      </c>
      <c r="AW37" s="47" t="s">
        <v>17</v>
      </c>
      <c r="AX37" s="64" t="s">
        <v>17</v>
      </c>
      <c r="AY37" s="83"/>
      <c r="AZ37" s="56"/>
      <c r="BA37" s="56"/>
      <c r="BB37" s="56"/>
      <c r="BC37" s="56"/>
      <c r="BD37" s="56"/>
      <c r="BE37" s="56"/>
      <c r="BF37" s="56"/>
      <c r="BG37" s="56"/>
      <c r="BH37" s="56"/>
      <c r="BI37" s="56"/>
      <c r="BJ37" s="56"/>
      <c r="BK37" s="56"/>
      <c r="BL37" s="56"/>
      <c r="BM37" s="56"/>
      <c r="BN37" s="56"/>
      <c r="BO37" s="56"/>
      <c r="BP37" s="56"/>
      <c r="BQ37" s="56"/>
      <c r="BR37" s="56"/>
      <c r="BS37" s="56"/>
      <c r="BT37" s="56"/>
      <c r="BU37" s="56"/>
      <c r="BV37" s="56"/>
      <c r="BW37" s="56"/>
      <c r="BX37" s="56"/>
      <c r="BY37" s="56"/>
      <c r="BZ37" s="56"/>
      <c r="CA37" s="56"/>
      <c r="CB37" s="56"/>
      <c r="CC37" s="56"/>
      <c r="CD37" s="75"/>
      <c r="CE37" s="75"/>
      <c r="CF37" s="75"/>
      <c r="CG37" s="75"/>
      <c r="CH37" s="75"/>
      <c r="CI37" s="75"/>
      <c r="CJ37" s="75"/>
      <c r="CK37" s="75"/>
      <c r="CL37" s="75"/>
      <c r="CM37" s="75"/>
      <c r="CN37" s="75"/>
      <c r="CO37" s="75"/>
      <c r="CP37" s="75"/>
      <c r="CQ37" s="75"/>
      <c r="CR37" s="75"/>
      <c r="CS37" s="75"/>
      <c r="CT37" s="75"/>
      <c r="CU37" s="75"/>
      <c r="CV37" s="56"/>
      <c r="CW37" s="56"/>
      <c r="CX37" s="56"/>
      <c r="CY37" s="56"/>
      <c r="CZ37" s="56"/>
      <c r="DA37" s="56"/>
      <c r="DB37" s="56"/>
      <c r="DC37" s="56"/>
      <c r="DD37" s="56"/>
      <c r="DE37" s="3"/>
      <c r="DF37" s="3"/>
    </row>
    <row r="38" spans="1:110" ht="61" customHeight="1" thickBot="1">
      <c r="A38" s="55"/>
      <c r="B38" s="55"/>
      <c r="C38" s="55"/>
      <c r="D38" s="55"/>
      <c r="E38" s="55"/>
      <c r="F38" s="55"/>
      <c r="G38" s="55"/>
      <c r="H38" s="55"/>
      <c r="I38" s="55"/>
      <c r="J38" s="55"/>
      <c r="K38" s="88"/>
      <c r="L38" s="46" t="s">
        <v>17</v>
      </c>
      <c r="M38" s="26"/>
      <c r="N38" s="47" t="s">
        <v>17</v>
      </c>
      <c r="O38" s="26"/>
      <c r="P38" s="47" t="s">
        <v>17</v>
      </c>
      <c r="Q38" s="26"/>
      <c r="R38" s="47" t="s">
        <v>17</v>
      </c>
      <c r="S38" s="26"/>
      <c r="T38" s="47" t="s">
        <v>17</v>
      </c>
      <c r="U38" s="26"/>
      <c r="V38" s="47" t="s">
        <v>17</v>
      </c>
      <c r="W38" s="26"/>
      <c r="X38" s="47" t="s">
        <v>17</v>
      </c>
      <c r="Y38" s="26"/>
      <c r="Z38" s="47" t="s">
        <v>17</v>
      </c>
      <c r="AA38" s="26"/>
      <c r="AB38" s="47" t="s">
        <v>17</v>
      </c>
      <c r="AC38" s="26"/>
      <c r="AD38" s="47" t="s">
        <v>17</v>
      </c>
      <c r="AE38" s="26"/>
      <c r="AF38" s="47" t="s">
        <v>17</v>
      </c>
      <c r="AG38" s="26"/>
      <c r="AH38" s="47" t="s">
        <v>17</v>
      </c>
      <c r="AI38" s="26"/>
      <c r="AJ38" s="47" t="s">
        <v>17</v>
      </c>
      <c r="AK38" s="26"/>
      <c r="AL38" s="47" t="s">
        <v>17</v>
      </c>
      <c r="AM38" s="26"/>
      <c r="AN38" s="47" t="s">
        <v>17</v>
      </c>
      <c r="AO38" s="26"/>
      <c r="AP38" s="47" t="s">
        <v>17</v>
      </c>
      <c r="AQ38" s="26"/>
      <c r="AR38" s="47" t="s">
        <v>17</v>
      </c>
      <c r="AS38" s="26"/>
      <c r="AT38" s="47" t="s">
        <v>17</v>
      </c>
      <c r="AU38" s="26"/>
      <c r="AV38" s="47" t="s">
        <v>17</v>
      </c>
      <c r="AW38" s="26"/>
      <c r="AX38" s="64" t="s">
        <v>17</v>
      </c>
      <c r="AY38" s="83"/>
      <c r="AZ38" s="56"/>
      <c r="BA38" s="56"/>
      <c r="BB38" s="56"/>
      <c r="BC38" s="56"/>
      <c r="BD38" s="56"/>
      <c r="BE38" s="56"/>
      <c r="BF38" s="56"/>
      <c r="BG38" s="56"/>
      <c r="BH38" s="56"/>
      <c r="BI38" s="56"/>
      <c r="BJ38" s="56"/>
      <c r="BK38" s="56"/>
      <c r="BL38" s="56"/>
      <c r="BM38" s="56"/>
      <c r="BN38" s="56"/>
      <c r="BO38" s="56"/>
      <c r="BP38" s="56"/>
      <c r="BQ38" s="56"/>
      <c r="BR38" s="56"/>
      <c r="BS38" s="56"/>
      <c r="BT38" s="56"/>
      <c r="BU38" s="56"/>
      <c r="BV38" s="56"/>
      <c r="BW38" s="56"/>
      <c r="BX38" s="56"/>
      <c r="BY38" s="56"/>
      <c r="BZ38" s="56"/>
      <c r="CA38" s="56"/>
      <c r="CB38" s="56"/>
      <c r="CC38" s="56"/>
      <c r="CD38" s="56"/>
      <c r="CE38" s="56"/>
      <c r="CF38" s="56"/>
      <c r="CG38" s="56"/>
      <c r="CH38" s="56"/>
      <c r="CI38" s="56"/>
      <c r="CJ38" s="56"/>
      <c r="CK38" s="56"/>
      <c r="CL38" s="56"/>
      <c r="CM38" s="56"/>
      <c r="CN38" s="56"/>
      <c r="CO38" s="56"/>
      <c r="CP38" s="56"/>
      <c r="CQ38" s="56"/>
      <c r="CR38" s="56"/>
      <c r="CS38" s="56"/>
      <c r="CT38" s="56"/>
      <c r="CU38" s="56"/>
      <c r="CV38" s="56"/>
      <c r="CW38" s="56"/>
      <c r="CX38" s="56"/>
      <c r="CY38" s="56"/>
      <c r="CZ38" s="56"/>
      <c r="DA38" s="56"/>
      <c r="DB38" s="56"/>
      <c r="DC38" s="56"/>
      <c r="DD38" s="56"/>
      <c r="DE38" s="3"/>
      <c r="DF38" s="3"/>
    </row>
    <row r="39" spans="1:110" ht="26" customHeight="1" thickBot="1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88"/>
      <c r="L39" s="46" t="s">
        <v>17</v>
      </c>
      <c r="M39" s="47" t="s">
        <v>17</v>
      </c>
      <c r="N39" s="47" t="s">
        <v>17</v>
      </c>
      <c r="O39" s="47" t="s">
        <v>17</v>
      </c>
      <c r="P39" s="47" t="s">
        <v>17</v>
      </c>
      <c r="Q39" s="47" t="s">
        <v>17</v>
      </c>
      <c r="R39" s="47" t="s">
        <v>17</v>
      </c>
      <c r="S39" s="47" t="s">
        <v>17</v>
      </c>
      <c r="T39" s="47" t="s">
        <v>17</v>
      </c>
      <c r="U39" s="47" t="s">
        <v>17</v>
      </c>
      <c r="V39" s="47" t="s">
        <v>17</v>
      </c>
      <c r="W39" s="47" t="s">
        <v>17</v>
      </c>
      <c r="X39" s="47" t="s">
        <v>17</v>
      </c>
      <c r="Y39" s="47" t="s">
        <v>17</v>
      </c>
      <c r="Z39" s="47" t="s">
        <v>17</v>
      </c>
      <c r="AA39" s="47" t="s">
        <v>17</v>
      </c>
      <c r="AB39" s="47" t="s">
        <v>17</v>
      </c>
      <c r="AC39" s="47" t="s">
        <v>17</v>
      </c>
      <c r="AD39" s="47" t="s">
        <v>17</v>
      </c>
      <c r="AE39" s="47" t="s">
        <v>17</v>
      </c>
      <c r="AF39" s="47" t="s">
        <v>17</v>
      </c>
      <c r="AG39" s="47" t="s">
        <v>17</v>
      </c>
      <c r="AH39" s="47" t="s">
        <v>17</v>
      </c>
      <c r="AI39" s="47" t="s">
        <v>17</v>
      </c>
      <c r="AJ39" s="47" t="s">
        <v>17</v>
      </c>
      <c r="AK39" s="47" t="s">
        <v>17</v>
      </c>
      <c r="AL39" s="47" t="s">
        <v>17</v>
      </c>
      <c r="AM39" s="47" t="s">
        <v>17</v>
      </c>
      <c r="AN39" s="47" t="s">
        <v>17</v>
      </c>
      <c r="AO39" s="47" t="s">
        <v>17</v>
      </c>
      <c r="AP39" s="11" t="s">
        <v>17</v>
      </c>
      <c r="AQ39" s="47" t="s">
        <v>17</v>
      </c>
      <c r="AR39" s="47" t="s">
        <v>17</v>
      </c>
      <c r="AS39" s="47" t="s">
        <v>17</v>
      </c>
      <c r="AT39" s="47" t="s">
        <v>17</v>
      </c>
      <c r="AU39" s="47" t="s">
        <v>17</v>
      </c>
      <c r="AV39" s="47" t="s">
        <v>17</v>
      </c>
      <c r="AW39" s="47" t="s">
        <v>17</v>
      </c>
      <c r="AX39" s="64" t="s">
        <v>17</v>
      </c>
      <c r="AY39" s="83"/>
      <c r="AZ39" s="56"/>
      <c r="BA39" s="56"/>
      <c r="BB39" s="56"/>
      <c r="BC39" s="56"/>
      <c r="BD39" s="56"/>
      <c r="BE39" s="56"/>
      <c r="BF39" s="56"/>
      <c r="BG39" s="56"/>
      <c r="BH39" s="56"/>
      <c r="BI39" s="56"/>
      <c r="BJ39" s="56"/>
      <c r="BK39" s="56"/>
      <c r="BL39" s="56"/>
      <c r="BM39" s="56"/>
      <c r="BN39" s="56"/>
      <c r="BO39" s="56"/>
      <c r="BP39" s="56"/>
      <c r="BQ39" s="56"/>
      <c r="BR39" s="56"/>
      <c r="BS39" s="56"/>
      <c r="BT39" s="56"/>
      <c r="BU39" s="56"/>
      <c r="BV39" s="56"/>
      <c r="BW39" s="56"/>
      <c r="BX39" s="56"/>
      <c r="BY39" s="56"/>
      <c r="BZ39" s="56"/>
      <c r="CA39" s="56"/>
      <c r="CB39" s="56"/>
      <c r="CC39" s="56"/>
      <c r="CD39" s="56"/>
      <c r="CE39" s="56"/>
      <c r="CF39" s="56"/>
      <c r="CG39" s="56"/>
      <c r="CH39" s="56"/>
      <c r="CI39" s="56"/>
      <c r="CJ39" s="56"/>
      <c r="CK39" s="56"/>
      <c r="CL39" s="56"/>
      <c r="CM39" s="56"/>
      <c r="CN39" s="56"/>
      <c r="CO39" s="56"/>
      <c r="CP39" s="56"/>
      <c r="CQ39" s="56"/>
      <c r="CR39" s="56"/>
      <c r="CS39" s="56"/>
      <c r="CT39" s="56"/>
      <c r="CU39" s="56"/>
      <c r="CV39" s="56"/>
      <c r="CW39" s="56"/>
      <c r="CX39" s="56"/>
      <c r="CY39" s="56"/>
      <c r="CZ39" s="56"/>
      <c r="DA39" s="56"/>
      <c r="DB39" s="56"/>
      <c r="DC39" s="56"/>
      <c r="DD39" s="56"/>
      <c r="DE39" s="3"/>
      <c r="DF39" s="3"/>
    </row>
    <row r="40" spans="1:110" ht="61" customHeight="1" thickBot="1">
      <c r="A40" s="55"/>
      <c r="B40" s="55"/>
      <c r="C40" s="55"/>
      <c r="D40" s="55"/>
      <c r="E40" s="55"/>
      <c r="F40" s="55"/>
      <c r="G40" s="55"/>
      <c r="H40" s="55"/>
      <c r="I40" s="55"/>
      <c r="J40" s="55"/>
      <c r="K40" s="88"/>
      <c r="L40" s="46" t="s">
        <v>17</v>
      </c>
      <c r="M40" s="26"/>
      <c r="N40" s="47" t="s">
        <v>17</v>
      </c>
      <c r="O40" s="26"/>
      <c r="P40" s="47" t="s">
        <v>17</v>
      </c>
      <c r="Q40" s="26"/>
      <c r="R40" s="47" t="s">
        <v>17</v>
      </c>
      <c r="S40" s="26"/>
      <c r="T40" s="47" t="s">
        <v>17</v>
      </c>
      <c r="U40" s="26"/>
      <c r="V40" s="47" t="s">
        <v>17</v>
      </c>
      <c r="W40" s="26"/>
      <c r="X40" s="47" t="s">
        <v>17</v>
      </c>
      <c r="Y40" s="26"/>
      <c r="Z40" s="47" t="s">
        <v>17</v>
      </c>
      <c r="AA40" s="26"/>
      <c r="AB40" s="47" t="s">
        <v>17</v>
      </c>
      <c r="AC40" s="26"/>
      <c r="AD40" s="47" t="s">
        <v>17</v>
      </c>
      <c r="AE40" s="26"/>
      <c r="AF40" s="47" t="s">
        <v>17</v>
      </c>
      <c r="AG40" s="26"/>
      <c r="AH40" s="47" t="s">
        <v>17</v>
      </c>
      <c r="AI40" s="26"/>
      <c r="AJ40" s="47" t="s">
        <v>17</v>
      </c>
      <c r="AK40" s="26"/>
      <c r="AL40" s="47" t="s">
        <v>17</v>
      </c>
      <c r="AM40" s="26"/>
      <c r="AN40" s="47" t="s">
        <v>17</v>
      </c>
      <c r="AO40" s="26"/>
      <c r="AP40" s="47" t="s">
        <v>17</v>
      </c>
      <c r="AQ40" s="26"/>
      <c r="AR40" s="47" t="s">
        <v>17</v>
      </c>
      <c r="AS40" s="26"/>
      <c r="AT40" s="47" t="s">
        <v>17</v>
      </c>
      <c r="AU40" s="26"/>
      <c r="AV40" s="47" t="s">
        <v>17</v>
      </c>
      <c r="AW40" s="26"/>
      <c r="AX40" s="64" t="s">
        <v>17</v>
      </c>
      <c r="AY40" s="83"/>
      <c r="AZ40" s="56"/>
      <c r="BA40" s="56"/>
      <c r="BB40" s="56"/>
      <c r="BC40" s="56"/>
      <c r="BD40" s="56"/>
      <c r="BE40" s="56"/>
      <c r="BF40" s="56"/>
      <c r="BG40" s="56"/>
      <c r="BH40" s="56"/>
      <c r="BI40" s="56"/>
      <c r="BJ40" s="56"/>
      <c r="BK40" s="56"/>
      <c r="BL40" s="56"/>
      <c r="BM40" s="56"/>
      <c r="BN40" s="56"/>
      <c r="BO40" s="56"/>
      <c r="BP40" s="56"/>
      <c r="BQ40" s="56"/>
      <c r="BR40" s="56"/>
      <c r="BS40" s="56"/>
      <c r="BT40" s="56"/>
      <c r="BU40" s="56"/>
      <c r="BV40" s="56"/>
      <c r="BW40" s="56"/>
      <c r="BX40" s="56"/>
      <c r="BY40" s="56"/>
      <c r="BZ40" s="56"/>
      <c r="CA40" s="56"/>
      <c r="CB40" s="56"/>
      <c r="CC40" s="56"/>
      <c r="CD40" s="56"/>
      <c r="CE40" s="56"/>
      <c r="CF40" s="56"/>
      <c r="CG40" s="56"/>
      <c r="CH40" s="56"/>
      <c r="CI40" s="56"/>
      <c r="CJ40" s="56"/>
      <c r="CK40" s="56"/>
      <c r="CL40" s="56"/>
      <c r="CM40" s="56"/>
      <c r="CN40" s="56"/>
      <c r="CO40" s="56"/>
      <c r="CP40" s="56"/>
      <c r="CQ40" s="56"/>
      <c r="CR40" s="56"/>
      <c r="CS40" s="56"/>
      <c r="CT40" s="56"/>
      <c r="CU40" s="56"/>
      <c r="CV40" s="56"/>
      <c r="CW40" s="56"/>
      <c r="CX40" s="56"/>
      <c r="CY40" s="56"/>
      <c r="CZ40" s="56"/>
      <c r="DA40" s="56"/>
      <c r="DB40" s="56"/>
      <c r="DC40" s="56"/>
      <c r="DD40" s="56"/>
      <c r="DE40" s="3"/>
      <c r="DF40" s="3"/>
    </row>
    <row r="41" spans="1:110" ht="21" customHeight="1" thickBot="1">
      <c r="A41" s="55"/>
      <c r="B41" s="55"/>
      <c r="C41" s="55"/>
      <c r="D41" s="55"/>
      <c r="E41" s="55"/>
      <c r="F41" s="55"/>
      <c r="G41" s="55"/>
      <c r="H41" s="55"/>
      <c r="I41" s="55"/>
      <c r="J41" s="55"/>
      <c r="K41" s="88"/>
      <c r="L41" s="65" t="s">
        <v>17</v>
      </c>
      <c r="M41" s="66" t="s">
        <v>17</v>
      </c>
      <c r="N41" s="66" t="s">
        <v>17</v>
      </c>
      <c r="O41" s="66" t="s">
        <v>17</v>
      </c>
      <c r="P41" s="66" t="s">
        <v>17</v>
      </c>
      <c r="Q41" s="66" t="s">
        <v>17</v>
      </c>
      <c r="R41" s="66" t="s">
        <v>17</v>
      </c>
      <c r="S41" s="67" t="s">
        <v>17</v>
      </c>
      <c r="T41" s="66" t="s">
        <v>17</v>
      </c>
      <c r="U41" s="67" t="s">
        <v>17</v>
      </c>
      <c r="V41" s="66" t="s">
        <v>17</v>
      </c>
      <c r="W41" s="66" t="s">
        <v>17</v>
      </c>
      <c r="X41" s="66" t="s">
        <v>17</v>
      </c>
      <c r="Y41" s="66" t="s">
        <v>17</v>
      </c>
      <c r="Z41" s="66" t="s">
        <v>17</v>
      </c>
      <c r="AA41" s="66" t="s">
        <v>17</v>
      </c>
      <c r="AB41" s="66" t="s">
        <v>17</v>
      </c>
      <c r="AC41" s="66" t="s">
        <v>17</v>
      </c>
      <c r="AD41" s="66" t="s">
        <v>17</v>
      </c>
      <c r="AE41" s="66" t="s">
        <v>17</v>
      </c>
      <c r="AF41" s="66" t="s">
        <v>17</v>
      </c>
      <c r="AG41" s="66" t="s">
        <v>17</v>
      </c>
      <c r="AH41" s="66" t="s">
        <v>17</v>
      </c>
      <c r="AI41" s="66" t="s">
        <v>17</v>
      </c>
      <c r="AJ41" s="66" t="s">
        <v>17</v>
      </c>
      <c r="AK41" s="66" t="s">
        <v>17</v>
      </c>
      <c r="AL41" s="66" t="s">
        <v>17</v>
      </c>
      <c r="AM41" s="66" t="s">
        <v>17</v>
      </c>
      <c r="AN41" s="66" t="s">
        <v>17</v>
      </c>
      <c r="AO41" s="66" t="s">
        <v>17</v>
      </c>
      <c r="AP41" s="66" t="s">
        <v>17</v>
      </c>
      <c r="AQ41" s="66" t="s">
        <v>17</v>
      </c>
      <c r="AR41" s="66" t="s">
        <v>17</v>
      </c>
      <c r="AS41" s="66" t="s">
        <v>17</v>
      </c>
      <c r="AT41" s="66" t="s">
        <v>17</v>
      </c>
      <c r="AU41" s="66" t="s">
        <v>17</v>
      </c>
      <c r="AV41" s="66" t="s">
        <v>17</v>
      </c>
      <c r="AW41" s="66" t="s">
        <v>17</v>
      </c>
      <c r="AX41" s="68" t="s">
        <v>17</v>
      </c>
      <c r="AY41" s="83"/>
      <c r="AZ41" s="56"/>
      <c r="BA41" s="56"/>
      <c r="BB41" s="56"/>
      <c r="BC41" s="56"/>
      <c r="BD41" s="56"/>
      <c r="BE41" s="56"/>
      <c r="BF41" s="56"/>
      <c r="BG41" s="56"/>
      <c r="BH41" s="56"/>
      <c r="BI41" s="56"/>
      <c r="BJ41" s="56"/>
      <c r="BK41" s="56"/>
      <c r="BL41" s="56"/>
      <c r="BM41" s="56"/>
      <c r="BN41" s="56"/>
      <c r="BO41" s="56"/>
      <c r="BP41" s="56"/>
      <c r="BQ41" s="56"/>
      <c r="BR41" s="56"/>
      <c r="BS41" s="56"/>
      <c r="BT41" s="56"/>
      <c r="BU41" s="56"/>
      <c r="BV41" s="56"/>
      <c r="BW41" s="56"/>
      <c r="BX41" s="56"/>
      <c r="BY41" s="56"/>
      <c r="BZ41" s="56"/>
      <c r="CA41" s="56"/>
      <c r="CB41" s="56"/>
      <c r="CC41" s="56"/>
      <c r="CD41" s="56"/>
      <c r="CE41" s="56"/>
      <c r="CF41" s="56"/>
      <c r="CG41" s="56"/>
      <c r="CH41" s="56"/>
      <c r="CI41" s="56"/>
      <c r="CJ41" s="56"/>
      <c r="CK41" s="56"/>
      <c r="CL41" s="56"/>
      <c r="CM41" s="56"/>
      <c r="CN41" s="56"/>
      <c r="CO41" s="56"/>
      <c r="CP41" s="56"/>
      <c r="CQ41" s="56"/>
      <c r="CR41" s="56"/>
      <c r="CS41" s="56"/>
      <c r="CT41" s="56"/>
      <c r="CU41" s="56"/>
      <c r="CV41" s="56"/>
      <c r="CW41" s="56"/>
      <c r="CX41" s="56"/>
      <c r="CY41" s="56"/>
      <c r="CZ41" s="56"/>
      <c r="DA41" s="56"/>
      <c r="DB41" s="56"/>
      <c r="DC41" s="56"/>
      <c r="DD41" s="56"/>
      <c r="DE41" s="3"/>
      <c r="DF41" s="3"/>
    </row>
    <row r="42" spans="1:110" ht="30" customHeight="1" thickBot="1">
      <c r="A42" s="55"/>
      <c r="B42" s="55"/>
      <c r="C42" s="55"/>
      <c r="D42" s="55"/>
      <c r="E42" s="55"/>
      <c r="F42" s="55"/>
      <c r="G42" s="55"/>
      <c r="H42" s="55"/>
      <c r="I42" s="55"/>
      <c r="J42" s="55"/>
      <c r="K42" s="85"/>
      <c r="L42" s="86"/>
      <c r="M42" s="86"/>
      <c r="N42" s="86"/>
      <c r="O42" s="86"/>
      <c r="P42" s="86"/>
      <c r="Q42" s="86"/>
      <c r="R42" s="86"/>
      <c r="S42" s="86"/>
      <c r="T42" s="86"/>
      <c r="U42" s="86"/>
      <c r="V42" s="87"/>
      <c r="W42" s="86"/>
      <c r="X42" s="86"/>
      <c r="Y42" s="86"/>
      <c r="Z42" s="86"/>
      <c r="AA42" s="86"/>
      <c r="AB42" s="87"/>
      <c r="AC42" s="86"/>
      <c r="AD42" s="87"/>
      <c r="AE42" s="87"/>
      <c r="AF42" s="86"/>
      <c r="AG42" s="86"/>
      <c r="AH42" s="87"/>
      <c r="AI42" s="86"/>
      <c r="AJ42" s="86"/>
      <c r="AK42" s="86"/>
      <c r="AL42" s="87"/>
      <c r="AM42" s="86"/>
      <c r="AN42" s="86"/>
      <c r="AO42" s="86"/>
      <c r="AP42" s="86"/>
      <c r="AQ42" s="86"/>
      <c r="AR42" s="86"/>
      <c r="AS42" s="86"/>
      <c r="AT42" s="86"/>
      <c r="AU42" s="86"/>
      <c r="AV42" s="86"/>
      <c r="AW42" s="86"/>
      <c r="AX42" s="86"/>
      <c r="AY42" s="84"/>
      <c r="AZ42" s="56"/>
      <c r="BA42" s="56"/>
      <c r="BB42" s="56"/>
      <c r="BC42" s="56"/>
      <c r="BD42" s="56"/>
      <c r="BE42" s="56"/>
      <c r="BF42" s="56"/>
      <c r="BG42" s="56"/>
      <c r="BH42" s="56"/>
      <c r="BI42" s="56"/>
      <c r="BJ42" s="56"/>
      <c r="BK42" s="56"/>
      <c r="BL42" s="56"/>
      <c r="BM42" s="56"/>
      <c r="BN42" s="56"/>
      <c r="BO42" s="56"/>
      <c r="BP42" s="56"/>
      <c r="BQ42" s="56"/>
      <c r="BR42" s="56"/>
      <c r="BS42" s="56"/>
      <c r="BT42" s="56"/>
      <c r="BU42" s="56"/>
      <c r="BV42" s="56"/>
      <c r="BW42" s="56"/>
      <c r="BX42" s="56"/>
      <c r="BY42" s="56"/>
      <c r="BZ42" s="56"/>
      <c r="CA42" s="56"/>
      <c r="CB42" s="56"/>
      <c r="CC42" s="56"/>
      <c r="CD42" s="56"/>
      <c r="CE42" s="56"/>
      <c r="CF42" s="56"/>
      <c r="CG42" s="56"/>
      <c r="CH42" s="56"/>
      <c r="CI42" s="56"/>
      <c r="CJ42" s="56"/>
      <c r="CK42" s="56"/>
      <c r="CL42" s="56"/>
      <c r="CM42" s="56"/>
      <c r="CN42" s="56"/>
      <c r="CO42" s="56"/>
      <c r="CP42" s="56"/>
      <c r="CQ42" s="56"/>
      <c r="CR42" s="56"/>
      <c r="CS42" s="56"/>
      <c r="CT42" s="56"/>
      <c r="CU42" s="56"/>
      <c r="CV42" s="56"/>
      <c r="CW42" s="56"/>
      <c r="CX42" s="56"/>
      <c r="CY42" s="56"/>
      <c r="CZ42" s="56"/>
      <c r="DA42" s="56"/>
      <c r="DB42" s="56"/>
      <c r="DC42" s="56"/>
      <c r="DD42" s="56"/>
      <c r="DE42" s="3"/>
      <c r="DF42" s="3"/>
    </row>
    <row r="43" spans="1:110" ht="21" customHeight="1">
      <c r="A43" s="55"/>
      <c r="B43" s="55"/>
      <c r="C43" s="55"/>
      <c r="D43" s="55"/>
      <c r="E43" s="55"/>
      <c r="F43" s="55"/>
      <c r="G43" s="55"/>
      <c r="H43" s="55"/>
      <c r="I43" s="55"/>
      <c r="J43" s="55"/>
      <c r="K43" s="56"/>
      <c r="L43" s="56"/>
      <c r="M43" s="56"/>
      <c r="N43" s="56"/>
      <c r="O43" s="56"/>
      <c r="P43" s="56"/>
      <c r="Q43" s="56"/>
      <c r="R43" s="56"/>
      <c r="S43" s="56"/>
      <c r="T43" s="56"/>
      <c r="U43" s="56"/>
      <c r="V43" s="56"/>
      <c r="W43" s="56"/>
      <c r="X43" s="56"/>
      <c r="Y43" s="56"/>
      <c r="Z43" s="56"/>
      <c r="AA43" s="56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6"/>
      <c r="BA43" s="56"/>
      <c r="BB43" s="56"/>
      <c r="BC43" s="56"/>
      <c r="BD43" s="56"/>
      <c r="BE43" s="56"/>
      <c r="BF43" s="56"/>
      <c r="BG43" s="56"/>
      <c r="BH43" s="56"/>
      <c r="BI43" s="56"/>
      <c r="BJ43" s="56"/>
      <c r="BK43" s="56"/>
      <c r="BL43" s="56"/>
      <c r="BM43" s="56"/>
      <c r="BN43" s="56"/>
      <c r="BO43" s="56"/>
      <c r="BP43" s="56"/>
      <c r="BQ43" s="56"/>
      <c r="BR43" s="56"/>
      <c r="BS43" s="56"/>
      <c r="BT43" s="56"/>
      <c r="BU43" s="56"/>
      <c r="BV43" s="56"/>
      <c r="BW43" s="56"/>
      <c r="BX43" s="56"/>
      <c r="BY43" s="56"/>
      <c r="BZ43" s="56"/>
      <c r="CA43" s="56"/>
      <c r="CB43" s="56"/>
      <c r="CC43" s="56"/>
      <c r="CD43" s="56"/>
      <c r="CE43" s="56"/>
      <c r="CF43" s="56"/>
      <c r="CG43" s="56"/>
      <c r="CH43" s="56"/>
      <c r="CI43" s="56"/>
      <c r="CJ43" s="56"/>
      <c r="CK43" s="56"/>
      <c r="CL43" s="56"/>
      <c r="CM43" s="56"/>
      <c r="CN43" s="56"/>
      <c r="CO43" s="56"/>
      <c r="CP43" s="56"/>
      <c r="CQ43" s="56"/>
      <c r="CR43" s="56"/>
      <c r="CS43" s="56"/>
      <c r="CT43" s="56"/>
      <c r="CU43" s="56"/>
      <c r="CV43" s="56"/>
      <c r="CW43" s="56"/>
      <c r="CX43" s="56"/>
      <c r="CY43" s="56"/>
      <c r="CZ43" s="56"/>
      <c r="DA43" s="56"/>
      <c r="DB43" s="56"/>
      <c r="DC43" s="56"/>
      <c r="DD43" s="56"/>
      <c r="DE43" s="3"/>
      <c r="DF43" s="3"/>
    </row>
    <row r="44" spans="1:110" ht="21" customHeight="1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56"/>
      <c r="L44" s="56"/>
      <c r="M44" s="56"/>
      <c r="N44" s="56"/>
      <c r="O44" s="56"/>
      <c r="P44" s="56"/>
      <c r="Q44" s="56"/>
      <c r="R44" s="56"/>
      <c r="S44" s="56"/>
      <c r="T44" s="56"/>
      <c r="U44" s="56"/>
      <c r="V44" s="56"/>
      <c r="W44" s="56"/>
      <c r="X44" s="56"/>
      <c r="Y44" s="56"/>
      <c r="Z44" s="56"/>
      <c r="AA44" s="56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6"/>
      <c r="BA44" s="56"/>
      <c r="BB44" s="56"/>
      <c r="BC44" s="56"/>
      <c r="BD44" s="56"/>
      <c r="BE44" s="56"/>
      <c r="BF44" s="56"/>
      <c r="BG44" s="56"/>
      <c r="BH44" s="56"/>
      <c r="BI44" s="56"/>
      <c r="BJ44" s="56"/>
      <c r="BK44" s="56"/>
      <c r="BL44" s="56"/>
      <c r="BM44" s="56"/>
      <c r="BN44" s="56"/>
      <c r="BO44" s="56"/>
      <c r="BP44" s="56"/>
      <c r="BQ44" s="56"/>
      <c r="BR44" s="56"/>
      <c r="BS44" s="56"/>
      <c r="BT44" s="56"/>
      <c r="BU44" s="56"/>
      <c r="BV44" s="56"/>
      <c r="BW44" s="56"/>
      <c r="BX44" s="56"/>
      <c r="BY44" s="56"/>
      <c r="BZ44" s="56"/>
      <c r="CA44" s="56"/>
      <c r="CB44" s="56"/>
      <c r="CC44" s="56"/>
      <c r="CD44" s="56"/>
      <c r="CE44" s="56"/>
      <c r="CF44" s="56"/>
      <c r="CG44" s="56"/>
      <c r="CH44" s="56"/>
      <c r="CI44" s="56"/>
      <c r="CJ44" s="56"/>
      <c r="CK44" s="56"/>
      <c r="CL44" s="56"/>
      <c r="CM44" s="56"/>
      <c r="CN44" s="56"/>
      <c r="CO44" s="56"/>
      <c r="CP44" s="56"/>
      <c r="CQ44" s="56"/>
      <c r="CR44" s="56"/>
      <c r="CS44" s="56"/>
      <c r="CT44" s="56"/>
      <c r="CU44" s="56"/>
      <c r="CV44" s="56"/>
      <c r="CW44" s="56"/>
      <c r="CX44" s="56"/>
      <c r="CY44" s="56"/>
      <c r="CZ44" s="56"/>
      <c r="DA44" s="56"/>
      <c r="DB44" s="56"/>
      <c r="DC44" s="56"/>
      <c r="DD44" s="56"/>
      <c r="DE44" s="3"/>
      <c r="DF44" s="3"/>
    </row>
    <row r="45" spans="1:110" ht="21" customHeight="1">
      <c r="A45" s="55"/>
      <c r="B45" s="55"/>
      <c r="C45" s="55"/>
      <c r="D45" s="55"/>
      <c r="E45" s="55"/>
      <c r="F45" s="55"/>
      <c r="G45" s="55"/>
      <c r="H45" s="55"/>
      <c r="I45" s="55"/>
      <c r="J45" s="55"/>
      <c r="K45" s="56"/>
      <c r="L45" s="56"/>
      <c r="M45" s="56"/>
      <c r="N45" s="56"/>
      <c r="O45" s="56"/>
      <c r="P45" s="56"/>
      <c r="Q45" s="56"/>
      <c r="R45" s="56"/>
      <c r="S45" s="56"/>
      <c r="T45" s="56"/>
      <c r="U45" s="56"/>
      <c r="V45" s="56"/>
      <c r="W45" s="56"/>
      <c r="X45" s="56"/>
      <c r="Y45" s="56"/>
      <c r="Z45" s="56"/>
      <c r="AA45" s="56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6"/>
      <c r="BA45" s="56"/>
      <c r="BB45" s="56"/>
      <c r="BC45" s="56"/>
      <c r="BD45" s="56"/>
      <c r="BE45" s="56"/>
      <c r="BF45" s="56"/>
      <c r="BG45" s="56"/>
      <c r="BH45" s="56"/>
      <c r="BI45" s="56"/>
      <c r="BJ45" s="56"/>
      <c r="BK45" s="56"/>
      <c r="BL45" s="56"/>
      <c r="BM45" s="56"/>
      <c r="BN45" s="56"/>
      <c r="BO45" s="56"/>
      <c r="BP45" s="56"/>
      <c r="BQ45" s="56"/>
      <c r="BR45" s="56"/>
      <c r="BS45" s="56"/>
      <c r="BT45" s="56"/>
      <c r="BU45" s="56"/>
      <c r="BV45" s="56"/>
      <c r="BW45" s="56"/>
      <c r="BX45" s="56"/>
      <c r="BY45" s="56"/>
      <c r="BZ45" s="56"/>
      <c r="CA45" s="56"/>
      <c r="CB45" s="56"/>
      <c r="CC45" s="56"/>
      <c r="CD45" s="56"/>
      <c r="CE45" s="56"/>
      <c r="CF45" s="56"/>
      <c r="CG45" s="56"/>
      <c r="CH45" s="56"/>
      <c r="CI45" s="56"/>
      <c r="CJ45" s="56"/>
      <c r="CK45" s="56"/>
      <c r="CL45" s="56"/>
      <c r="CM45" s="56"/>
      <c r="CN45" s="56"/>
      <c r="CO45" s="56"/>
      <c r="CP45" s="56"/>
      <c r="CQ45" s="56"/>
      <c r="CR45" s="56"/>
      <c r="CS45" s="56"/>
      <c r="CT45" s="56"/>
      <c r="CU45" s="56"/>
      <c r="CV45" s="56"/>
      <c r="CW45" s="56"/>
      <c r="CX45" s="56"/>
      <c r="CY45" s="56"/>
      <c r="CZ45" s="56"/>
      <c r="DA45" s="56"/>
      <c r="DB45" s="56"/>
      <c r="DC45" s="56"/>
      <c r="DD45" s="56"/>
      <c r="DE45" s="3"/>
      <c r="DF45" s="3"/>
    </row>
    <row r="46" spans="1:110" ht="21" customHeight="1">
      <c r="A46" s="55"/>
      <c r="B46" s="55"/>
      <c r="C46" s="55"/>
      <c r="D46" s="55"/>
      <c r="E46" s="55"/>
      <c r="F46" s="55"/>
      <c r="G46" s="55"/>
      <c r="H46" s="55"/>
      <c r="I46" s="55"/>
      <c r="J46" s="55"/>
      <c r="K46" s="56"/>
      <c r="L46" s="56"/>
      <c r="M46" s="56"/>
      <c r="N46" s="56"/>
      <c r="O46" s="56"/>
      <c r="P46" s="56"/>
      <c r="Q46" s="56"/>
      <c r="R46" s="56"/>
      <c r="S46" s="56"/>
      <c r="T46" s="56"/>
      <c r="U46" s="56"/>
      <c r="V46" s="56"/>
      <c r="W46" s="56"/>
      <c r="X46" s="56"/>
      <c r="Y46" s="56"/>
      <c r="Z46" s="56"/>
      <c r="AA46" s="56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6"/>
      <c r="BA46" s="56"/>
      <c r="BB46" s="56"/>
      <c r="BC46" s="56"/>
      <c r="BD46" s="56"/>
      <c r="BE46" s="56"/>
      <c r="BF46" s="56"/>
      <c r="BG46" s="56"/>
      <c r="BH46" s="56"/>
      <c r="BI46" s="56"/>
      <c r="BJ46" s="56"/>
      <c r="BK46" s="56"/>
      <c r="BL46" s="56"/>
      <c r="BM46" s="56"/>
      <c r="BN46" s="56"/>
      <c r="BO46" s="56"/>
      <c r="BP46" s="56"/>
      <c r="BQ46" s="56"/>
      <c r="BR46" s="56"/>
      <c r="BS46" s="56"/>
      <c r="BT46" s="56"/>
      <c r="BU46" s="56"/>
      <c r="BV46" s="56"/>
      <c r="BW46" s="56"/>
      <c r="BX46" s="56"/>
      <c r="BY46" s="56"/>
      <c r="BZ46" s="56"/>
      <c r="CA46" s="56"/>
      <c r="CB46" s="56"/>
      <c r="CC46" s="56"/>
      <c r="CD46" s="56"/>
      <c r="CE46" s="56"/>
      <c r="CF46" s="56"/>
      <c r="CG46" s="56"/>
      <c r="CH46" s="56"/>
      <c r="CI46" s="56"/>
      <c r="CJ46" s="56"/>
      <c r="CK46" s="56"/>
      <c r="CL46" s="56"/>
      <c r="CM46" s="56"/>
      <c r="CN46" s="56"/>
      <c r="CO46" s="56"/>
      <c r="CP46" s="56"/>
      <c r="CQ46" s="56"/>
      <c r="CR46" s="56"/>
      <c r="CS46" s="56"/>
      <c r="CT46" s="56"/>
      <c r="CU46" s="56"/>
      <c r="CV46" s="56"/>
      <c r="CW46" s="56"/>
      <c r="CX46" s="56"/>
      <c r="CY46" s="56"/>
      <c r="CZ46" s="56"/>
      <c r="DA46" s="56"/>
      <c r="DB46" s="56"/>
      <c r="DC46" s="56"/>
      <c r="DD46" s="56"/>
      <c r="DE46" s="3"/>
      <c r="DF46" s="3"/>
    </row>
  </sheetData>
  <sheetProtection selectLockedCells="1"/>
  <mergeCells count="7">
    <mergeCell ref="BE2:CW6"/>
    <mergeCell ref="BI17:BP20"/>
    <mergeCell ref="CF17:CM20"/>
    <mergeCell ref="BI14:BX16"/>
    <mergeCell ref="CF14:CU16"/>
    <mergeCell ref="CD10:CU12"/>
    <mergeCell ref="BG10:BX12"/>
  </mergeCells>
  <phoneticPr fontId="1" type="noConversion"/>
  <conditionalFormatting sqref="BI17">
    <cfRule type="expression" dxfId="383" priority="696">
      <formula>$BI$17=$DE$1</formula>
    </cfRule>
  </conditionalFormatting>
  <conditionalFormatting sqref="CF17">
    <cfRule type="expression" dxfId="382" priority="695">
      <formula>$CF$17=$DE$1</formula>
    </cfRule>
  </conditionalFormatting>
  <conditionalFormatting sqref="BG10:BX16">
    <cfRule type="expression" dxfId="381" priority="694">
      <formula>$BI$17=$DE$1</formula>
    </cfRule>
  </conditionalFormatting>
  <conditionalFormatting sqref="CD10:CU16">
    <cfRule type="expression" dxfId="380" priority="693">
      <formula>$CF$17=$DE$1</formula>
    </cfRule>
  </conditionalFormatting>
  <conditionalFormatting sqref="L3:AX41">
    <cfRule type="expression" dxfId="379" priority="697">
      <formula>AND(NOT($DF$22=""),L3=$DF$22)</formula>
    </cfRule>
    <cfRule type="expression" dxfId="378" priority="698">
      <formula>L3=$BI$17</formula>
    </cfRule>
    <cfRule type="expression" dxfId="377" priority="699">
      <formula>L3=$CF$17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3" name="Scroll Bar 9">
              <controlPr defaultSize="0" print="0" autoPict="0">
                <anchor moveWithCells="1">
                  <from>
                    <xdr:col>59</xdr:col>
                    <xdr:colOff>279400</xdr:colOff>
                    <xdr:row>19</xdr:row>
                    <xdr:rowOff>749300</xdr:rowOff>
                  </from>
                  <to>
                    <xdr:col>68</xdr:col>
                    <xdr:colOff>25400</xdr:colOff>
                    <xdr:row>21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5" r:id="rId4" name="Scroll Bar 11">
              <controlPr defaultSize="0" print="0" autoPict="0">
                <anchor moveWithCells="1">
                  <from>
                    <xdr:col>82</xdr:col>
                    <xdr:colOff>266700</xdr:colOff>
                    <xdr:row>19</xdr:row>
                    <xdr:rowOff>723900</xdr:rowOff>
                  </from>
                  <to>
                    <xdr:col>90</xdr:col>
                    <xdr:colOff>279400</xdr:colOff>
                    <xdr:row>21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ClearData">
                <anchor moveWithCells="1" sizeWithCells="1">
                  <from>
                    <xdr:col>85</xdr:col>
                    <xdr:colOff>177800</xdr:colOff>
                    <xdr:row>33</xdr:row>
                    <xdr:rowOff>698500</xdr:rowOff>
                  </from>
                  <to>
                    <xdr:col>93</xdr:col>
                    <xdr:colOff>228600</xdr:colOff>
                    <xdr:row>37</xdr:row>
                    <xdr:rowOff>88900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Endg">
                <anchor moveWithCells="1" sizeWithCells="1">
                  <from>
                    <xdr:col>74</xdr:col>
                    <xdr:colOff>228600</xdr:colOff>
                    <xdr:row>33</xdr:row>
                    <xdr:rowOff>698500</xdr:rowOff>
                  </from>
                  <to>
                    <xdr:col>82</xdr:col>
                    <xdr:colOff>254000</xdr:colOff>
                    <xdr:row>37</xdr:row>
                    <xdr:rowOff>76200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40" r:id="rId7" name="Button 16">
              <controlPr defaultSize="0" print="0" autoFill="0" autoPict="0" macro="[0]!_xludf.Restart">
                <anchor moveWithCells="1" sizeWithCells="1">
                  <from>
                    <xdr:col>63</xdr:col>
                    <xdr:colOff>203200</xdr:colOff>
                    <xdr:row>33</xdr:row>
                    <xdr:rowOff>723900</xdr:rowOff>
                  </from>
                  <to>
                    <xdr:col>71</xdr:col>
                    <xdr:colOff>266700</xdr:colOff>
                    <xdr:row>37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41" r:id="rId8" name="Button 17">
              <controlPr defaultSize="0" print="0" autoFill="0" autoPict="0" macro="[0]!NGaame">
                <anchor moveWithCells="1" sizeWithCells="1">
                  <from>
                    <xdr:col>74</xdr:col>
                    <xdr:colOff>228600</xdr:colOff>
                    <xdr:row>30</xdr:row>
                    <xdr:rowOff>152400</xdr:rowOff>
                  </from>
                  <to>
                    <xdr:col>82</xdr:col>
                    <xdr:colOff>266700</xdr:colOff>
                    <xdr:row>33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43" r:id="rId9" name="Button 19">
              <controlPr defaultSize="0" print="0" autoFill="0" autoPict="0" macro="[0]!stat">
                <anchor moveWithCells="1" sizeWithCells="1">
                  <from>
                    <xdr:col>74</xdr:col>
                    <xdr:colOff>203200</xdr:colOff>
                    <xdr:row>37</xdr:row>
                    <xdr:rowOff>508000</xdr:rowOff>
                  </from>
                  <to>
                    <xdr:col>82</xdr:col>
                    <xdr:colOff>203200</xdr:colOff>
                    <xdr:row>40</xdr:row>
                    <xdr:rowOff>50800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69" id="{156422ED-A789-6549-8CD6-977AE55D6340}">
            <xm:f>OR(Cal!$B$2=6,Cal!$B$3=6,Cal!$B$4=6,Cal!$W$2=6,Cal!$W$3=6,Cal!$W$4=6)</xm:f>
            <x14:dxf>
              <font>
                <b/>
                <i val="0"/>
                <color rgb="FFFFFF00"/>
              </font>
              <fill>
                <patternFill patternType="solid">
                  <fgColor indexed="64"/>
                  <bgColor rgb="FFFF0000"/>
                </patternFill>
              </fill>
            </x14:dxf>
          </x14:cfRule>
          <xm:sqref>M4</xm:sqref>
        </x14:conditionalFormatting>
        <x14:conditionalFormatting xmlns:xm="http://schemas.microsoft.com/office/excel/2006/main">
          <x14:cfRule type="expression" priority="370" id="{2CB05162-A345-7249-8E51-99FF1904EF36}">
            <xm:f>OR(Cal!$B$2=6,Cal!$C$2=6,Cal!$C$3=6,Cal!$C$4=6,Cal!$W$2=6,Cal!$X$2=6,Cal!$X$3=6,Cal!$X$4=6)</xm:f>
            <x14:dxf>
              <font>
                <b/>
                <i val="0"/>
                <color rgb="FFFFFF00"/>
              </font>
              <fill>
                <patternFill patternType="solid">
                  <fgColor indexed="64"/>
                  <bgColor rgb="FFFF0000"/>
                </patternFill>
              </fill>
            </x14:dxf>
          </x14:cfRule>
          <xm:sqref>O4</xm:sqref>
        </x14:conditionalFormatting>
        <x14:conditionalFormatting xmlns:xm="http://schemas.microsoft.com/office/excel/2006/main">
          <x14:cfRule type="expression" priority="666" id="{7776187B-00D6-D84F-B718-E1CD36E1CB54}">
            <xm:f>OR(Cal!$B$2=6,Cal!$C$2=6,Cal!$D$2=6,Cal!$D$3=6,Cal!$D$4=6,Cal!$W$2=6,Cal!$X$2=6,Cal!$Y$2=6,Cal!$Y$3=6,Cal!$Y$4=6)</xm:f>
            <x14:dxf>
              <font>
                <b/>
                <i val="0"/>
                <color rgb="FFFFFF00"/>
              </font>
              <fill>
                <patternFill patternType="solid">
                  <fgColor indexed="64"/>
                  <bgColor rgb="FFFF0000"/>
                </patternFill>
              </fill>
            </x14:dxf>
          </x14:cfRule>
          <xm:sqref>Q4</xm:sqref>
        </x14:conditionalFormatting>
        <x14:conditionalFormatting xmlns:xm="http://schemas.microsoft.com/office/excel/2006/main">
          <x14:cfRule type="expression" priority="665" id="{229B2499-5DFF-4B70-8E13-93031822E024}">
            <xm:f>OR(Cal!$B$2=6,Cal!$C$2=6,Cal!$D$2=6,Cal!$E$2=6,Cal!$E$3=6,Cal!$E$4=6,Cal!$W$2=6,Cal!$X$2=6,Cal!$Y$2=6,Cal!$Z$2=6,Cal!$Z$3=6,Cal!$Z$4=6)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S4</xm:sqref>
        </x14:conditionalFormatting>
        <x14:conditionalFormatting xmlns:xm="http://schemas.microsoft.com/office/excel/2006/main">
          <x14:cfRule type="expression" priority="664" id="{9AF70BAD-681C-4C75-9C8A-9FF0FE4CD77E}">
            <xm:f>OR(Cal!$B$2=6,Cal!$C$2=6,Cal!$D$2=6,Cal!$E$2=6,Cal!$F$2=6,Cal!$F$3=6,Cal!$F$4=6,Cal!$W$2=6,Cal!$X$2=6,Cal!$Y$2=6,Cal!$Z$2=6,Cal!$AA$2=6,Cal!$AA$3=6,Cal!$AA$4=6)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U4</xm:sqref>
        </x14:conditionalFormatting>
        <x14:conditionalFormatting xmlns:xm="http://schemas.microsoft.com/office/excel/2006/main">
          <x14:cfRule type="expression" priority="368" id="{4407F22F-DF24-4110-A775-31E3C61D9236}">
            <xm:f>OR(Cal!$B$2=6,Cal!$C$2=6,Cal!$D$2=6,Cal!$E$2=6,Cal!$F$2=6,Cal!$G$2=6,Cal!$G$3=6,Cal!$G$4=6,Cal!$B$5=6,Cal!$W$5=6,Cal!$W$2=6,Cal!$X$2=6,Cal!$Y$2=6,Cal!$Z$2=6,Cal!$AA$2=6,Cal!$AB$2=6,Cal!$AB$3=6,Cal!$AB$4=6)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W4</xm:sqref>
        </x14:conditionalFormatting>
        <x14:conditionalFormatting xmlns:xm="http://schemas.microsoft.com/office/excel/2006/main">
          <x14:cfRule type="expression" priority="663" id="{EB8B4C35-F224-4D5A-88CB-D9438F0F2665}">
            <xm:f>OR(Cal!$O$2=6,Cal!$O$5=6,Cal!$T$3=6,Cal!$AJ$2=6,Cal!$AJ$5=6,Cal!$AO$3=6)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AW4</xm:sqref>
        </x14:conditionalFormatting>
        <x14:conditionalFormatting xmlns:xm="http://schemas.microsoft.com/office/excel/2006/main">
          <x14:cfRule type="expression" priority="662" id="{9DA2D667-6209-4967-90D1-3345296D59AF}">
            <xm:f>OR(Cal!$N$2=6,Cal!$O$2=6,Cal!$N$5=6,Cal!$S$3=6,Cal!$AI$2=6,Cal!$AJ$2=6,Cal!$AI$5=6,Cal!$AN$3=6)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AU4</xm:sqref>
        </x14:conditionalFormatting>
        <x14:conditionalFormatting xmlns:xm="http://schemas.microsoft.com/office/excel/2006/main">
          <x14:cfRule type="expression" priority="367" id="{F0F6C5B0-78F8-47E8-940E-F145F066B194}">
            <xm:f>OR(Cal!$M$2=6,Cal!$N$2=6,Cal!$O$2=6,Cal!$R$3=6,Cal!$M$5=6,Cal!$AH$2=6,Cal!$AI$2=6,Cal!$AJ$2=6,Cal!$AM$3=6,Cal!$AH$5=6)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AS4</xm:sqref>
        </x14:conditionalFormatting>
        <x14:conditionalFormatting xmlns:xm="http://schemas.microsoft.com/office/excel/2006/main">
          <x14:cfRule type="expression" priority="366" id="{E31DAC9A-635E-46CA-89A5-B4A58DDBA19D}">
            <xm:f>OR(Cal!$L$2=6,Cal!$M$2=6,Cal!$N$2=6,Cal!$O$2=6,Cal!$Q$3=6,Cal!$L$5=6,Cal!$AG$2=6,Cal!$AH$2=6,Cal!$AI$2=6,Cal!$AJ$2=6,Cal!$AL$3=6,Cal!$AG$5=6)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AQ4</xm:sqref>
        </x14:conditionalFormatting>
        <x14:conditionalFormatting xmlns:xm="http://schemas.microsoft.com/office/excel/2006/main">
          <x14:cfRule type="expression" priority="365" id="{91ADA17B-8057-41BA-A62A-98E1C5CFAEA5}">
            <xm:f>OR(Cal!$K$2=6,Cal!$L$2=6,Cal!$M$2=6,Cal!$N$2=6,Cal!$O$2=6,Cal!$P$3=6,Cal!$K$5=6,Cal!$AF$2=6,Cal!$AG$2=6,Cal!$AH$2=6,Cal!$AI$2=6,Cal!$AJ$2=6,Cal!$AK$3=6,Cal!$AF$5=6)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AO4</xm:sqref>
        </x14:conditionalFormatting>
        <x14:conditionalFormatting xmlns:xm="http://schemas.microsoft.com/office/excel/2006/main">
          <x14:cfRule type="expression" priority="364" id="{D0597E4A-EDF4-4BE3-9952-149FADD02573}">
            <xm:f>OR(Cal!$J$2=6,Cal!$K$2=6,Cal!$L$2=6,Cal!$M$2=6,Cal!$N$2=6,Cal!$O$2=6,Cal!$O$3=6,Cal!$O$4=6,Cal!$J$5=6,Cal!$AE$5=6,Cal!$AE$2=6,Cal!$AF$2=6,Cal!$AG$2=6,Cal!$AH$2=6,Cal!$AI$2=6,Cal!$AJ$2=6,Cal!$AJ$3=6,Cal!$AJ$4=6)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AM4</xm:sqref>
        </x14:conditionalFormatting>
        <x14:conditionalFormatting xmlns:xm="http://schemas.microsoft.com/office/excel/2006/main">
          <x14:cfRule type="expression" priority="363" id="{84DFBD06-7FF6-4453-B507-7A6AD35C96A6}">
            <xm:f>OR(Cal!$C$2=6,Cal!$D$2=6,Cal!$E$2=6,Cal!$F$2=6,Cal!$G$2=6,Cal!$H$2=6,Cal!$H$3=6,Cal!$H$4=6,Cal!$C$5=6,Cal!$X$5=6,Cal!$X$2=6,Cal!$Y$2=6,Cal!$Z$2=6,Cal!$AA$2=6,Cal!$AB$2=6,Cal!$AC$2=6,Cal!$AC$3=6,Cal!$AC$4=6)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Y4</xm:sqref>
        </x14:conditionalFormatting>
        <x14:conditionalFormatting xmlns:xm="http://schemas.microsoft.com/office/excel/2006/main">
          <x14:cfRule type="expression" priority="362" id="{F81B53E9-3197-4703-80A2-224055F5CC72}">
            <xm:f>OR(Cal!$D$2=6,Cal!$E$2=6,Cal!$F$2=6,Cal!$G$2=6,Cal!$H$2=6,Cal!$I$2=6,Cal!$I$3=6,Cal!$I$4=6,Cal!$D$5=6,Cal!$Y$2=6,Cal!$Z$2=6,Cal!$AA$2=6,Cal!$AB$2=6,Cal!$AC$2=6,Cal!$AD$2=6,Cal!$AD$3=6,Cal!$AD$4=6,Cal!$Y$5=6)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AA4</xm:sqref>
        </x14:conditionalFormatting>
        <x14:conditionalFormatting xmlns:xm="http://schemas.microsoft.com/office/excel/2006/main">
          <x14:cfRule type="expression" priority="361" id="{73A960B0-00FE-4100-9B95-13CE50575538}">
            <xm:f>OR(Cal!$K$19=6,Cal!$F$20=6,Cal!$K$21=6,Cal!$K$23=6,Cal!$G$24=6,Cal!$J$25=6,Cal!$K$27=6,Cal!$H$28=6,Cal!$I$29=6,Cal!$K$31=6,Cal!$I$32=6,Cal!$H$33=6,Cal!$K$35=6,Cal!$J$36=6,Cal!$F$38=6,Cal!$G$37=6,Cal!$G$38=6,Cal!$H$38=6,Cal!$I$38=6,Cal!$J$38=6,Cal!$K$38=6,Cal!$K$39=6,Cal!$K$40=6,Cal!$F$41=6,Cal!$AA$41=6,Cal!$AA$38=6,Cal!$AB$37=6,Cal!$AB$38=6,Cal!$AC$38=6,Cal!$AD$38=6,Cal!$AE$38=6,Cal!$AF$38=6,Cal!$AF$39=6,Cal!$AF$40=6,Cal!$AE$36=6,Cal!$AF$35=6,Cal!$AC$33=6,Cal!$AD$32=6,Cal!$AF$31=6,Cal!$AD$29=6,Cal!$AC$28=6,Cal!$AF$27=6,Cal!$AE$25=6,Cal!$AB$24=6,Cal!$AA$20=6,Cal!$AF$23=6,Cal!$AF$21=6,Cal!$AF$19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AE22</xm:sqref>
        </x14:conditionalFormatting>
        <x14:conditionalFormatting xmlns:xm="http://schemas.microsoft.com/office/excel/2006/main">
          <x14:cfRule type="expression" priority="360" id="{0704F5D9-1352-4722-A187-6BEA66864A5E}">
            <xm:f>OR(Cal!$K$3=6,Cal!$F$4=6,Cal!$K$5=6,Cal!$K$7=6,Cal!$G$8=6,Cal!$J$9=6,Cal!$K$11=6,Cal!$H$12=6,Cal!$I$13=6,Cal!$K$15=6,Cal!$I$16=6,Cal!$H$17=6,Cal!$K$19=6,Cal!$J$20=6,Cal!$G$21=6,Cal!$F$25=6,Cal!$F$22=6,Cal!$G$22=6,Cal!$H$22=6,Cal!$I$22=6,Cal!$J$22=6,Cal!$K$22=6,Cal!$K$23=6,Cal!$K$24=6,Cal!$AF$3=6,Cal!$AA$4=6,Cal!$AF$5=6,Cal!$AF$7=6,Cal!$AB$8=6,Cal!$AE$9=6,Cal!$AF$11=6,Cal!$AC$12=6,Cal!$AD$13=6,Cal!$AF$15=6,Cal!$AD$16=6,Cal!$AC$17=6,Cal!$AF$19=6,Cal!$AE$20=6,Cal!$AB$21=6,Cal!$AA$25=6,Cal!$AA$22=6,Cal!$AB$22=6,Cal!$AC$22=6,Cal!$AD$22=6,Cal!$AE$22=6,Cal!$AF$22=6,Cal!$AF$23=6,Cal!$AF$24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AE14</xm:sqref>
        </x14:conditionalFormatting>
        <x14:conditionalFormatting xmlns:xm="http://schemas.microsoft.com/office/excel/2006/main">
          <x14:cfRule type="expression" priority="359" id="{E13EFAD9-D1FC-458B-9509-4741389D87F2}">
            <xm:f>OR(Cal!$K$35=6,Cal!$F$36=6,Cal!$K$37=6,Cal!$K$39=6,Cal!$G$40=6,Cal!$J$41=6,Cal!$K$43=6,Cal!$H$44=6,Cal!$I$45=6,Cal!$K$47=6,Cal!$I$48=6,Cal!$H$49=6,Cal!$K$51=6,Cal!$J$52=6,Cal!$G$53=6,Cal!$F$57=6,Cal!$F$54=6,Cal!$G$54=6,Cal!$H$54=6,Cal!$I$54=6,Cal!$J$54=6,Cal!$K$54=6,Cal!$K$55=6,Cal!$K$56=6,Cal!$AA$36=6,Cal!$AF$35=6,Cal!$AF$37=6,Cal!$AF$39=6,Cal!$AB$40=6,Cal!$AE$41=6,Cal!$AF$43=6,Cal!$AC$44=6,Cal!$AD$45=6,Cal!$AF$47=6,Cal!$AD$48=6,Cal!$AC$49=6,Cal!$AF$51=6,Cal!$AE$52=6,Cal!$AB$53=6,Cal!$AA$54=6,Cal!$AB$54=6,Cal!$AC$54=6,Cal!$AD$54=6,Cal!$AE$54=6,Cal!$AF$54=6,Cal!$AF$55=6,Cal!$AF$56=6,Cal!$AA$57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AE30</xm:sqref>
        </x14:conditionalFormatting>
        <x14:conditionalFormatting xmlns:xm="http://schemas.microsoft.com/office/excel/2006/main">
          <x14:cfRule type="expression" priority="358" id="{E89510DC-0125-47E1-BE59-08BC7FBDC170}">
            <xm:f>OR(Cal!$I$2=6,Cal!$J$2=6,Cal!$K$2=6,Cal!$L$2=6,Cal!$M$2=6,Cal!$N$2=6,Cal!$N$3=6,Cal!$N$4=6,Cal!$I$5=6,Cal!$AD$2=6,Cal!$AE$2=6,Cal!$AF$2=6,Cal!$AG$2=6,Cal!$AH$2=6,Cal!$AI$2=6,Cal!$AI$3=6,Cal!$AI$4=6,Cal!$AD$5=6)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AK4</xm:sqref>
        </x14:conditionalFormatting>
        <x14:conditionalFormatting xmlns:xm="http://schemas.microsoft.com/office/excel/2006/main">
          <x14:cfRule type="expression" priority="357" id="{B060E008-36FF-4B57-B6EA-E73AC540C24D}">
            <xm:f>OR(Cal!$H$2=6,Cal!$I$2=6,Cal!$J$2=6,Cal!$K$2=6,Cal!$L$2=6,Cal!$M$2=6,Cal!$M$3=6,Cal!$M$4=6,Cal!$H$5=6,Cal!$AC$5=6,Cal!$AC$2=6,Cal!$AD$2=6,Cal!$AE$2=6,Cal!$AF$2=6,Cal!$AG$2=6,Cal!$AH$2=6,Cal!$AH$3=6,Cal!$AH$4=6)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AI4</xm:sqref>
        </x14:conditionalFormatting>
        <x14:conditionalFormatting xmlns:xm="http://schemas.microsoft.com/office/excel/2006/main">
          <x14:cfRule type="expression" priority="356" id="{115DF2B5-EE36-4345-B63C-EABDB33B2E64}">
            <xm:f>OR(Cal!$E$2=6,Cal!$F$2=6,Cal!$G$2=6,Cal!$H$2=6,Cal!$I$2=6,Cal!$J$2=6,Cal!$J$3=6,Cal!$J$4=6,Cal!$E$5=6,Cal!$Z$2=6,Cal!$AA$2=6,Cal!$AB$2=6,Cal!$AC$2=6,Cal!$AD$2=6,Cal!$AE$2=6,Cal!$AE$3=6,Cal!$AE$4=6,Cal!$Z$5=6)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AC4</xm:sqref>
        </x14:conditionalFormatting>
        <x14:conditionalFormatting xmlns:xm="http://schemas.microsoft.com/office/excel/2006/main">
          <x14:cfRule type="expression" priority="355" id="{374316E1-DF10-413C-955F-E6856DEBF9C1}">
            <xm:f>OR(Cal!$G$2=6,Cal!$H$2=6,Cal!$I$2=6,Cal!$J$2=6,Cal!$K$2=6,Cal!$L$2=6,Cal!$L$3=6,Cal!$L$4=6,Cal!$G$5=6,Cal!$AB$5=6,Cal!$AG$4=6,Cal!$AG$3=6,Cal!$AG$2=6,Cal!$AF$2=6,Cal!$AE$2=6,Cal!$AD$2=6,Cal!$AC$2=6,Cal!$AB$2=6)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AG4</xm:sqref>
        </x14:conditionalFormatting>
        <x14:conditionalFormatting xmlns:xm="http://schemas.microsoft.com/office/excel/2006/main">
          <x14:cfRule type="expression" priority="354" id="{D0826D8D-6904-4C6F-BAB8-FEBB204F10C3}">
            <xm:f>OR(Cal!$F$2=6,Cal!$G$2=6,Cal!$H$2=6,Cal!$I$2=6,Cal!$J$2=6,Cal!$K$2=6,Cal!$K$3=6,Cal!$K$4=6,Cal!$F$5=6,Cal!$AA$2=6,Cal!$AA$5=6,Cal!$AB$2=6,Cal!$AC$2=6,Cal!$AD$2=6,Cal!$AE$2=6,Cal!$AF$2=6,Cal!$AF$3=6,Cal!$AF$4=6)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AE4</xm:sqref>
        </x14:conditionalFormatting>
        <x14:conditionalFormatting xmlns:xm="http://schemas.microsoft.com/office/excel/2006/main">
          <x14:cfRule type="expression" priority="353" id="{DFBCE670-DAF3-49B2-A868-5A1A60D41367}">
            <xm:f>OR(Cal!$G$19=6,Cal!$B$20=6,Cal!$G$21=6,Cal!$G$23=6,Cal!$C$24=6,Cal!$F$25=6,Cal!$G$27=6,Cal!$D$28=6,Cal!$E$29=6,Cal!$G$31=6,Cal!$E$32=6,Cal!$D$33=6,Cal!$G$35=6,Cal!$F$36=6,Cal!$B$41=6,Cal!$C$37=6,Cal!$B$38=6,Cal!$C$38=6,Cal!$D$38=6,Cal!$E$38=6,Cal!$F$38=6,Cal!$G$38=6,Cal!$G$39=6,Cal!$G$40=6,Cal!$W$41=6,Cal!$AB$40=6,Cal!$AB$39=6,Cal!$AB$38=6,Cal!$AA$38=6,Cal!$Z$38=6,Cal!$Y$38=6,Cal!$X$38=6,Cal!$W$38=6,Cal!$X$37=6,Cal!$AA$36=6,Cal!$AB$35=6,Cal!$Y$33=6,Cal!$Z$32=6,Cal!$AB$31=6,Cal!$Z$29=6,Cal!$Y$28=6,Cal!$AB$27=6,Cal!$AA$25=6,Cal!$X$24=6,Cal!$W$20=6,Cal!$AB$23=6,Cal!$AB$21=6,Cal!$AB$19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W22</xm:sqref>
        </x14:conditionalFormatting>
        <x14:conditionalFormatting xmlns:xm="http://schemas.microsoft.com/office/excel/2006/main">
          <x14:cfRule type="expression" priority="352" id="{5610BF2A-1A6F-48EA-8355-9FD405122D5B}">
            <xm:f>OR(Cal!$B$55=6,Cal!$B$57=6,Cal!$B$62=6,Cal!$W$55=6,Cal!$W$57=6,Cal!$W$62=6)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M40</xm:sqref>
        </x14:conditionalFormatting>
        <x14:conditionalFormatting xmlns:xm="http://schemas.microsoft.com/office/excel/2006/main">
          <x14:cfRule type="expression" priority="351" id="{8F8C261D-5CAB-45EA-A887-AB00F26AB004}">
            <xm:f>OR(Cal!$O$56=6,Cal!$T$55=6,Cal!$O$62=6,Cal!$AJ$56=6,Cal!$AO$55=6,Cal!$AJ$62=6)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AW40</xm:sqref>
        </x14:conditionalFormatting>
        <x14:conditionalFormatting xmlns:xm="http://schemas.microsoft.com/office/excel/2006/main">
          <x14:cfRule type="expression" priority="350" id="{87D04C16-997E-4E50-A557-299A71778E17}">
            <xm:f>OR(Cal!$B$51=6,Cal!$B$53=6,Cal!$B$55=6,Cal!$B$61=6,Cal!$W$61=6,Cal!$W$55=6,Cal!$W$53=6,Cal!$W$51=6)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M38</xm:sqref>
        </x14:conditionalFormatting>
        <x14:conditionalFormatting xmlns:xm="http://schemas.microsoft.com/office/excel/2006/main">
          <x14:cfRule type="expression" priority="349" id="{5C189E98-6F8A-48A3-86FC-76B830939A76}">
            <xm:f>OR(Cal!$O$52=6,Cal!$T$51=6,Cal!$T$55=6,Cal!$O$61=6,Cal!$AJ$61=6,Cal!$AJ$52=6,Cal!$AO$51=6,Cal!$AO$55=6)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AW38</xm:sqref>
        </x14:conditionalFormatting>
        <x14:conditionalFormatting xmlns:xm="http://schemas.microsoft.com/office/excel/2006/main">
          <x14:cfRule type="expression" priority="348" id="{F2CC9CCE-09C9-444F-B792-1D75C517031B}">
            <xm:f>OR(Cal!$B$3=6,Cal!$B$6=6,Cal!$B$7=6,Cal!$B$8=6,Cal!$W$3=6,Cal!$W$6=6,Cal!$W$7=6,Cal!$W$8=6)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M6</xm:sqref>
        </x14:conditionalFormatting>
        <x14:conditionalFormatting xmlns:xm="http://schemas.microsoft.com/office/excel/2006/main">
          <x14:cfRule type="expression" priority="347" id="{F8DF2D0E-A253-4590-96A4-69CF7613BAC0}">
            <xm:f>OR(Cal!$T$3=6,Cal!$O$6=6,Cal!$T$7=6,Cal!$O$9=6,Cal!$AJ$6=6,Cal!$AO$3=6,Cal!$AO$7=6,Cal!$AJ$9=6)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AW6</xm:sqref>
        </x14:conditionalFormatting>
        <x14:conditionalFormatting xmlns:xm="http://schemas.microsoft.com/office/excel/2006/main">
          <x14:cfRule type="expression" priority="346" id="{3AE16BAD-D292-48F4-A792-E1AD91817E80}">
            <xm:f>OR(Cal!$C$55=6,Cal!$C$57=6,Cal!$C$62=6,Cal!$B$62=6,Cal!$X$55=6,Cal!$X$57=6,Cal!$X$62=6,Cal!$W$62=6)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O40</xm:sqref>
        </x14:conditionalFormatting>
        <x14:conditionalFormatting xmlns:xm="http://schemas.microsoft.com/office/excel/2006/main">
          <x14:cfRule type="expression" priority="345" id="{DD95F2EB-F2AB-49FE-A9E8-C656A0AE3D37}">
            <xm:f>OR(Cal!$N$56=6,Cal!$S$55=6,Cal!$N$62=6,Cal!$O$62=6,Cal!$AI$56=6,Cal!$AN$55=6,Cal!$AI$62=6,Cal!$AJ$62=6)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AU40</xm:sqref>
        </x14:conditionalFormatting>
        <x14:conditionalFormatting xmlns:xm="http://schemas.microsoft.com/office/excel/2006/main">
          <x14:cfRule type="expression" priority="344" id="{6882A5D1-F6C0-4209-BE88-40D5DB44CB10}">
            <xm:f>OR(Cal!$C$51=6,Cal!$C$53=6,Cal!$C$55=6,Cal!$B$57=6,Cal!$B$61=6,Cal!$C$61=6,Cal!$W$61=6,Cal!$X$61=6,Cal!$W$57=6,Cal!$X$55=6,Cal!$X$53=6,Cal!$X$51=6)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O38</xm:sqref>
        </x14:conditionalFormatting>
        <x14:conditionalFormatting xmlns:xm="http://schemas.microsoft.com/office/excel/2006/main">
          <x14:cfRule type="expression" priority="343" id="{12990FA1-09B4-474A-938F-34C635889BF5}">
            <xm:f>OR(Cal!$AN$51=6,Cal!$AN$55=6,Cal!$AI$52=6,Cal!$AJ$56=6,Cal!$AJ$61=6,Cal!$AI$61=6,Cal!$S$51=6,Cal!$S$55=6,Cal!$N$52=6,Cal!$O$56=6,Cal!$O$61=6,Cal!$N$61=6)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AU38</xm:sqref>
        </x14:conditionalFormatting>
        <x14:conditionalFormatting xmlns:xm="http://schemas.microsoft.com/office/excel/2006/main">
          <x14:cfRule type="expression" priority="342" id="{4B21F55D-CD68-4223-A4D8-3B809928DB93}">
            <xm:f>OR(Cal!$C$3=6,Cal!$B$4=6,Cal!$B$6=6,Cal!$C$6=6,Cal!$C$7=6,Cal!$C$8=6,Cal!$X$3=6,Cal!$W$4=6,Cal!$W$6=6,Cal!$X$6=6,Cal!$X$7=6,Cal!$X$8=6)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O6</xm:sqref>
        </x14:conditionalFormatting>
        <x14:conditionalFormatting xmlns:xm="http://schemas.microsoft.com/office/excel/2006/main">
          <x14:cfRule type="expression" priority="341" id="{B0BD77C1-699E-4BB7-9552-7BD486D3D7B7}">
            <xm:f>OR(Cal!$S$3=6,Cal!$O$5=6,Cal!$O$6=6,Cal!$N$6=6,Cal!$N$9=6,Cal!$S$7=6,Cal!$AN$3=6,Cal!$AJ$5=6,Cal!$AJ$6=6,Cal!$AI$6=6,Cal!$AI$9=6,Cal!$AN$7=6)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AU6</xm:sqref>
        </x14:conditionalFormatting>
        <x14:conditionalFormatting xmlns:xm="http://schemas.microsoft.com/office/excel/2006/main">
          <x14:cfRule type="expression" priority="340" id="{5F2BB58F-D5A2-449D-B43F-0D7D156F2D6A}">
            <xm:f>OR(Cal!$B$19=6,Cal!$B$21=6,Cal!$B$23=6,Cal!$B$27=6,Cal!$B$31=6,Cal!$B$35=6,Cal!$B$38=6,Cal!$B$39=6,Cal!$B$40=6,Cal!$W$19=6,Cal!$W$21=6,Cal!$W$23=6,Cal!$W$27=6,Cal!$W$31=6,Cal!$W$35=6,Cal!$W$38=6,Cal!$W$39=6,Cal!$W$40=6)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M22</xm:sqref>
        </x14:conditionalFormatting>
        <x14:conditionalFormatting xmlns:xm="http://schemas.microsoft.com/office/excel/2006/main">
          <x14:cfRule type="expression" priority="339" id="{FB4AA3B0-278E-4A6A-A47A-CD8F2EDE450C}">
            <xm:f>OR(Cal!$O$20=6,Cal!$O$38=6,Cal!$O$41=6,Cal!$T$39=6,Cal!$T$35=6,Cal!$T$31=6,Cal!$T$27=6,Cal!$T$23=6,Cal!$T$19=6,Cal!$AJ$20=6,Cal!$AJ$38=6,Cal!$AJ$41=6,Cal!$AO$39=6,Cal!$AO$35=6,Cal!$AO$31=6,Cal!$AO$27=6,Cal!$AO$23=6,Cal!$AO$19=6)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AW22</xm:sqref>
        </x14:conditionalFormatting>
        <x14:conditionalFormatting xmlns:xm="http://schemas.microsoft.com/office/excel/2006/main">
          <x14:cfRule type="expression" priority="338" id="{26F6750F-485C-4E24-B874-7D436F77176C}">
            <xm:f>OR(Cal!$F$56=6,Cal!$K$55=6,Cal!$K$57=6,Cal!$F$62=6,Cal!$G$62=6,Cal!$H$62=6,Cal!$I$62=6,Cal!$J$62=6,Cal!$K$62=6,Cal!$AA$56=6,Cal!$AF$55=6,Cal!$AF$57=6,Cal!$AF$62=6,Cal!$AE$62=6,Cal!$AD$62=6,Cal!$AC$62=6,Cal!$AB$62=6,Cal!$AA$62=6)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AE40</xm:sqref>
        </x14:conditionalFormatting>
        <x14:conditionalFormatting xmlns:xm="http://schemas.microsoft.com/office/excel/2006/main">
          <x14:cfRule type="expression" priority="337" id="{D1F0EDAF-0A68-42EB-B85E-33BAC5344F3C}">
            <xm:f>OR(Cal!$O$35=6,Cal!$J$36=6,Cal!$O$37=6,Cal!$O$39=6,Cal!$K$40=6,Cal!$N$41=6,Cal!$O$43=6,Cal!$L$44=6,Cal!$M$45=6,Cal!$O$47=6,Cal!$M$48=6,Cal!$L$49=6,Cal!$O$51=6,Cal!$N$52=6,Cal!$K$53=6,Cal!$J$54=6,Cal!$K$54=6,Cal!$L$54=6,Cal!$M$54=6,Cal!$N$54=6,Cal!$O$54=6,Cal!$O$55=6,Cal!$O$56=6,Cal!$J$57=6,Cal!$AJ$35=6,Cal!$AE$36=6,Cal!$AJ$37=6,Cal!$AJ$39=6,Cal!$AF$40=6,Cal!$AI$41=6,Cal!$AJ$43=6,Cal!$AG$44=6,Cal!$AH$45=6,Cal!$AJ$47=6,Cal!$AH$48=6,Cal!$AG$49=6,Cal!$AJ$51=6,Cal!$AI$52=6,Cal!$AF$53=6,Cal!$AE$54=6,Cal!$AF$54=6,Cal!$AG$54=6,Cal!$AH$54=6,Cal!$AI$54=6,Cal!$AJ$54=6,Cal!$AJ$55=6,Cal!$AJ$56=6,Cal!$AE$57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AM30</xm:sqref>
        </x14:conditionalFormatting>
        <x14:conditionalFormatting xmlns:xm="http://schemas.microsoft.com/office/excel/2006/main">
          <x14:cfRule type="expression" priority="336" id="{2BE7145D-D1EB-4718-8ECF-3E305B4C09ED}">
            <xm:f>OR(Cal!$B$36=6,Cal!$G$35=6,Cal!$G$37=6,Cal!$G$39=6,Cal!$C$40=6,Cal!$F$41=6,Cal!$G$43=6,Cal!$D$44=6,Cal!$E$45=6,Cal!$G$47=6,Cal!$E$48=6,Cal!$D$49=6,Cal!$G$51=6,Cal!$F$52=6,Cal!$B$57=6,Cal!$C$53=6,Cal!$B$54=6,Cal!$C$54=6,Cal!$D$54=6,Cal!$E$54=6,Cal!$F$54=6,Cal!$G$54=6,Cal!$G$55=6,Cal!$G$56=6,Cal!$AB$35=6,Cal!$W$36=6,Cal!$AB$37=6,Cal!$AB$39=6,Cal!$X$40=6,Cal!$AA$41=6,Cal!$AB$43=6,Cal!$Y$44=6,Cal!$Z$45=6,Cal!$AB$47=6,Cal!$Z$48=6,Cal!$Y$49=6,Cal!$AB$51=6,Cal!$AA$52=6,Cal!$X$53=6,Cal!$W$54=6,Cal!$X$54=6,Cal!$Y$54=6,Cal!$Z$54=6,Cal!$AA$54=6,Cal!$AB$54=6,Cal!$AB$55=6,Cal!$AB$56=6,Cal!$W$57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W30</xm:sqref>
        </x14:conditionalFormatting>
        <x14:conditionalFormatting xmlns:xm="http://schemas.microsoft.com/office/excel/2006/main">
          <x14:cfRule type="expression" priority="335" id="{9C152DE6-4108-4E76-BF5E-1248DA2D9EBE}">
            <xm:f>OR(Cal!$AB$3=6,Cal!$W$4=6,Cal!$AB$5=6,Cal!$AB$7=6,Cal!$X$8=6,Cal!$AA$9=6,Cal!$AB$11=6,Cal!$Y$12=6,Cal!$Z$13=6,Cal!$AB$15=6,Cal!$Z$16=6,Cal!$Y$17=6,Cal!$AB$19=6,Cal!$AA$20=6,Cal!$X$21=6,Cal!$W$22=6,Cal!$X$22=6,Cal!$Y$22=6,Cal!$Z$22=6,Cal!$AA$22=6,Cal!$AB$22=6,Cal!$AB$23=6,Cal!$AB$24=6,Cal!$W$25=6,Cal!$G$3=6,Cal!$B$4=6,Cal!$G$5=6,Cal!$G$7=6,Cal!$C$8=6,Cal!$F$9=6,Cal!$G$11=6,Cal!$D$12=6,Cal!$E$13=6,Cal!$G$15=6,Cal!$E$16=6,Cal!$D$17=6,Cal!$G$19=6,Cal!$F$20=6,Cal!$C$21=6,Cal!$B$22=6,Cal!$C$22=6,Cal!$D$22=6,Cal!$E$22=6,Cal!$F$22=6,Cal!$G$22=6,Cal!$G$23=6,Cal!$G$24=6,Cal!$B$25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W14</xm:sqref>
        </x14:conditionalFormatting>
        <x14:conditionalFormatting xmlns:xm="http://schemas.microsoft.com/office/excel/2006/main">
          <x14:cfRule type="expression" priority="334" id="{176A4977-4AB6-44D4-BE50-829C2CD739D9}">
            <xm:f>OR(Cal!$O$3=6,Cal!$J$4=6,Cal!$O$5=6,Cal!$O$7=6,Cal!$K$8=6,Cal!$N$9=6,Cal!$O$11=6,Cal!$L$12=6,Cal!$M$13=6,Cal!$O$15=6,Cal!$M$16=6,Cal!$L$17=6,Cal!$O$19=6,Cal!$N$20=6,Cal!$K$21=6,Cal!$J$22=6,Cal!$K$22=6,Cal!$L$22=6,Cal!$M$22=6,Cal!$N$22=6,Cal!$O$22=6,Cal!$O$23=6,Cal!$O$24=6,Cal!$J$25=6,Cal!$AJ$3=6,Cal!$AE$4=6,Cal!$AJ$5=6,Cal!$AJ$7=6,Cal!$AF$8=6,Cal!$AI$9=6,Cal!$AJ$11=6,Cal!$AG$12=6,Cal!$AH$13=6,Cal!$AJ$15=6,Cal!$AH$16=6,Cal!$AG$17=6,Cal!$AJ$19=6,Cal!$AI$20=6,Cal!$AF$21=6,Cal!$AE$22=6,Cal!$AF$22=6,Cal!$AG$22=6,Cal!$AH$22=6,Cal!$AI$22=6,Cal!$AJ$22=6,Cal!$AJ$23=6,Cal!$AJ$24=6,Cal!$AE$25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AM14</xm:sqref>
        </x14:conditionalFormatting>
        <x14:conditionalFormatting xmlns:xm="http://schemas.microsoft.com/office/excel/2006/main">
          <x14:cfRule type="expression" priority="333" id="{DD5DFBE1-9EA0-4A79-A6E3-B831DB6B3AB3}">
            <xm:f>OR(Cal!$K$51=6,Cal!$F$52=6,Cal!$K$53=6,Cal!$K$55=6,Cal!$J$57=6,Cal!$G$56=6,Cal!$F$61=6,Cal!$G$61=6,Cal!$H$61=6,Cal!$I$61=6,Cal!$J$61=6,Cal!$K$61=6,Cal!$AA$52=6,Cal!$AF$51=6,Cal!$AF$53=6,Cal!$AF$55=6,Cal!$AB$56=6,Cal!$AE$57=6,Cal!$AA$61=6,Cal!$AB$61=6,Cal!$AC$61=6,Cal!$AD$61=6,Cal!$AE$61=6,Cal!$AF$61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AE38</xm:sqref>
        </x14:conditionalFormatting>
        <x14:conditionalFormatting xmlns:xm="http://schemas.microsoft.com/office/excel/2006/main">
          <x14:cfRule type="expression" priority="332" id="{D23D004B-2FE6-4DF4-9007-1EF222307612}">
            <xm:f>OR(Cal!$K$3=6,Cal!$J$4=6,Cal!$G$5=6,Cal!$F$6=6,Cal!$G$6=6,Cal!$H$6=6,Cal!$I$6=6,Cal!$J$6=6,Cal!$K$6=6,Cal!$K$7=6,Cal!$K$8=6,Cal!$F$9=6,Cal!$AF$3=6,Cal!$AE$4=6,Cal!$AB$5=6,Cal!$AA$6=6,Cal!$AB$6=6,Cal!$AC$6=6,Cal!$AD$6=6,Cal!$AE$6=6,Cal!$AF$6=6,Cal!$AF$7=6,Cal!$AF$8=6,Cal!$AA$9=6)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AE6</xm:sqref>
        </x14:conditionalFormatting>
        <x14:conditionalFormatting xmlns:xm="http://schemas.microsoft.com/office/excel/2006/main">
          <x14:cfRule type="expression" priority="331" id="{8ECFFBAC-AA56-4A1B-9843-6DF39B20F1FB}">
            <xm:f>OR(Cal!$C$19=6,Cal!$C$21=6,Cal!$C$23=6,Cal!$B$25=6,Cal!$C$27=6,Cal!$C$31=6,Cal!$C$35=6,Cal!$B$36=6,Cal!$B$38=6,Cal!$C$38=6,Cal!$C$39=6,Cal!$C$40=6,Cal!$X$19=6,Cal!$X$21=6,Cal!$X$23=6,Cal!$W$25=6,Cal!$X$27=6,Cal!$X$31=6,Cal!$X$35=6,Cal!$W$36=6,Cal!$W$38=6,Cal!$X$38=6,Cal!$X$39=6,Cal!$X$40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O22</xm:sqref>
        </x14:conditionalFormatting>
        <x14:conditionalFormatting xmlns:xm="http://schemas.microsoft.com/office/excel/2006/main">
          <x14:cfRule type="expression" priority="330" id="{F1D04A10-F43F-414B-A96F-0BC4EF9C7C13}">
            <xm:f>OR(Cal!$N$20=6,Cal!$O$24=6,Cal!$O$37=6,Cal!$O$38=6,Cal!$N$38=6,Cal!$N$41=6,Cal!$S$19=6,Cal!$S$23=6,Cal!$S$27=6,Cal!$S$31=6,Cal!$S$35=6,Cal!$S$39=6,Cal!$AI$20=6,Cal!$AJ$24=6,Cal!$AJ$37=6,Cal!$AJ$38=6,Cal!$AI$38=6,Cal!$AI$41=6,Cal!$AN$19=6,Cal!$AN$23=6,Cal!$AN$27=6,Cal!$AN$31=6,Cal!$AN$35=6,Cal!$AN$39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AU22</xm:sqref>
        </x14:conditionalFormatting>
        <x14:conditionalFormatting xmlns:xm="http://schemas.microsoft.com/office/excel/2006/main">
          <x14:cfRule type="expression" priority="329" id="{969C774C-3179-47DA-97E1-3CAA418F2E47}">
            <xm:f>OR(Cal!$O$55=6,Cal!$J$56=6,Cal!$O$57=6,Cal!$J$62=6,Cal!$K$62=6,Cal!$L$62=6,Cal!$M$62=6,Cal!$N$62=6,Cal!$O$62=6,Cal!$AJ$55=6,Cal!$AE$56=6,Cal!$AJ$57=6,Cal!$AE$62=6,Cal!$AF$62=6,Cal!$AG$62=6,Cal!$AH$62=6,Cal!$AI$62=6,Cal!$AJ$62=6)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AM40</xm:sqref>
        </x14:conditionalFormatting>
        <x14:conditionalFormatting xmlns:xm="http://schemas.microsoft.com/office/excel/2006/main">
          <x14:cfRule type="expression" priority="328" id="{18C357D7-3507-41D2-BE6E-09AB1B548E41}">
            <xm:f>OR(Cal!$T$3=6,Cal!$O$4=6,Cal!$T$7=6,Cal!$T$11=6,Cal!$T$15=6,Cal!$T$19=6,Cal!$T$23=6,Cal!$O$22=6,Cal!$O$25=6,Cal!$AO$3=6,Cal!$AJ$4=6,Cal!$AO$7=6,Cal!$AO$11=6,Cal!$AO$15=6,Cal!$AO$19=6,Cal!$AO$23=6,Cal!$AJ$22=6,Cal!$AJ$25=6)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AW14</xm:sqref>
        </x14:conditionalFormatting>
        <x14:conditionalFormatting xmlns:xm="http://schemas.microsoft.com/office/excel/2006/main">
          <x14:cfRule type="expression" priority="327" id="{C558D159-7FFB-40B8-B637-93FD6605305E}">
            <xm:f>OR(Cal!$T$35=6,Cal!$T$39=6,Cal!$T$43=6,Cal!$T$47=6,Cal!$T$51=6,Cal!$T$55=6,Cal!$O$57=6,Cal!$O$54=6,Cal!$O$36=6,Cal!$AO$35=6,Cal!$AO$39=6,Cal!$AO$43=6,Cal!$AO$47=6,Cal!$AO$51=6,Cal!$AO$55=6,Cal!$AJ$57=6,Cal!$AJ$54=6,Cal!$AJ$36=6)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AW30</xm:sqref>
        </x14:conditionalFormatting>
        <x14:conditionalFormatting xmlns:xm="http://schemas.microsoft.com/office/excel/2006/main">
          <x14:cfRule type="expression" priority="326" id="{A837E571-C91C-475F-A003-B1E37C412884}">
            <xm:f>OR(Cal!$B$35=6,Cal!$B$37=6,Cal!$B$39=6,Cal!$B$43=6,Cal!$B$47=6,Cal!$B$51=6,Cal!$B$54=6,Cal!$B$55=6,Cal!$B$56=6,Cal!$W$35=6,Cal!$W$37=6,Cal!$W$39=6,Cal!$W$43=6,Cal!$W$47=6,Cal!$W$51=6,Cal!$W$54=6,Cal!$W$55=6,Cal!$W$56=6)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M30</xm:sqref>
        </x14:conditionalFormatting>
        <x14:conditionalFormatting xmlns:xm="http://schemas.microsoft.com/office/excel/2006/main">
          <x14:cfRule type="expression" priority="325" id="{040A6717-DB1B-4FFC-BA79-1C193C1AD99E}">
            <xm:f>OR(Cal!$B$3=6,Cal!$B$5=6,Cal!$B$7=6,Cal!$B$11=6,Cal!$B$15=6,Cal!$B$19=6,Cal!$B$22=6,Cal!$B$23=6,Cal!$B$24=6,Cal!$W$3=6,Cal!$W$5=6,Cal!$W$7=6,Cal!$W$11=6,Cal!$W$15=6,Cal!$W$19=6,Cal!$W$22=6,Cal!$W$23=6,Cal!$W$24=6)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M14</xm:sqref>
        </x14:conditionalFormatting>
        <x14:conditionalFormatting xmlns:xm="http://schemas.microsoft.com/office/excel/2006/main">
          <x14:cfRule type="expression" priority="324" id="{1F766227-030A-4D8C-B41E-29958B802D87}">
            <xm:f>OR(Cal!$O$3=6,Cal!$N$4=6,Cal!$K$5=6,Cal!$J$6=6,Cal!$K$6=6,Cal!$L$6=6,Cal!$M$6=6,Cal!$N$6=6,Cal!$O$6=6,Cal!$O$7=6,Cal!$O$8=6,Cal!$J$9=6,Cal!$AJ$3=6,Cal!$AI$4=6,Cal!$AF$5=6,Cal!$AE$6=6,Cal!$AF$6=6,Cal!$AG$6=6,Cal!$AH$6=6,Cal!$AI$6=6,Cal!$AJ$6=6,Cal!$AJ$7=6,Cal!$AJ$8=6,Cal!$AE$9=6)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AM6</xm:sqref>
        </x14:conditionalFormatting>
        <x14:conditionalFormatting xmlns:xm="http://schemas.microsoft.com/office/excel/2006/main">
          <x14:cfRule type="expression" priority="323" id="{95BD96F8-7604-404E-9E3E-A96AD07C5E5F}">
            <xm:f>OR(Cal!$B$52=6,Cal!$G$51=6,Cal!$G$53=6,Cal!$G$55=6,Cal!$F$57=6,Cal!$C$56=6,Cal!$B$61=6,Cal!$C$61=6,Cal!$D$61=6,Cal!$E$61=6,Cal!$F$61=6,Cal!$G$61=6,Cal!$W$61=6,Cal!$X$61=6,Cal!$Y$61=6,Cal!$Z$61=6,Cal!$AA$61=6,Cal!$AB$61=6,Cal!$AA$57=6,Cal!$X$56=6,Cal!$W$52=6,Cal!$AB$51=6,Cal!$AB$53=6,Cal!$AB$55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W38</xm:sqref>
        </x14:conditionalFormatting>
        <x14:conditionalFormatting xmlns:xm="http://schemas.microsoft.com/office/excel/2006/main">
          <x14:cfRule type="expression" priority="322" id="{99E2A954-2583-453F-8966-C7E91A7056ED}">
            <xm:f>OR(Cal!$AJ$51=6,Cal!$AE$52=6,Cal!$AJ$53=6,Cal!$AJ$55=6,Cal!$AI$57=6,Cal!$AF$56=6,Cal!$AE$61=6,Cal!$AF$61=6,Cal!$AG$61=6,Cal!$AH$61=6,Cal!$AI$61=6,Cal!$AJ$61=6,Cal!$O$51=6,Cal!$J$52=6,Cal!$O$53=6,Cal!$O$55=6,Cal!$K$56=6,Cal!$N$57=6,Cal!$J$61=6,Cal!$K$61=6,Cal!$L$61=6,Cal!$M$61=6,Cal!$N$61=6,Cal!$O$61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AM38</xm:sqref>
        </x14:conditionalFormatting>
        <x14:conditionalFormatting xmlns:xm="http://schemas.microsoft.com/office/excel/2006/main">
          <x14:cfRule type="expression" priority="321" id="{D670CE2B-AD6F-47E9-9998-B461449E504A}">
            <xm:f>OR(Cal!$C$3=6,Cal!$C$5=6,Cal!$C$7=6,Cal!$B$9=6,Cal!$C$11=6,Cal!$C$15=6,Cal!$C$19=6,Cal!$B$20=6,Cal!$B$22=6,Cal!$C$22=6,Cal!$C$23=6,Cal!$C$24=6,Cal!$X$3=6,Cal!$X$5=6,Cal!$X$7=6,Cal!$W$9=6,Cal!$X$11=6,Cal!$X$15=6,Cal!$X$19=6,Cal!$W$20=6,Cal!$W$22=6,Cal!$X$22=6,Cal!$X$23=6,Cal!$X$24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O14</xm:sqref>
        </x14:conditionalFormatting>
        <x14:conditionalFormatting xmlns:xm="http://schemas.microsoft.com/office/excel/2006/main">
          <x14:cfRule type="expression" priority="320" id="{7A7DF55F-87FA-4599-B1EA-7FC087841EC2}">
            <xm:f>OR(Cal!$S$3=6,Cal!$N$4=6,Cal!$S$7=6,Cal!$O$8=6,Cal!$S$11=6,Cal!$S$15=6,Cal!$S$19=6,Cal!$S$23=6,Cal!$O$21=6,Cal!$O$22=6,Cal!$N$22=6,Cal!$N$25=6,Cal!$AN$3=6,Cal!$AI$4=6,Cal!$AN$7=6,Cal!$AJ$8=6,Cal!$AN$11=6,Cal!$AN$15=6,Cal!$AN$19=6,Cal!$AN$23=6,Cal!$AJ$21=6,Cal!$AJ$22=6,Cal!$AI$22=6,Cal!$AI$25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AU14</xm:sqref>
        </x14:conditionalFormatting>
        <x14:conditionalFormatting xmlns:xm="http://schemas.microsoft.com/office/excel/2006/main">
          <x14:cfRule type="expression" priority="319" id="{E144AE53-B2D6-45B4-8ADD-470352D8602D}">
            <xm:f>OR(Cal!$C$35=6,Cal!$C$37=6,Cal!$C$39=6,Cal!$B$41=6,Cal!$C$43=6,Cal!$C$47=6,Cal!$C$51=6,Cal!$B$52=6,Cal!$B$54=6,Cal!$C$54=6,Cal!$C$55=6,Cal!$C$56=6,Cal!$X$35=6,Cal!$X$37=6,Cal!$X$39=6,Cal!$W$41=6,Cal!$X$43=6,Cal!$X$47=6,Cal!$X$51=6,Cal!$W$52=6,Cal!$W$54=6,Cal!$X$54=6,Cal!$X$55=6,Cal!$X$56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O30</xm:sqref>
        </x14:conditionalFormatting>
        <x14:conditionalFormatting xmlns:xm="http://schemas.microsoft.com/office/excel/2006/main">
          <x14:cfRule type="expression" priority="318" id="{5AB6339A-C996-48E8-867D-4DA62AD110B4}">
            <xm:f>OR(Cal!$S$35=6,Cal!$N$36=6,Cal!$O$40=6,Cal!$S$39=6,Cal!$S$43=6,Cal!$S$47=6,Cal!$S$51=6,Cal!$S$55=6,Cal!$O$53=6,Cal!$O$54=6,Cal!$N$54=6,Cal!$N$57=6,Cal!$AN$35=6,Cal!$AI$36=6,Cal!$AN$39=6,Cal!$AJ$40=6,Cal!$AN$43=6,Cal!$AN$47=6,Cal!$AN$51=6,Cal!$AN$55=6,Cal!$AJ$53=6,Cal!$AJ$54=6,Cal!$AI$54=6,Cal!$AI$57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AU30</xm:sqref>
        </x14:conditionalFormatting>
        <x14:conditionalFormatting xmlns:xm="http://schemas.microsoft.com/office/excel/2006/main">
          <x14:cfRule type="expression" priority="317" id="{856A06D2-757C-4BCE-80BD-31FD9D453DC3}">
            <xm:f>OR(Cal!$E$3=6,Cal!$B$4=6,Cal!$C$5=6,Cal!$E$7=6,Cal!$C$8=6,Cal!$B$9=6,Cal!$E$11=6,Cal!$D$12=6,Cal!$B$14=6,Cal!$C$14=6,Cal!$D$14=6,Cal!$E$14=6,Cal!$E$15=6,Cal!$E$16=6,Cal!$Z$3=6,Cal!$W$4=6,Cal!$X$5=6,Cal!$Z$7=6,Cal!$X$8=6,Cal!$W$9=6,Cal!$Z$11=6,Cal!$Y$12=6,Cal!$W$14=6,Cal!$X$14=6,Cal!$Y$14=6,Cal!$Z$14=6,Cal!$Z$15=6,Cal!$Z$16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S10</xm:sqref>
        </x14:conditionalFormatting>
        <x14:conditionalFormatting xmlns:xm="http://schemas.microsoft.com/office/excel/2006/main">
          <x14:cfRule type="expression" priority="316" id="{971C3C0E-E1A9-47C6-A82D-87D75EF026E8}">
            <xm:f>OR(Cal!$Q$3=6,Cal!$N$4=6,Cal!$O$5=6,Cal!$Q$7=6,Cal!$O$8=6,Cal!$N$9=6,Cal!$Q$11=6,Cal!$Q$15=6,Cal!$L$17=6,Cal!$M$13=6,Cal!$L$14=6,Cal!$M$14=6,Cal!$N$14=6,Cal!$O$14=6,Cal!$AL$3=6,Cal!$AI$4=6,Cal!$AJ$5=6,Cal!$AL$7=6,Cal!$AJ$8=6,Cal!$AI$9=6,Cal!$AL$11=6,Cal!$AH$13=6,Cal!$AG$14=6,Cal!$AH$14=6,Cal!$AI$14=6,Cal!$AJ$14=6,Cal!$AL$15=6,Cal!$AG$17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AQ10</xm:sqref>
        </x14:conditionalFormatting>
        <x14:conditionalFormatting xmlns:xm="http://schemas.microsoft.com/office/excel/2006/main">
          <x14:cfRule type="expression" priority="315" id="{2BDBDBB7-C5EE-4709-A7CA-CE538F0748D8}">
            <xm:f>OR(Cal!$L$44=6,Cal!$Q$43=6,Cal!$Q$47=6,Cal!$M$48=6,Cal!$Q$51=6,Cal!$N$52=6,Cal!$O$53=6,Cal!$Q$55=6,Cal!$O$56=6,Cal!$N$57=6,Cal!$L$59=6,Cal!$M$59=6,Cal!$N$59=6,Cal!$O$59=6,Cal!$AL$43=6,Cal!$AG$44=6,Cal!$AL$47=6,Cal!$AH$48=6,Cal!$AL$51=6,Cal!$AI$52=6,Cal!$AJ$53=6,Cal!$AL$55=6,Cal!$AJ$56=6,Cal!$AI$57=6,Cal!$AG$59=6,Cal!$AH$59=6,Cal!$AI$59=6,Cal!$AJ$59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AQ34</xm:sqref>
        </x14:conditionalFormatting>
        <x14:conditionalFormatting xmlns:xm="http://schemas.microsoft.com/office/excel/2006/main">
          <x14:cfRule type="expression" priority="314" id="{1F217454-CA7C-473E-980D-FFC3AC8690C9}">
            <xm:f>OR(Cal!$E$43=6,Cal!$E$45=6,Cal!$E$47=6,Cal!$D$49=6,Cal!$E$51=6,Cal!$B$52=6,Cal!$C$53=6,Cal!$E$55=6,Cal!$C$56=6,Cal!$B$57=6,Cal!$B$59=6,Cal!$C$59=6,Cal!$D$59=6,Cal!$E$59=6,Cal!$Z$43=6,Cal!$Z$45=6,Cal!$Z$47=6,Cal!$Y$49=6,Cal!$Z$51=6,Cal!$W$52=6,Cal!$X$53=6,Cal!$Z$55=6,Cal!$X$56=6,Cal!$W$57=6,Cal!$W$59=6,Cal!$X$59=6,Cal!$Y$59=6,Cal!$Z$59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S34</xm:sqref>
        </x14:conditionalFormatting>
        <x14:conditionalFormatting xmlns:xm="http://schemas.microsoft.com/office/excel/2006/main">
          <x14:cfRule type="expression" priority="312" id="{A32D75AC-71F4-4A17-9F16-C56EF163732D}">
            <xm:f>OR(Cal!$I$11=6,Cal!$D$12=6,Cal!$I$13=6,Cal!$I$15=6,Cal!$E$16=6,Cal!$H$17=6,Cal!$I$19=6,Cal!$F$20=6,Cal!$G$21=6,Cal!$I$23=6,Cal!$G$24=6,Cal!$F$25=6,Cal!$I$27=6,Cal!$H$28=6,Cal!$E$29=6,Cal!$D$33=6,Cal!$D$30=6,Cal!$E$30=6,Cal!$F$30=6,Cal!$G$30=6,Cal!$H$30=6,Cal!$I$30=6,Cal!$I$31=6,Cal!$I$32=6,Cal!$AD$11=6,Cal!$Y$12=6,Cal!$AD$13=6,Cal!$AD$15=6,Cal!$Z$16=6,Cal!$AC$17=6,Cal!$AD$19=6,Cal!$AA$20=6,Cal!$AB$21=6,Cal!$AD$23=6,Cal!$AB$24=6,Cal!$AA$25=6,Cal!$AD$27=6,Cal!$AC$28=6,Cal!$Z$29=6,Cal!$Y$33=6,Cal!$AD$32=6,Cal!$AD$31=6,Cal!$AD$30=6,Cal!$AC$30=6,Cal!$AB$30=6,Cal!$AA$30=6,Cal!$Z$30=6,Cal!$Y$30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AA18</xm:sqref>
        </x14:conditionalFormatting>
        <x14:conditionalFormatting xmlns:xm="http://schemas.microsoft.com/office/excel/2006/main">
          <x14:cfRule type="expression" priority="311" id="{4FAF35F5-63EB-44AA-8E86-084C72872B02}">
            <xm:f>OR(Cal!$H$12=6,Cal!$M$11=6,Cal!$M$13=6,Cal!$M$15=6,Cal!$I$16=6,Cal!$L$17=6,Cal!$M$19=6,Cal!$J$20=6,Cal!$K$21=6,Cal!$M$23=6,Cal!$K$24=6,Cal!$J$25=6,Cal!$M$27=6,Cal!$L$28=6,Cal!$I$29=6,Cal!$H$33=6,Cal!$M$31=6,Cal!$M$32=6,Cal!$H$30=6,Cal!$I$30=6,Cal!$J$30=6,Cal!$K$30=6,Cal!$L$30=6,Cal!$M$30=6,Cal!$AH$11=6,Cal!$AC$12=6,Cal!$AH$13=6,Cal!$AH$15=6,Cal!$AD$16=6,Cal!$AG$17=6,Cal!$AH$19=6,Cal!$AE$20=6,Cal!$AF$21=6,Cal!$AH$23=6,Cal!$AF$24=6,Cal!$AE$25=6,Cal!$AH$27=6,Cal!$AG$28=6,Cal!$AD$29=6,Cal!$AC$33=6,Cal!$AH$31=6,Cal!$AH$32=6,Cal!$AH$30=6,Cal!$AG$30=6,Cal!$AF$30=6,Cal!$AE$30=6,Cal!$AD$30=6,Cal!$AC$30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AI18</xm:sqref>
        </x14:conditionalFormatting>
        <x14:conditionalFormatting xmlns:xm="http://schemas.microsoft.com/office/excel/2006/main">
          <x14:cfRule type="expression" priority="310" id="{BDBF3DF1-00F4-46C5-8E91-A7AC9EF842DA}">
            <xm:f>OR(Cal!$I$27=6,Cal!$D$28=6,Cal!$I$29=6,Cal!$I$31=6,Cal!$E$32=6,Cal!$H$33=6,Cal!$I$35=6,Cal!$F$36=6,Cal!$G$37=6,Cal!$I$39=6,Cal!$G$40=6,Cal!$F$41=6,Cal!$I$43=6,Cal!$H$44=6,Cal!$E$45=6,Cal!$D$49=6,Cal!$I$47=6,Cal!$I$48=6,Cal!$I$46=6,Cal!$H$46=6,Cal!$G$46=6,Cal!$F$46=6,Cal!$E$46=6,Cal!$D$46=6,Cal!$AD$27=6,Cal!$Y$28=6,Cal!$AD$29=6,Cal!$AD$31=6,Cal!$Z$32=6,Cal!$AC$33=6,Cal!$AD$35=6,Cal!$AA$36=6,Cal!$AB$37=6,Cal!$AD$39=6,Cal!$AB$40=6,Cal!$AA$41=6,Cal!$AD$43=6,Cal!$AC$44=6,Cal!$Z$45=6,Cal!$Y$46=6,Cal!$Z$46=6,Cal!$AA$46=6,Cal!$AB$46=6,Cal!$AC$46=6,Cal!$AD$46=6,Cal!$AD$47=6,Cal!$AD$48=6,Cal!$Y$49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AA26</xm:sqref>
        </x14:conditionalFormatting>
        <x14:conditionalFormatting xmlns:xm="http://schemas.microsoft.com/office/excel/2006/main">
          <x14:cfRule type="expression" priority="309" id="{C4CB4550-5682-435B-B361-51419E02A4D4}">
            <xm:f>OR(Cal!$M$27=6,Cal!$H$28=6,Cal!$M$29=6,Cal!$M$31=6,Cal!$I$32=6,Cal!$L$33=6,Cal!$M$35=6,Cal!$J$36=6,Cal!$K$37=6,Cal!$M$39=6,Cal!$K$40=6,Cal!$J$41=6,Cal!$M$43=6,Cal!$L$44=6,Cal!$I$45=6,Cal!$H$49=6,Cal!$M$48=6,Cal!$M$47=6,Cal!$M$46=6,Cal!$L$46=6,Cal!$K$46=6,Cal!$J$46=6,Cal!$I$46=6,Cal!$H$46=6,Cal!$AH$27=6,Cal!$AC$28=6,Cal!$AH$29=6,Cal!$AH$31=6,Cal!$AD$32=6,Cal!$AG$33=6,Cal!$AH$35=6,Cal!$AE$36=6,Cal!$AF$37=6,Cal!$AH$39=6,Cal!$AF$40=6,Cal!$AE$41=6,Cal!$AH$43=6,Cal!$AG$44=6,Cal!$AD$45=6,Cal!$AC$49=6,Cal!$AH$48=6,Cal!$AH$47=6,Cal!$AH$46=6,Cal!$AG$46=6,Cal!$AF$46=6,Cal!$AE$46=6,Cal!$AD$46=6,Cal!$AC$46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AI26</xm:sqref>
        </x14:conditionalFormatting>
        <x14:conditionalFormatting xmlns:xm="http://schemas.microsoft.com/office/excel/2006/main">
          <x14:cfRule type="expression" priority="308" id="{07E4F6C1-96DA-4EDF-904F-49061974AEE0}">
            <xm:f>OR(Cal!$Q$11=6,Cal!$L$12=6,Cal!$Q$15=6,Cal!$M$16=6,Cal!$Q$19=6,Cal!$N$20=6,Cal!$O$21=6,Cal!$Q$23=6,Cal!$O$24=6,Cal!$N$25=6,Cal!$Q$27=6,Cal!$Q$31=6,Cal!$L$33=6,Cal!$M$29=6,Cal!$L$30=6,Cal!$M$30=6,Cal!$N$30=6,Cal!$O$30=6,Cal!$AL$11=6,Cal!$AG$12=6,Cal!$AL$15=6,Cal!$AH$16=6,Cal!$AL$19=6,Cal!$AI$20=6,Cal!$AJ$21=6,Cal!$AL$23=6,Cal!$AJ$24=6,Cal!$AI$25=6,Cal!$AL$27=6,Cal!$AH$29=6,Cal!$AG$30=6,Cal!$AH$30=6,Cal!$AI$30=6,Cal!$AJ$30=6,Cal!$AL$31=6,Cal!$AG$33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AQ18</xm:sqref>
        </x14:conditionalFormatting>
        <x14:conditionalFormatting xmlns:xm="http://schemas.microsoft.com/office/excel/2006/main">
          <x14:cfRule type="expression" priority="307" id="{258E1B44-F339-4CF9-BCF6-BEAD4046C328}">
            <xm:f>OR(Cal!$Q$27=6,Cal!$L$28=6,Cal!$M$32=6,Cal!$Q$31=6,Cal!$Q$35=6,Cal!$N$36=6,Cal!$O$37=6,Cal!$Q$39=6,Cal!$O$40=6,Cal!$N$41=6,Cal!$Q$43=6,Cal!$M$45=6,Cal!$L$46=6,Cal!$M$46=6,Cal!$N$46=6,Cal!$O$46=6,Cal!$Q$47=6,Cal!$L$49=6,Cal!$AL$27=6,Cal!$AG$28=6,Cal!$AL$31=6,Cal!$AH$32=6,Cal!$AL$35=6,Cal!$AI$36=6,Cal!$AJ$37=6,Cal!$AL$39=6,Cal!$AJ$40=6,Cal!$AI$41=6,Cal!$AL$43=6,Cal!$AH$45=6,Cal!$AG$46=6,Cal!$AH$46=6,Cal!$AI$46=6,Cal!$AJ$46=6,Cal!$AL$47=6,Cal!$AG$49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AQ26</xm:sqref>
        </x14:conditionalFormatting>
        <x14:conditionalFormatting xmlns:xm="http://schemas.microsoft.com/office/excel/2006/main">
          <x14:cfRule type="expression" priority="306" id="{87376CDD-3507-4134-8AF8-82330A9CD5D9}">
            <xm:f>OR(Cal!$E$11=6,Cal!$E$13=6,Cal!$E$15=6,Cal!$D$17=6,Cal!$E$19=6,Cal!$B$20=6,Cal!$C$21=6,Cal!$E$23=6,Cal!$C$24=6,Cal!$B$25=6,Cal!$E$27=6,Cal!$D$28=6,Cal!$B$30=6,Cal!$C$30=6,Cal!$D$30=6,Cal!$E$30=6,Cal!$E$31=6,Cal!$E$32=6,Cal!$Z$11=6,Cal!$Z$13=6,Cal!$Z$15=6,Cal!$Y$17=6,Cal!$Z$19=6,Cal!$W$20=6,Cal!$X$21=6,Cal!$Z$23=6,Cal!$X$24=6,Cal!$W$25=6,Cal!$Z$27=6,Cal!$Y$28=6,Cal!$W$30=6,Cal!$X$30=6,Cal!$Y$30=6,Cal!$Z$30=6,Cal!$Z$31=6,Cal!$Z$32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S18</xm:sqref>
        </x14:conditionalFormatting>
        <x14:conditionalFormatting xmlns:xm="http://schemas.microsoft.com/office/excel/2006/main">
          <x14:cfRule type="expression" priority="305" id="{9677D44C-FE98-4609-A7A4-28A997CCC009}">
            <xm:f>OR(Cal!$E$27=6,Cal!$E$29=6,Cal!$E$31=6,Cal!$D$33=6,Cal!$E$35=6,Cal!$B$36=6,Cal!$C$37=6,Cal!$E$39=6,Cal!$C$40=6,Cal!$B$41=6,Cal!$E$43=6,Cal!$D$44=6,Cal!$B$46=6,Cal!$C$46=6,Cal!$D$46=6,Cal!$E$46=6,Cal!$E$47=6,Cal!$E$48=6,Cal!$Z$27=6,Cal!$Z$29=6,Cal!$Z$31=6,Cal!$Y$33=6,Cal!$Z$35=6,Cal!$W$36=6,Cal!$X$37=6,Cal!$Z$39=6,Cal!$X$40=6,Cal!$W$41=6,Cal!$Z$43=6,Cal!$Y$44=6,Cal!$Z$48=6,Cal!$Z$47=6,Cal!$Z$46=6,Cal!$Y$46=6,Cal!$X$46=6,Cal!$W$46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S26</xm:sqref>
        </x14:conditionalFormatting>
        <x14:conditionalFormatting xmlns:xm="http://schemas.microsoft.com/office/excel/2006/main">
          <x14:cfRule type="expression" priority="304" id="{3F42C426-BF5D-402E-AD1A-29E0E32A0AF3}">
            <xm:f>OR(Cal!$I$3=6,Cal!$F$4=6,Cal!$G$5=6,Cal!$I$7=6,Cal!$G$8=6,Cal!$F$9=6,Cal!$I$11=6,Cal!$H$12=6,Cal!$E$13=6,Cal!$D$14=6,Cal!$E$14=6,Cal!$F$14=6,Cal!$G$14=6,Cal!$H$14=6,Cal!$I$14=6,Cal!$I$15=6,Cal!$I$16=6,Cal!$D$17=6,Cal!$AD$3=6,Cal!$AA$4=6,Cal!$AB$5=6,Cal!$AD$7=6,Cal!$AB$8=6,Cal!$AA$9=6,Cal!$AD$11=6,Cal!$AC$12=6,Cal!$Z$13=6,Cal!$Y$14=6,Cal!$Z$14=6,Cal!$AA$14=6,Cal!$AB$14=6,Cal!$AC$14=6,Cal!$AD$14=6,Cal!$AD$15=6,Cal!$AD$16=6,Cal!$Y$17=6,)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AA10</xm:sqref>
        </x14:conditionalFormatting>
        <x14:conditionalFormatting xmlns:xm="http://schemas.microsoft.com/office/excel/2006/main">
          <x14:cfRule type="expression" priority="303" id="{656839F6-E3D8-451D-9E5C-F82B18746590}">
            <xm:f>OR(Cal!$M$3=6,Cal!$J$4=6,Cal!$K$5=6,Cal!$M$7=6,Cal!$K$8=6,Cal!$J$9=6,Cal!$M$11=6,Cal!$L$12=6,Cal!$I$13=6,Cal!$H$17=6,Cal!$M$15=6,Cal!$M$16=6,Cal!$M$14=6,Cal!$L$14=6,Cal!$K$14=6,Cal!$J$14=6,Cal!$I$14=6,Cal!$H$14=6,Cal!$AE$4=6,Cal!$AH$3=6,Cal!$AF$5=6,Cal!$AH$7=6,Cal!$AF$8=6,Cal!$AE$9=6,Cal!$AH$11=6,Cal!$AG$12=6,Cal!$AD$13=6,Cal!$AC$17=6,Cal!$AC$14=6,Cal!$AD$14=6,Cal!$AE$14=6,Cal!$AF$14=6,Cal!$AG$14=6,Cal!$AH$14=6,Cal!$AH$16=6,Cal!$AH$15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AI10</xm:sqref>
        </x14:conditionalFormatting>
        <x14:conditionalFormatting xmlns:xm="http://schemas.microsoft.com/office/excel/2006/main">
          <x14:cfRule type="expression" priority="302" id="{D3E0D160-236C-4507-9E93-529F8A2794D2}">
            <xm:f>OR(Cal!$I$43=6,Cal!$D$44=6,Cal!$I$45=6,Cal!$I$47=6,Cal!$H$49=6,Cal!$E$48=6,Cal!$I$51=6,Cal!$F$52=6,Cal!$G$53=6,Cal!$I$55=6,Cal!$G$56=6,Cal!$F$57=6,Cal!$D$59=6,Cal!$E$59=6,Cal!$F$59=6,Cal!$G$59=6,Cal!$H$59=6,Cal!$I$59=6,Cal!$AD$43=6,Cal!$Y$44=6,Cal!$AD$45=6,Cal!$AD$47=6,Cal!$Z$48=6,Cal!$AC$49=6,Cal!$AD$51=6,Cal!$AA$52=6,Cal!$AB$53=6,Cal!$AD$55=6,Cal!$AB$56=6,Cal!$AA$57=6,Cal!$Y$59=6,Cal!$Z$59=6,Cal!$AA$59=6,Cal!$AB$59=6,Cal!$AC$59=6,Cal!$AD$59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AA34</xm:sqref>
        </x14:conditionalFormatting>
        <x14:conditionalFormatting xmlns:xm="http://schemas.microsoft.com/office/excel/2006/main">
          <x14:cfRule type="expression" priority="301" id="{B26FA071-4464-47FE-9E43-EC8EBA00F2FA}">
            <xm:f>OR(Cal!$M$43=6,Cal!$H$44=6,Cal!$M$45=6,Cal!$M$47=6,Cal!$I$48=6,Cal!$L$49=6,Cal!$M$51=6,Cal!$J$52=6,Cal!$K$53=6,Cal!$M$55=6,Cal!$K$56=6,Cal!$J$57=6,Cal!$H$59=6,Cal!$I$59=6,Cal!$J$59=6,Cal!$K$59=6,Cal!$L$59=6,Cal!$M$59=6,Cal!$AH$43=6,Cal!$AC$44=6,Cal!$AH$45=6,Cal!$AH$47=6,Cal!$AD$48=6,Cal!$AG$49=6,Cal!$AH$51=6,Cal!$AE$52=6,Cal!$AF$53=6,Cal!$AH$55=6,Cal!$AF$56=6,Cal!$AE$57=6,Cal!$AC$59=6,Cal!$AD$59=6,Cal!$AE$59=6,Cal!$AF$59=6,Cal!$AG$59=6,Cal!$AH$59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AI34</xm:sqref>
        </x14:conditionalFormatting>
        <x14:conditionalFormatting xmlns:xm="http://schemas.microsoft.com/office/excel/2006/main">
          <x14:cfRule type="expression" priority="300" id="{214FA35D-B29F-4A4F-A854-0482ADCF8F86}">
            <xm:f>OR(Cal!$D$55=6,Cal!$D$57=6,Cal!$B$62=6,Cal!$C$62=6,Cal!$D$62=6,Cal!$Y$55=6,Cal!$Y$57=6,Cal!$W$62=6,Cal!$X$62=6,Cal!$Y$62=6)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Q40</xm:sqref>
        </x14:conditionalFormatting>
        <x14:conditionalFormatting xmlns:xm="http://schemas.microsoft.com/office/excel/2006/main">
          <x14:cfRule type="expression" priority="299" id="{F1D0CD33-98E5-4B50-A3AB-0FE795DA87CA}">
            <xm:f>OR(Cal!$E$55=6,Cal!$E$57=6,Cal!$B$62=6,Cal!$C$62=6,Cal!$D$62=6,Cal!$E$62=6,Cal!$Z$55=6,Cal!$Z$57=6,Cal!$W$62=6,Cal!$X$62=6,Cal!$Y$62=6,Cal!$Z$62=6)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S40</xm:sqref>
        </x14:conditionalFormatting>
        <x14:conditionalFormatting xmlns:xm="http://schemas.microsoft.com/office/excel/2006/main">
          <x14:cfRule type="expression" priority="298" id="{F891D779-FA61-42C5-9749-7CAF0F17B6CC}">
            <xm:f>OR(Cal!$F$55=6,Cal!$F$57=6,Cal!$F$62=6,Cal!$E$62=6,Cal!$D$62=6,Cal!$C$62=6,Cal!$B$62=6,Cal!$W$62=6,Cal!$X$62=6,Cal!$Y$62=6,Cal!$Z$62=6,Cal!$AA$62=6,Cal!$AA$57=6,Cal!$AA$55=6)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U40</xm:sqref>
        </x14:conditionalFormatting>
        <x14:conditionalFormatting xmlns:xm="http://schemas.microsoft.com/office/excel/2006/main">
          <x14:cfRule type="expression" priority="297" id="{FDAAE3CB-92B6-47CA-9FA1-87C8BCFC26E0}">
            <xm:f>OR(Cal!$G$55=6,Cal!$B$56=6,Cal!$G$57=6,Cal!$G$62=6,Cal!$F$62=6,Cal!$E$62=6,Cal!$D$62=6,Cal!$C$62=6,Cal!$B$62=6,Cal!$AB$55=6,Cal!$W$56=6,Cal!$AB$57=6,Cal!$AB$62=6,Cal!$AA$62=6,Cal!$Z$62=6,Cal!$Y$62=6,Cal!$X$62=6,Cal!$W$62=6)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W40</xm:sqref>
        </x14:conditionalFormatting>
        <x14:conditionalFormatting xmlns:xm="http://schemas.microsoft.com/office/excel/2006/main">
          <x14:cfRule type="expression" priority="296" id="{5180ABFD-5C3D-461D-9685-0F656BBC8BDE}">
            <xm:f>OR(Cal!$AM$55=6,Cal!$AH$56=6,Cal!$AJ$62=6,Cal!$AI$62=6,Cal!$AH$62=6,Cal!$R$55=6,Cal!$M$56=6,Cal!$O$62=6,Cal!$N$62=6,Cal!$M$62=6)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AS40</xm:sqref>
        </x14:conditionalFormatting>
        <x14:conditionalFormatting xmlns:xm="http://schemas.microsoft.com/office/excel/2006/main">
          <x14:cfRule type="expression" priority="295" id="{B7B8E4A7-839A-4176-833B-424A3D0E063F}">
            <xm:f>OR(Cal!$Q$55=6,Cal!$L$56=6,Cal!$L$62=6,Cal!$M$62=6,Cal!$N$62=6,Cal!$O$62=6,Cal!$AL$55=6,Cal!$AG$56=6,Cal!$AG$62=6,Cal!$AH$62=6,Cal!$AI$62=6,Cal!$AJ$62=6)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AQ40</xm:sqref>
        </x14:conditionalFormatting>
        <x14:conditionalFormatting xmlns:xm="http://schemas.microsoft.com/office/excel/2006/main">
          <x14:cfRule type="expression" priority="294" id="{F1759A0D-B9D3-40DA-A13B-43851662F44C}">
            <xm:f>OR(Cal!$K$56=6,Cal!$P$55=6,Cal!$K$62=6,Cal!$L$62=6,Cal!$M$62=6,Cal!$N$62=6,Cal!$O$62=6,Cal!$AK$55=6,Cal!$AF$56=6,Cal!$AF$62=6,Cal!$AG$62=6,Cal!$AH$62=6,Cal!$AI$62=6,Cal!$AJ$62=6)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AO40</xm:sqref>
        </x14:conditionalFormatting>
        <x14:conditionalFormatting xmlns:xm="http://schemas.microsoft.com/office/excel/2006/main">
          <x14:cfRule type="expression" priority="293" id="{58AA4F6E-A4D6-4AE4-BC6D-FD262C37ACCE}">
            <xm:f>OR(Cal!$I$56=6,Cal!$N$55=6,Cal!$N$57=6,Cal!$N$62=6,Cal!$M$62=6,Cal!$L$62=6,Cal!$K$62=6,Cal!$J$62=6,Cal!$I$62=6,Cal!$AI$55=6,Cal!$AI$57=6,Cal!$AD$56=6,Cal!$AD$62=6,Cal!$AE$62=6,Cal!$AF$62=6,Cal!$AG$62=6,Cal!$AH$62=6,Cal!$AI$62=6)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AK40</xm:sqref>
        </x14:conditionalFormatting>
        <x14:conditionalFormatting xmlns:xm="http://schemas.microsoft.com/office/excel/2006/main">
          <x14:cfRule type="expression" priority="292" id="{9E1A94EF-7A4C-440A-9A2A-463D8B89DEE3}">
            <xm:f>OR(Cal!$H$56=6,Cal!$M$55=6,Cal!$M$57=6,Cal!$H$62=6,Cal!$I$62=6,Cal!$J$62=6,Cal!$K$62=6,Cal!$L$62=6,Cal!$M$62=6,Cal!$AH$55=6,Cal!$AC$56=6,Cal!$AH$57=6,Cal!$AC$62=6,Cal!$AD$62=6,Cal!$AE$62=6,Cal!$AF$62=6,Cal!$AG$62=6,Cal!$AH$62=6)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AI40</xm:sqref>
        </x14:conditionalFormatting>
        <x14:conditionalFormatting xmlns:xm="http://schemas.microsoft.com/office/excel/2006/main">
          <x14:cfRule type="expression" priority="291" id="{96EE8B8B-30AA-4567-A82D-717341555C53}">
            <xm:f>OR(Cal!$L$55=6,Cal!$G$56=6,Cal!$L$57=6,Cal!$G$62=6,Cal!$H$62=6,Cal!$I$62=6,Cal!$J$62=6,Cal!$K$62=6,Cal!$L$62=6,Cal!$AG$55=6,Cal!$AG$57=6,Cal!$AB$56=6,Cal!$AB$62=6,Cal!$AC$62=6,Cal!$AD$62=6,Cal!$AE$62=6,Cal!$AF$62=6,Cal!$AG$62=6)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AG40</xm:sqref>
        </x14:conditionalFormatting>
        <x14:conditionalFormatting xmlns:xm="http://schemas.microsoft.com/office/excel/2006/main">
          <x14:cfRule type="expression" priority="290" id="{C95F6B81-D435-4A14-B003-265978302376}">
            <xm:f>OR(Cal!$E$56=6,Cal!$J$55=6,Cal!$J$57=6,Cal!$E$62=6,Cal!$F$62=6,Cal!$G$62=6,Cal!$H$62=6,Cal!$I$62=6,Cal!$J$62=6,Cal!$AE$55=6,Cal!$Z$56=6,Cal!$AE$57=6,Cal!$Z$62=6,Cal!$AA$62=6,Cal!$AB$62=6,Cal!$AC$62=6,Cal!$AD$62=6,Cal!$AE$62=6)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AC40</xm:sqref>
        </x14:conditionalFormatting>
        <x14:conditionalFormatting xmlns:xm="http://schemas.microsoft.com/office/excel/2006/main">
          <x14:cfRule type="expression" priority="289" id="{C88871D9-E4F7-4F6E-857A-5205563D778D}">
            <xm:f>OR(Cal!$D$56=6,Cal!$I$55=6,Cal!$I$57=6,Cal!$D$62=6,Cal!$E$62=6,Cal!$F$62=6,Cal!$G$62=6,Cal!$H$62=6,Cal!$I$62=6,Cal!$AD$55=6,Cal!$Y$56=6,Cal!$AD$57=6,Cal!$Y$62=6,Cal!$Z$62=6,Cal!$AA$62=6,Cal!$AB$62=6,Cal!$AC$62=6,Cal!$AD$62=6)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AA40</xm:sqref>
        </x14:conditionalFormatting>
        <x14:conditionalFormatting xmlns:xm="http://schemas.microsoft.com/office/excel/2006/main">
          <x14:cfRule type="expression" priority="288" id="{D9B4634E-35BF-4FF5-89BE-BDCA3E42DA95}">
            <xm:f>OR(Cal!$C$56=6,Cal!$H$55=6,Cal!$H$57=6,Cal!$C$62=6,Cal!$D$62=6,Cal!$E$62=6,Cal!$F$62=6,Cal!$G$62=6,Cal!$H$62=6,Cal!$AC$55=6,Cal!$X$56=6,Cal!$AC$57=6,Cal!$AC$62=6,Cal!$AB$62=6,Cal!$AA$62=6,Cal!$Z$62=6,Cal!$Y$62=6,Cal!$X$62=6)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Y40</xm:sqref>
        </x14:conditionalFormatting>
        <x14:conditionalFormatting xmlns:xm="http://schemas.microsoft.com/office/excel/2006/main">
          <x14:cfRule type="expression" priority="287" id="{91B139ED-B3C3-436C-9B3B-DC798F521805}">
            <xm:f>OR(Cal!$B$3=6,Cal!$B$7=6,Cal!$B$10=6,Cal!$B$11=6,Cal!$B$12=6,Cal!$W$3=6,Cal!$W$7=6,Cal!$W$10=6,Cal!$W$11=6,Cal!$W$12=6)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M8</xm:sqref>
        </x14:conditionalFormatting>
        <x14:conditionalFormatting xmlns:xm="http://schemas.microsoft.com/office/excel/2006/main">
          <x14:cfRule type="expression" priority="286" id="{DC2A3FA7-DDD1-48C9-AB45-264EF1E0E745}">
            <xm:f>OR(Cal!$B$3=6,Cal!$B$7=6,Cal!$B$11=6,Cal!$B$14=6,Cal!$B$15=6,Cal!$B$16=6,Cal!$W$3=6,Cal!$W$7=6,Cal!$W$11=6,Cal!$W$14=6,Cal!$W$15=6,Cal!$W$16=6)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M10</xm:sqref>
        </x14:conditionalFormatting>
        <x14:conditionalFormatting xmlns:xm="http://schemas.microsoft.com/office/excel/2006/main">
          <x14:cfRule type="expression" priority="285" id="{841EC936-CA35-4377-BFC2-E30E3D76B410}">
            <xm:f>OR(Cal!$B$3=6,Cal!$B$7=6,Cal!$B$11=6,Cal!$B$15=6,Cal!$B$18=6,Cal!$B$20=6,Cal!$B$19=6,Cal!$W$3=6,Cal!$W$7=6,Cal!$W$11=6,Cal!$W$15=6,Cal!$W$18=6,Cal!$W$19=6,Cal!$W$20=6)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M12</xm:sqref>
        </x14:conditionalFormatting>
        <x14:conditionalFormatting xmlns:xm="http://schemas.microsoft.com/office/excel/2006/main">
          <x14:cfRule type="expression" priority="284" id="{A7C94761-3B0D-4567-A9A3-6E70AF0536EF}">
            <xm:f>OR(Cal!$B$7=6,Cal!$B$9=6,Cal!$B$11=6,Cal!$B$15=6,Cal!$B$19=6,Cal!$B$23=6,Cal!$B$26=6,Cal!$B$27=6,Cal!$B$28=6,Cal!$W$7=6,Cal!$W$9=6,Cal!$W$11=6,Cal!$W$15=6,Cal!$W$19=6,Cal!$W$23=6,Cal!$W$26=6,Cal!$W$27=6,Cal!$W$28=6)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M16</xm:sqref>
        </x14:conditionalFormatting>
        <x14:conditionalFormatting xmlns:xm="http://schemas.microsoft.com/office/excel/2006/main">
          <x14:cfRule type="expression" priority="283" id="{26ACF266-261E-406A-B4F6-7EB82CBDE31E}">
            <xm:f>OR(Cal!$B$11=6,Cal!$B$13=6,Cal!$B$15=6,Cal!$B$19=6,Cal!$B$23=6,Cal!$B$27=6,Cal!$B$30=6,Cal!$B$31=6,Cal!$B$32=6,Cal!$W$11=6,Cal!$W$13=6,Cal!$W$15=6,Cal!$W$19=6,Cal!$W$23=6,Cal!$W$27=6,Cal!$W$30=6,Cal!$W$31=6,Cal!$W$32=6)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M18</xm:sqref>
        </x14:conditionalFormatting>
        <x14:conditionalFormatting xmlns:xm="http://schemas.microsoft.com/office/excel/2006/main">
          <x14:cfRule type="expression" priority="282" id="{B1A7DF81-381F-47FB-A4F8-CC26DA37FC23}">
            <xm:f>OR(Cal!$B$15=6,Cal!$B$17=6,Cal!$B$19=6,Cal!$B$23=6,Cal!$B$27=6,Cal!$B$31=6,Cal!$B$34=6,Cal!$B$35=6,Cal!$B$36=6,Cal!$W$15=6,Cal!$W$17=6,Cal!$W$19=6,Cal!$W$23=6,Cal!$W$27=6,Cal!$W$31=6,Cal!$W$34=6,Cal!$W$35=6,Cal!$W$36=6)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M20</xm:sqref>
        </x14:conditionalFormatting>
        <x14:conditionalFormatting xmlns:xm="http://schemas.microsoft.com/office/excel/2006/main">
          <x14:cfRule type="expression" priority="281" id="{7D2E9E60-A326-4BA3-9CC5-9F4F17D78845}">
            <xm:f>OR(Cal!$B$23=6,Cal!$B$25=6,Cal!$B$27=6,Cal!$B$31=6,Cal!$B$35=6,Cal!$B$39=6,Cal!$B$42=6,Cal!$B$43=6,Cal!$B$44=6,Cal!$W$23=6,Cal!$W$25=6,Cal!$W$27=6,Cal!$W$31=6,Cal!$W$35=6,Cal!$W$39=6,Cal!$W$42=6,Cal!$W$43=6,Cal!$W$44=6)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M24</xm:sqref>
        </x14:conditionalFormatting>
        <x14:conditionalFormatting xmlns:xm="http://schemas.microsoft.com/office/excel/2006/main">
          <x14:cfRule type="expression" priority="280" id="{3A91ADF4-4410-4E5A-9B20-7197BD9878A2}">
            <xm:f>OR(Cal!$B$27=6,Cal!$B$29=6,Cal!$B$31=6,Cal!$B$35=6,Cal!$B$39=6,Cal!$B$43=6,Cal!$B$46=6,Cal!$B$47=6,Cal!$B$48=6,Cal!$W$27=6,Cal!$W$29=6,Cal!$W$31=6,Cal!$W$35=6,Cal!$W$39=6,Cal!$W$43=6,Cal!$W$46=6,Cal!$W$47=6,Cal!$W$48=6)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M26</xm:sqref>
        </x14:conditionalFormatting>
        <x14:conditionalFormatting xmlns:xm="http://schemas.microsoft.com/office/excel/2006/main">
          <x14:cfRule type="expression" priority="279" id="{DA3CD402-AFFF-42EE-A673-814547790D1E}">
            <xm:f>OR(Cal!$B$31=6,Cal!$B$33=6,Cal!$B$35=6,Cal!$B$39=6,Cal!$B$43=6,Cal!$B$47=6,Cal!$B$50=6,Cal!$B$51=6,Cal!$B$52=6,Cal!$W$31=6,Cal!$W$33=6,Cal!$W$35=6,Cal!$W$39=6,Cal!$W$43=6,Cal!$W$47=6,Cal!$W$50=6,Cal!$W$51=6,Cal!$W$52=6)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M28</xm:sqref>
        </x14:conditionalFormatting>
        <x14:conditionalFormatting xmlns:xm="http://schemas.microsoft.com/office/excel/2006/main">
          <x14:cfRule type="expression" priority="277" id="{5D89B988-0BB8-4AE5-ACBB-F85A58278C76}">
            <xm:f>OR(Cal!$B$39=6,Cal!$B$41=6,Cal!$B$43=6,Cal!$B$47=6,Cal!$B$51=6,Cal!$B$55=6,Cal!$B$58=6,Cal!$W$39=6,Cal!$W$41=6,Cal!$W$43=6,Cal!$W$47=6,Cal!$W$51=6,Cal!$W$55=6,Cal!$W$58=6)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M32</xm:sqref>
        </x14:conditionalFormatting>
        <x14:conditionalFormatting xmlns:xm="http://schemas.microsoft.com/office/excel/2006/main">
          <x14:cfRule type="expression" priority="275" id="{BC65A199-3223-4713-A701-A4108095668B}">
            <xm:f>OR(Cal!$B$43=6,Cal!$B$45=6,Cal!$B$47=6,Cal!$B$51=6,Cal!$B$55=6,Cal!$B$59=6,Cal!$W$43=6,Cal!$W$45=6,Cal!$W$47=6,Cal!$W$51=6,Cal!$W$55=6,Cal!$W$59=6)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M34</xm:sqref>
        </x14:conditionalFormatting>
        <x14:conditionalFormatting xmlns:xm="http://schemas.microsoft.com/office/excel/2006/main">
          <x14:cfRule type="expression" priority="274" id="{7D43D7EA-6174-4001-8429-255125F92C44}">
            <xm:f>OR(Cal!$B$47=6,Cal!$B$49=6,Cal!$B$51=6,Cal!$B$55=6,Cal!$B$60=6,Cal!$W$47=6,Cal!$W$49=6,Cal!$W$51=6,Cal!$W$55=6,Cal!$W$60=6)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M36</xm:sqref>
        </x14:conditionalFormatting>
        <x14:conditionalFormatting xmlns:xm="http://schemas.microsoft.com/office/excel/2006/main">
          <x14:cfRule type="expression" priority="273" id="{4FF65B42-5B70-4DA0-B084-9CA6A5C7C2D3}">
            <xm:f>OR(Cal!$O$48=6,Cal!$T$47=6,Cal!$T$51=6,Cal!$T$55=6,Cal!$O$60=6,Cal!$AJ$60=6,Cal!$AJ$48=6,Cal!$AO$47=6,Cal!$AO$51=6,Cal!$AO$55=6)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AW36</xm:sqref>
        </x14:conditionalFormatting>
        <x14:conditionalFormatting xmlns:xm="http://schemas.microsoft.com/office/excel/2006/main">
          <x14:cfRule type="expression" priority="271" id="{E5F490EF-7D0B-4D69-8940-542867F0A34B}">
            <xm:f>OR(Cal!$T$43=6,Cal!$O$44=6,Cal!$T$47=6,Cal!$T$51=6,Cal!$T$55=6,Cal!$O$59=6,Cal!$AJ$59=6,Cal!$AO$55=6,Cal!$AO$51=6,Cal!$AO$47=6,Cal!$AO$43=6,Cal!$AJ$44=6)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AW34</xm:sqref>
        </x14:conditionalFormatting>
        <x14:conditionalFormatting xmlns:xm="http://schemas.microsoft.com/office/excel/2006/main">
          <x14:cfRule type="expression" priority="270" id="{80FF13A0-2629-441B-A080-74D26C9DFE68}">
            <xm:f>OR(Cal!$T$39=6,Cal!$O$40=6,Cal!$T$43=6,Cal!$T$47=6,Cal!$T$51=6,Cal!$T$55=6,Cal!$O$58=6,Cal!$AO$39=6,Cal!$AO$43=6,Cal!$AO$47=6,Cal!$AO$51=6,Cal!$AO$55=6,Cal!$AJ$58=6,Cal!$AJ$40=6)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AW32</xm:sqref>
        </x14:conditionalFormatting>
        <x14:conditionalFormatting xmlns:xm="http://schemas.microsoft.com/office/excel/2006/main">
          <x14:cfRule type="expression" priority="269" id="{62B6A3BB-AD7B-4039-8EB5-FE4E6DEA1AEA}">
            <xm:f>OR(Cal!$T$3=6,Cal!$T$7=6,Cal!$T$11=6,Cal!$O$10=6,Cal!$O$13=6,Cal!$AJ$10=6,Cal!$AJ$13=6,Cal!$AO$3=6,Cal!$AO$7=6,Cal!$AO$11=6)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AW8</xm:sqref>
        </x14:conditionalFormatting>
        <x14:conditionalFormatting xmlns:xm="http://schemas.microsoft.com/office/excel/2006/main">
          <x14:cfRule type="expression" priority="268" id="{6592AF75-BCA1-4DBC-8BE1-A8F18B04C531}">
            <xm:f>OR(Cal!$T$7=6,Cal!$T$11=6,Cal!$T$15=6,Cal!$O$14=6,Cal!$O$17=6,Cal!$AO$3=6,Cal!$AO$7=6,Cal!$AO$11=6,Cal!$AO$15=6,Cal!$AJ$14=6,Cal!$AJ$17=6)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AW10</xm:sqref>
        </x14:conditionalFormatting>
        <x14:conditionalFormatting xmlns:xm="http://schemas.microsoft.com/office/excel/2006/main">
          <x14:cfRule type="expression" priority="267" id="{B5F92937-6E33-4621-9B78-FA89849419DD}">
            <xm:f>OR(Cal!$T$3=6,Cal!$T$7=6,Cal!$T$11=6,Cal!$T$15=6,Cal!$T$19=6,Cal!$O$18=6,Cal!$O$21=6,Cal!$AO$3=6,Cal!$AO$7=6,Cal!$AO$11=6,Cal!$AO$15=6,Cal!$AO$19=6,Cal!$AJ$18=6,Cal!$AJ$21=6)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AW12</xm:sqref>
        </x14:conditionalFormatting>
        <x14:conditionalFormatting xmlns:xm="http://schemas.microsoft.com/office/excel/2006/main">
          <x14:cfRule type="expression" priority="266" id="{425A0C4B-337D-4C22-8A56-A1764DB125E7}">
            <xm:f>OR(Cal!$T$7=6,Cal!$T$11=6,Cal!$T$15=6,Cal!$T$19=6,Cal!$T$23=6,Cal!$T$27=6,Cal!$O$29=6,Cal!$O$26=6,Cal!$O$8=6,Cal!$AO$7=6,Cal!$AO$11=6,Cal!$AO$15=6,Cal!$AO$19=6,Cal!$AO$23=6,Cal!$AO$27=6,Cal!$AJ$29=6,Cal!$AJ$26=6,Cal!$AJ$8=6)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AW16</xm:sqref>
        </x14:conditionalFormatting>
        <x14:conditionalFormatting xmlns:xm="http://schemas.microsoft.com/office/excel/2006/main">
          <x14:cfRule type="expression" priority="264" id="{212243F9-0B37-4BDE-A593-5E88B89CC786}">
            <xm:f>OR(Cal!$O$12=6,Cal!$O$30=6,Cal!$O$33=6,Cal!$T$31=6,Cal!$T$27=6,Cal!$T$23=6,Cal!$T$19=6,Cal!$T$15=6,Cal!$T$11=6,Cal!$AJ$12=6,Cal!$AJ$30=6,Cal!$AJ$33=6,Cal!$AO$31=6,Cal!$AO$27=6,Cal!$AO$23=6,Cal!$AO$19=6,Cal!$AO$15=6,Cal!$AO$11=6)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AW18</xm:sqref>
        </x14:conditionalFormatting>
        <x14:conditionalFormatting xmlns:xm="http://schemas.microsoft.com/office/excel/2006/main">
          <x14:cfRule type="expression" priority="263" id="{93A5AC3D-F5BF-4188-87F7-0DBB18E466BC}">
            <xm:f>OR(Cal!$AO$15=6,Cal!$AO$19=6,Cal!$AO$23=6,Cal!$AO$27=6,Cal!$AO$31=6,Cal!$AO$35=6,Cal!$AJ$37=6,Cal!$AJ$34=6,Cal!$AJ$16=6,Cal!$T$15=6,Cal!$T$19=6,Cal!$T$23=6,Cal!$T$27=6,Cal!$T$31=6,Cal!$T$35=6,Cal!$O$37=6,Cal!$O$34=6,Cal!$O$16=6)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AW20</xm:sqref>
        </x14:conditionalFormatting>
        <x14:conditionalFormatting xmlns:xm="http://schemas.microsoft.com/office/excel/2006/main">
          <x14:cfRule type="expression" priority="262" id="{D7DEC714-0ABA-42C8-A4E9-FA85E5782F6B}">
            <xm:f>OR(Cal!$T$23=6,Cal!$O$24=6,Cal!$T$27=6,Cal!$T$31=6,Cal!$T$35=6,Cal!$T$39=6,Cal!$T$43=6,Cal!$O$42=6,Cal!$O$45=6,Cal!$AO$23=6,Cal!$AJ$24=6,Cal!$AO$27=6,Cal!$AO$31=6,Cal!$AO$35=6,Cal!$AO$39=6,Cal!$AO$43=6,Cal!$AJ$42=6,Cal!$AJ$45=6)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AW24</xm:sqref>
        </x14:conditionalFormatting>
        <x14:conditionalFormatting xmlns:xm="http://schemas.microsoft.com/office/excel/2006/main">
          <x14:cfRule type="expression" priority="261" id="{F6BCB1EA-8E62-4D0F-9B98-EAC2B5E17C0A}">
            <xm:f>OR(Cal!$T$27=6,Cal!$O$28=6,Cal!$T$31=6,Cal!$T$35=6,Cal!$T$39=6,Cal!$T$43=6,Cal!$T$47=6,Cal!$O$46=6,Cal!$O$49=6,Cal!$AO$27=6,Cal!$AJ$28=6,Cal!$AO$31=6,Cal!$AO$35=6,Cal!$AO$39=6,Cal!$AO$43=6,Cal!$AO$47=6,Cal!$AJ$46=6,Cal!$AJ$49=6)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AW26</xm:sqref>
        </x14:conditionalFormatting>
        <x14:conditionalFormatting xmlns:xm="http://schemas.microsoft.com/office/excel/2006/main">
          <x14:cfRule type="expression" priority="260" id="{2448D5A5-DFF2-452D-8D35-A3857B75AB84}">
            <xm:f>OR(Cal!$O$32=6,Cal!$T$31=6,Cal!$T$35=6,Cal!$T$39=6,Cal!$T$43=6,Cal!$T$47=6,Cal!$T$51=6,Cal!$O$50=6,Cal!$O$53=6,Cal!$AO$31=6,Cal!$AJ$32=6,Cal!$AO$35=6,Cal!$AO$39=6,Cal!$AO$43=6,Cal!$AO$47=6,Cal!$AO$51=6,Cal!$AJ$50=6,Cal!$AJ$53=6)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AW28</xm:sqref>
        </x14:conditionalFormatting>
        <x14:conditionalFormatting xmlns:xm="http://schemas.microsoft.com/office/excel/2006/main">
          <x14:cfRule type="expression" priority="259" id="{125FCAAF-E681-467B-9E10-4EC4A77C15D4}">
            <xm:f>OR(Cal!$J$15=6,Cal!$E$16=6,Cal!$J$17=6,Cal!$J$19=6,Cal!$F$20=6,Cal!$I$21=6,Cal!$J$23=6,Cal!$G$24=6,Cal!$H$25=6,Cal!$J$27=6,Cal!$H$28=6,Cal!$G$29=6,Cal!$J$31=6,Cal!$I$32=6,Cal!$F$33=6,Cal!$E$34=6,Cal!$E$37=6,Cal!$F$34=6,Cal!$G$34=6,Cal!$H$34=6,Cal!$I$34=6,Cal!$J$34=6,Cal!$J$35=6,Cal!$J$36=6,Cal!$AE$15=6,Cal!$Z$16=6,Cal!$AE$17=6,Cal!$AE$19=6,Cal!$AA$20=6,Cal!$AD$21=6,Cal!$AE$23=6,Cal!$AB$24=6,Cal!$AC$25=6,Cal!$AE$27=6,Cal!$AC$28=6,Cal!$AB$29=6,Cal!$AE$31=6,Cal!$AD$32=6,Cal!$AA$33=6,Cal!$Z$34=6,Cal!$AA$34=6,Cal!$AB$34=6,Cal!$AC$34=6,Cal!$AD$34=6,Cal!$AE$34=6,Cal!$AE$35=6,Cal!$AE$36=6,Cal!$Z$37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AC20</xm:sqref>
        </x14:conditionalFormatting>
        <x14:conditionalFormatting xmlns:xm="http://schemas.microsoft.com/office/excel/2006/main">
          <x14:cfRule type="expression" priority="258" id="{234FEECB-CD50-4CC8-9D8F-20EDC9B8DEBE}">
            <xm:f>OR(Cal!$L$15=6,Cal!$G$16=6,Cal!$L$17=6,Cal!$L$19=6,Cal!$K$21=6,Cal!$H$20=6,Cal!$L$23=6,Cal!$I$24=6,Cal!$J$25=6,Cal!$L$27=6,Cal!$J$28=6,Cal!$I$29=6,Cal!$L$31=6,Cal!$K$32=6,Cal!$H$33=6,Cal!$G$34=6,Cal!$H$34=6,Cal!$I$34=6,Cal!$J$34=6,Cal!$K$34=6,Cal!$L$34=6,Cal!$L$35=6,Cal!$L$36=6,Cal!$G$37=6,Cal!$AG$15=6,Cal!$AB$16=6,Cal!$AG$17=6,Cal!$AG$19=6,Cal!$AC$20=6,Cal!$AF$21=6,Cal!$AG$23=6,Cal!$AD$24=6,Cal!$AE$25=6,Cal!$AG$27=6,Cal!$AE$28=6,Cal!$AD$29=6,Cal!$AG$31=6,Cal!$AF$32=6,Cal!$AC$33=6,Cal!$AB$34=6,Cal!$AC$34=6,Cal!$AD$34=6,Cal!$AE$34=6,Cal!$AF$34=6,Cal!$AG$34=6,Cal!$AG$35=6,Cal!$AG$36=6,Cal!$AB$37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AG20</xm:sqref>
        </x14:conditionalFormatting>
        <x14:conditionalFormatting xmlns:xm="http://schemas.microsoft.com/office/excel/2006/main">
          <x14:cfRule type="expression" priority="257" id="{26ADD2F9-D30C-4221-B838-9DD6E0917E13}">
            <xm:f>OR(Cal!$J$23=6,Cal!$E$24=6,Cal!$J$25=6,Cal!$J$27=6,Cal!$F$28=6,Cal!$I$29=6,Cal!$J$31=6,Cal!$G$32=6,Cal!$H$33=6,Cal!$J$35=6,Cal!$H$36=6,Cal!$G$37=6,Cal!$J$39=6,Cal!$I$40=6,Cal!$F$41=6,Cal!$E$42=6,Cal!$F$42=6,Cal!$G$42=6,Cal!$H$42=6,Cal!$I$42=6,Cal!$J$42=6,Cal!$J$43=6,Cal!$J$44=6,Cal!$E$45=6,Cal!$AE$23=6,Cal!$Z$24=6,Cal!$AE$25=6,Cal!$AA$28=6,Cal!$AE$27=6,Cal!$AD$29=6,Cal!$AE$31=6,Cal!$AB$32=6,Cal!$AC$33=6,Cal!$AE$35=6,Cal!$AC$36=6,Cal!$AB$37=6,Cal!$AE$39=6,Cal!$AD$40=6,Cal!$AA$41=6,Cal!$Z$42=6,Cal!$AA$42=6,Cal!$AB$42=6,Cal!$AC$42=6,Cal!$AD$42=6,Cal!$AE$42=6,Cal!$AE$43=6,Cal!$AE$44=6,Cal!$Z$45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AC24</xm:sqref>
        </x14:conditionalFormatting>
        <x14:conditionalFormatting xmlns:xm="http://schemas.microsoft.com/office/excel/2006/main">
          <x14:cfRule type="expression" priority="256" id="{9C45B053-8AA3-4348-9A0F-984089FAEA3E}">
            <xm:f>OR(Cal!$L$23=6,Cal!$G$24=6,Cal!$L$25=6,Cal!$L$27=6,Cal!$H$28=6,Cal!$K$29=6,Cal!$L$31=6,Cal!$I$32=6,Cal!$J$33=6,Cal!$L$35=6,Cal!$J$36=6,Cal!$I$37=6,Cal!$L$39=6,Cal!$K$40=6,Cal!$H$41=6,Cal!$G$42=6,Cal!$H$42=6,Cal!$I$42=6,Cal!$J$42=6,Cal!$K$42=6,Cal!$L$42=6,Cal!$L$43=6,Cal!$L$44=6,Cal!$G$45=6,Cal!$AG$23=6,Cal!$AB$24=6,Cal!$AG$25=6,Cal!$AG$27=6,Cal!$AC$28=6,Cal!$AF$29=6,Cal!$AG$31=6,Cal!$AD$32=6,Cal!$AE$33=6,Cal!$AG$35=6,Cal!$AE$36=6,Cal!$AD$37=6,Cal!$AG$39=6,Cal!$AF$40=6,Cal!$AC$41=6,Cal!$AB$45=6,Cal!$AB$42=6,Cal!$AC$42=6,Cal!$AD$42=6,Cal!$AE$42=6,Cal!$AF$42=6,Cal!$AG$42=6,Cal!$AG$43=6,Cal!$AG$44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AG24</xm:sqref>
        </x14:conditionalFormatting>
        <x14:conditionalFormatting xmlns:xm="http://schemas.microsoft.com/office/excel/2006/main">
          <x14:cfRule type="expression" priority="255" id="{03B907EE-97C2-495F-96DC-8D31B1B0B56E}">
            <xm:f>OR(Cal!$H$7=6,Cal!$C$8=6,Cal!$H$9=6,Cal!$H$11=6,Cal!$D$12=6,Cal!$G$13=6,Cal!$H$15=6,Cal!$E$16=6,Cal!$F$17=6,Cal!$H$19=6,Cal!$F$20=6,Cal!$E$21=6,Cal!$H$23=6,Cal!$G$24=6,Cal!$D$25=6,Cal!$C$29=6,Cal!$C$26=6,Cal!$D$26=6,Cal!$E$26=6,Cal!$F$26=6,Cal!$G$26=6,Cal!$H$26=6,Cal!$H$27=6,Cal!$H$28=6,Cal!$AC$7=6,Cal!$X$8=6,Cal!$AC$9=6,Cal!$AC$11=6,Cal!$Y$12=6,Cal!$AB$13=6,Cal!$AC$15=6,Cal!$Z$16=6,Cal!$AA$17=6,Cal!$AC$19=6,Cal!$AA$20=6,Cal!$Z$21=6,Cal!$AC$23=6,Cal!$AB$24=6,Cal!$Y$25=6,Cal!$X$26=6,Cal!$Y$26=6,Cal!$Z$26=6,Cal!$AA$26=6,Cal!$AB$26=6,Cal!$AC$26=6,Cal!$AC$27=6,Cal!$AC$28=6,Cal!$X$29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Y16</xm:sqref>
        </x14:conditionalFormatting>
        <x14:conditionalFormatting xmlns:xm="http://schemas.microsoft.com/office/excel/2006/main">
          <x14:cfRule type="expression" priority="254" id="{763D8D46-8E31-4CC5-979D-62EFB1B4D015}">
            <xm:f>OR(Cal!$N$31=6,Cal!$I$32=6,Cal!$N$33=6,Cal!$N$35=6,Cal!$J$36=6,Cal!$M$37=6,Cal!$N$39=6,Cal!$K$40=6,Cal!$L$41=6,Cal!$N$43=6,Cal!$L$44=6,Cal!$K$45=6,Cal!$N$47=6,Cal!$M$48=6,Cal!$J$49=6,Cal!$I$50=6,Cal!$J$50=6,Cal!$K$50=6,Cal!$L$50=6,Cal!$M$50=6,Cal!$N$50=6,Cal!$N$51=6,Cal!$N$52=6,Cal!$I$53=6,Cal!$AI$31=6,Cal!$AD$32=6,Cal!$AI$33=6,Cal!$AI$35=6,Cal!$AE$36=6,Cal!$AH$37=6,Cal!$AI$39=6,Cal!$AF$40=6,Cal!$AG$41=6,Cal!$AI$43=6,Cal!$AG$44=6,Cal!$AF$45=6,Cal!$AI$47=6,Cal!$AH$48=6,Cal!$AE$49=6,Cal!$AD$50=6,Cal!$AE$50=6,Cal!$AF$50=6,Cal!$AG$50=6,Cal!$AH$50=6,Cal!$AI$50=6,Cal!$AI$51=6,Cal!$AI$52=6,Cal!$AD$53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AK28</xm:sqref>
        </x14:conditionalFormatting>
        <x14:conditionalFormatting xmlns:xm="http://schemas.microsoft.com/office/excel/2006/main">
          <x14:cfRule type="expression" priority="253" id="{91BEA514-ECFA-485C-84CE-5CB06A27EC7F}">
            <xm:f>OR(Cal!$N$7=6,Cal!$I$8=6,Cal!$N$9=6,Cal!$N$11=6,Cal!$J$12=6,Cal!$M$13=6,Cal!$N$15=6,Cal!$K$16=6,Cal!$L$17=6,Cal!$N$19=6,Cal!$L$20=6,Cal!$K$21=6,Cal!$N$23=6,Cal!$M$24=6,Cal!$J$25=6,Cal!$I$26=6,Cal!$J$26=6,Cal!$K$26=6,Cal!$L$26=6,Cal!$M$26=6,Cal!$N$26=6,Cal!$N$27=6,Cal!$N$28=6,Cal!$I$29=6,Cal!$AI$7=6,Cal!$AD$8=6,Cal!$AI$9=6,Cal!$AI$11=6,Cal!$AE$12=6,Cal!$AH$13=6,Cal!$AI$15=6,Cal!$AF$16=6,Cal!$AG$17=6,Cal!$AI$19=6,Cal!$AG$20=6,Cal!$AF$21=6,Cal!$AI$23=6,Cal!$AH$24=6,Cal!$AE$25=6,Cal!$AD$26=6,Cal!$AE$26=6,Cal!$AF$26=6,Cal!$AG$26=6,Cal!$AH$26=6,Cal!$AI$26=6,Cal!$AI$27=6,Cal!$AI$28=6,Cal!$AD$29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AK16</xm:sqref>
        </x14:conditionalFormatting>
        <x14:conditionalFormatting xmlns:xm="http://schemas.microsoft.com/office/excel/2006/main">
          <x14:cfRule type="expression" priority="252" id="{9DCAA5B9-47B6-48AF-8DD1-E820356804B1}">
            <xm:f>OR(Cal!$H$31=6,Cal!$C$32=6,Cal!$H$33=6,Cal!$H$35=6,Cal!$D$36=6,Cal!$G$37=6,Cal!$H$39=6,Cal!$E$40=6,Cal!$F$41=6,Cal!$H$43=6,Cal!$F$44=6,Cal!$E$45=6,Cal!$H$47=6,Cal!$G$48=6,Cal!$D$49=6,Cal!$C$50=6,Cal!$D$50=6,Cal!$E$50=6,Cal!$F$50=6,Cal!$G$50=6,Cal!$H$50=6,Cal!$H$51=6,Cal!$H$52=6,Cal!$C$53=6,Cal!$AC$31=6,Cal!$X$32=6,Cal!$AC$33=6,Cal!$AC$35=6,Cal!$Y$36=6,Cal!$AB$37=6,Cal!$AC$39=6,Cal!$Z$40=6,Cal!$AA$41=6,Cal!$AC$43=6,Cal!$AA$44=6,Cal!$Z$45=6,Cal!$AC$47=6,Cal!$AB$48=6,Cal!$Y$49=6,Cal!$X$50=6,Cal!$Y$50=6,Cal!$Z$50=6,Cal!$AA$50=6,Cal!$AB$50=6,Cal!$AC$50=6,Cal!$AC$51=6,Cal!$AC$52=6,Cal!$X$53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Y28</xm:sqref>
        </x14:conditionalFormatting>
        <x14:conditionalFormatting xmlns:xm="http://schemas.microsoft.com/office/excel/2006/main">
          <x14:cfRule type="expression" priority="251" id="{028A0BE6-5D90-44F6-9978-E004B11A485F}">
            <xm:f>OR(Cal!$D$3=6,Cal!$B$4=6,Cal!$D$7=6,Cal!$C$8=6,Cal!$B$10=6,Cal!$C$10=6,Cal!$D$10=6,Cal!$D$11=6,Cal!$D$12=6,Cal!$Y$3=6,Cal!$W$4=6,Cal!$Y$7=6,Cal!$X$8=6,Cal!$W$10=6,Cal!$X$10=6,Cal!$Y$10=6,Cal!$Y$11=6,Cal!$Y$12=6)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Q8</xm:sqref>
        </x14:conditionalFormatting>
        <x14:conditionalFormatting xmlns:xm="http://schemas.microsoft.com/office/excel/2006/main">
          <x14:cfRule type="expression" priority="250" id="{266DBAAB-4B96-4A11-AF3C-6BBAD1C197D6}">
            <xm:f>OR(Cal!$F$3=6,Cal!$B$4=6,Cal!$E$5=6,Cal!$F$7=6,Cal!$C$8=6,Cal!$D$9=6,Cal!$F$11=6,Cal!$D$12=6,Cal!$C$13=6,Cal!$F$15=6,Cal!$E$16=6,Cal!$B$17=6,Cal!$B$18=6,Cal!$C$18=6,Cal!$D$18=6,Cal!$E$18=6,Cal!$F$18=6,Cal!$F$19=6,Cal!$F$20=6,Cal!$AA$3=6,Cal!$W$4=6,Cal!$Z$5=6,Cal!$AA$7=6,Cal!$X$8=6,Cal!$Y$9=6,Cal!$AA$11=6,Cal!$Y$12=6,Cal!$X$13=6,Cal!$AA$15=6,Cal!$Z$16=6,Cal!$W$17=6,Cal!$W$18=6,Cal!$X$18=6,Cal!$Y$18=6,Cal!$Z$18=6,Cal!$AA$18=6,Cal!$AA$19=6,Cal!$AA$20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U12</xm:sqref>
        </x14:conditionalFormatting>
        <x14:conditionalFormatting xmlns:xm="http://schemas.microsoft.com/office/excel/2006/main">
          <x14:cfRule type="expression" priority="249" id="{CFB7AA7D-E520-46AE-BD09-39915267FE03}">
            <xm:f>OR(Cal!$P$39=6,Cal!$K$40=6,Cal!$P$43=6,Cal!$L$44=6,Cal!$O$45=6,Cal!$P$47=6,Cal!$M$48=6,Cal!$N$49=6,Cal!$P$51=6,Cal!$N$52=6,Cal!$M$53=6,Cal!$P$55=6,Cal!$O$56=6,Cal!$L$57=6,Cal!$K$58=6,Cal!$L$58=6,Cal!$M$58=6,Cal!$N$58=6,Cal!$O$58=6,Cal!$AJ$58=6,Cal!$AI$58=6,Cal!$AH$58=6,Cal!$AG$58=6,Cal!$AF$58=6,Cal!$AG$57=6,Cal!$AJ$56=6,Cal!$AK$55=6,Cal!$AH$53=6,Cal!$AI$52=6,Cal!$AK$51=6,Cal!$AI$49=6,Cal!$AH$48=6,Cal!$AK$47=6,Cal!$AJ$45=6,Cal!$AK$43=6,Cal!$AG$44=6,Cal!$AF$40=6,Cal!$AK$39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AO32</xm:sqref>
        </x14:conditionalFormatting>
        <x14:conditionalFormatting xmlns:xm="http://schemas.microsoft.com/office/excel/2006/main">
          <x14:cfRule type="expression" priority="248" id="{63E64BEB-E745-4697-B560-7B42CBAFA1C8}">
            <xm:f>OR(Cal!$M$60=6,Cal!$N$60=6,Cal!$O$60=6,Cal!$O$56=6,Cal!$R$55=6,Cal!$R$51=6,Cal!$N$52=6,Cal!$M$48=6,Cal!$R$47=6,Cal!$AJ$60=6,Cal!$AI$60=6,Cal!$AH$60=6,Cal!$AJ$56=6,Cal!$AI$52=6,Cal!$AH$48=6,Cal!$AM$47=6,Cal!$AM$51=6,Cal!$AM$55=6)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AS36</xm:sqref>
        </x14:conditionalFormatting>
        <x14:conditionalFormatting xmlns:xm="http://schemas.microsoft.com/office/excel/2006/main">
          <x14:cfRule type="expression" priority="247" id="{8DAA8011-57BC-4A20-83D3-4E187BD4E5FA}">
            <xm:f>OR(Cal!$R$3=6,Cal!$O$5=6,Cal!$R$7=6,Cal!$R$11=6,Cal!$N$9=6,Cal!$O$10=6,Cal!$N$10=6,Cal!$M$10=6,Cal!$M$13=6,Cal!$AH$13=6,Cal!$AM$11=6,Cal!$AM$7=6,Cal!$AM$3=6,Cal!$AJ$5=6,Cal!$AI$9=6,Cal!$AH$10=6,Cal!$AI$10=6,Cal!$AJ$10=6)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AS8</xm:sqref>
        </x14:conditionalFormatting>
        <x14:conditionalFormatting xmlns:xm="http://schemas.microsoft.com/office/excel/2006/main">
          <x14:cfRule type="expression" priority="246" id="{5D83F5E7-B41E-4B5C-910E-435E82DC31CB}">
            <xm:f>OR(Cal!$D$47=6,Cal!$D$49=6,Cal!$D$51=6,Cal!$C$53=6,Cal!$D$55=6,Cal!$B$57=6,Cal!$B$60=6,Cal!$C$60=6,Cal!$D$60=6,Cal!$W$60=6,Cal!$X$60=6,Cal!$Y$60=6,Cal!$W$57=6,Cal!$Y$55=6,Cal!$X$53=6,Cal!$Y$51=6,Cal!$Y$49=6,Cal!$Y$47=6)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Q36</xm:sqref>
        </x14:conditionalFormatting>
        <x14:conditionalFormatting xmlns:xm="http://schemas.microsoft.com/office/excel/2006/main">
          <x14:cfRule type="expression" priority="245" id="{95FFB4A4-1603-433E-B4E9-53B36EA9669C}">
            <xm:f>OR(Cal!$P$3=6,Cal!$L$4=6,Cal!$O$5=6,Cal!$P$7=6,Cal!$M$8=6,Cal!$N$9=6,Cal!$P$11=6,Cal!$N$12=6,Cal!$M$13=6,Cal!$P$15=6,Cal!$O$16=6,Cal!$L$17=6,Cal!$K$18=6,Cal!$L$18=6,Cal!$M$18=6,Cal!$N$18=6,Cal!$O$18=6,Cal!$P$19=6,Cal!$K$21=6,Cal!$AK$3=6,Cal!$AG$4=6,Cal!$AJ$5=6,Cal!$AK$7=6,Cal!$AH$8=6,Cal!$AI$9=6,Cal!$AK$11=6,Cal!$AI$12=6,Cal!$AH$13=6,Cal!$AK$15=6,Cal!$AJ$16=6,Cal!$AG$17=6,Cal!$AF$18=6,Cal!$AG$18=6,Cal!$AH$18=6,Cal!$AI$18=6,Cal!$AJ$18=6,Cal!$AK$19=6,Cal!$AF$21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AO12</xm:sqref>
        </x14:conditionalFormatting>
        <x14:conditionalFormatting xmlns:xm="http://schemas.microsoft.com/office/excel/2006/main">
          <x14:cfRule type="expression" priority="244" id="{11005804-5104-4C8A-BB71-3D184DA39E9D}">
            <xm:f>OR(Cal!$F$39=6,Cal!$F$41=6,Cal!$F$43=6,Cal!$B$44=6,Cal!$E$45=6,Cal!$F$47=6,Cal!$C$48=6,Cal!$D$49=6,Cal!$F$51=6,Cal!$D$52=6,Cal!$C$53=6,Cal!$F$55=6,Cal!$E$56=6,Cal!$B$57=6,Cal!$B$58=6,Cal!$C$58=6,Cal!$D$58=6,Cal!$E$58=6,Cal!$F$58=6,Cal!$AA$39=6,Cal!$AA$41=6,Cal!$AA$43=6,Cal!$W$44=6,Cal!$Z$45=6,Cal!$AA$47=6,Cal!$X$48=6,Cal!$Y$49=6,Cal!$AA$51=6,Cal!$Y$52=6,Cal!$X$53=6,Cal!$AA$55=6,Cal!$Z$56=6,Cal!$W$57=6,Cal!$W$58=6,Cal!$X$58=6,Cal!$Y$58=6,Cal!$Z$58=6,Cal!$AA$58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U32</xm:sqref>
        </x14:conditionalFormatting>
        <x14:conditionalFormatting xmlns:xm="http://schemas.microsoft.com/office/excel/2006/main">
          <x14:cfRule type="expression" priority="243" id="{8E6212DF-E386-40B8-8D92-F86E272E76C4}">
            <xm:f>OR(Cal!$F$47=6,Cal!$F$49=6,Cal!$F$51=6,Cal!$B$52=6,Cal!$E$53=6,Cal!$F$55=6,Cal!$C$56=6,Cal!$D$57=6,Cal!$B$60=6,Cal!$C$60=6,Cal!$D$60=6,Cal!$E$60=6,Cal!$F$60=6,Cal!$AA$47=6,Cal!$AA$49=6,Cal!$AA$51=6,Cal!$W$52=6,Cal!$Z$53=6,Cal!$AA$55=6,Cal!$X$56=6,Cal!$Y$57=6,Cal!$W$60=6,Cal!$X$60=6,Cal!$Y$60=6,Cal!$Z$60=6,Cal!$AA$60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U36</xm:sqref>
        </x14:conditionalFormatting>
        <x14:conditionalFormatting xmlns:xm="http://schemas.microsoft.com/office/excel/2006/main">
          <x14:cfRule type="expression" priority="242" id="{916A76EC-0F2E-46CC-A47C-EBE198422A1B}">
            <xm:f>OR(Cal!$D$39=6,Cal!$D$41=6,Cal!$D$43=6,Cal!$C$45=6,Cal!$D$47=6,Cal!$B$49=6,Cal!$D$51=6,Cal!$B$52=6,Cal!$D$55=6,Cal!$C$56=6,Cal!$B$58=6,Cal!$C$58=6,Cal!$D$58=6,Cal!$Y$39=6,Cal!$Y$41=6,Cal!$Y$43=6,Cal!$X$45=6,Cal!$Y$47=6,Cal!$W$49=6,Cal!$Y$51=6,Cal!$W$52=6,Cal!$Y$55=6,Cal!$X$56=6,Cal!$W$58=6,Cal!$X$58=6,Cal!$Y$58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Q32</xm:sqref>
        </x14:conditionalFormatting>
        <x14:conditionalFormatting xmlns:xm="http://schemas.microsoft.com/office/excel/2006/main">
          <x14:cfRule type="expression" priority="241" id="{6F845696-D6CD-4E57-BECA-FC5C71EFAD95}">
            <xm:f>OR(Cal!$D$3=6,Cal!$C$5=6,Cal!$D$7=6,Cal!$B$9=6,Cal!$D$11=6,Cal!$B$12=6,Cal!$D$15=6,Cal!$C$16=6,Cal!$B$18=6,Cal!$C$18=6,Cal!$D$18=6,Cal!$D$19=6,Cal!$D$20=6,Cal!$Y$3=6,Cal!$X$5=6,Cal!$Y$7=6,Cal!$W$9=6,Cal!$Y$11=6,Cal!$W$12=6,Cal!$Y$15=6,Cal!$X$16=6,Cal!$W$18=6,Cal!$X$18=6,Cal!$Y$18=6,Cal!$Y$19=6,Cal!$Y$20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Q12</xm:sqref>
        </x14:conditionalFormatting>
        <x14:conditionalFormatting xmlns:xm="http://schemas.microsoft.com/office/excel/2006/main">
          <x14:cfRule type="expression" priority="240" id="{7C203087-7D76-417E-9851-9D26D400B9E1}">
            <xm:f>OR(Cal!$F$3=6,Cal!$D$4=6,Cal!$C$5=6,Cal!$F$7=6,Cal!$E$8=6,Cal!$B$9=6,Cal!$B$10=6,Cal!$C$10=6,Cal!$D$10=6,Cal!$E$10=6,Cal!$F$10=6,Cal!$F$11=6,Cal!$F$12=6,Cal!$AA$3=6,Cal!$Y$4=6,Cal!$X$5=6,Cal!$AA$7=6,Cal!$Z$8=6,Cal!$W$9=6,Cal!$W$10=6,Cal!$X$10=6,Cal!$Y$10=6,Cal!$Z$10=6,Cal!$AA$10=6,Cal!$AA$11=6,Cal!$AA$12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U8</xm:sqref>
        </x14:conditionalFormatting>
        <x14:conditionalFormatting xmlns:xm="http://schemas.microsoft.com/office/excel/2006/main">
          <x14:cfRule type="expression" priority="239" id="{7914C824-AE13-462E-96D3-2ABD8F7153A0}">
            <xm:f>OR(Cal!$G$3=6,Cal!$F$4=6,Cal!$C$5=6,Cal!$B$6=6,Cal!$C$6=6,Cal!$D$6=6,Cal!$E$6=6,Cal!$F$6=6,Cal!$G$6=6,Cal!$G$7=6,Cal!$G$8=6,Cal!$B$9=6,Cal!$AB$3=6,Cal!$AA$4=6,Cal!$X$5=6,Cal!$W$6=6,Cal!$X$6=6,Cal!$Y$6=6,Cal!$Z$6=6,Cal!$AA$6=6,Cal!$AB$6=6,Cal!$AB$7=6,Cal!$AB$8=6,Cal!$W$9=6)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W6</xm:sqref>
        </x14:conditionalFormatting>
        <x14:conditionalFormatting xmlns:xm="http://schemas.microsoft.com/office/excel/2006/main">
          <x14:cfRule type="expression" priority="238" id="{18D598F9-07AC-4D25-9D41-A59642DD6F7D}">
            <xm:f>OR(Cal!$P$3=6,Cal!$N$4=6,Cal!$M$5=6,Cal!$P$7=6,Cal!$O$8=6,Cal!$L$9=6,Cal!$K$10=6,Cal!$L$10=6,Cal!$M$10=6,Cal!$N$10=6,Cal!$O$10=6,Cal!$P$11=6,Cal!$K$13=6,Cal!$AK$3=6,Cal!$AI$4=6,Cal!$AH$5=6,Cal!$AK$7=6,Cal!$AJ$8=6,Cal!$AG$9=6,Cal!$AF$10=6,Cal!$AG$10=6,Cal!$AH$10=6,Cal!$AI$10=6,Cal!$AJ$10=6,Cal!$AK$11=6,Cal!$AF$13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AO8</xm:sqref>
        </x14:conditionalFormatting>
        <x14:conditionalFormatting xmlns:xm="http://schemas.microsoft.com/office/excel/2006/main">
          <x14:cfRule type="expression" priority="237" id="{D15959B7-F3A2-4E89-8746-63B92347BA2A}">
            <xm:f>OR(Cal!$R$3=6,Cal!$R$7=6,Cal!$R$11=6,Cal!$R$15=6,Cal!$R$19=6,Cal!$N$4=6,Cal!$O$8=6,Cal!$O$13=6,Cal!$N$17=6,Cal!$O$18=6,Cal!$N$18=6,Cal!$M$18=6,Cal!$M$21=6,Cal!$AM$3=6,Cal!$AM$7=6,Cal!$AM$11=6,Cal!$AM$15=6,Cal!$AM$19=6,Cal!$AI$4=6,Cal!$AJ$8=6,Cal!$AJ$13=6,Cal!$AI$17=6,Cal!$AJ$18=6,Cal!$AI$18=6,Cal!$AH$18=6,Cal!$AH$21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AS12</xm:sqref>
        </x14:conditionalFormatting>
        <x14:conditionalFormatting xmlns:xm="http://schemas.microsoft.com/office/excel/2006/main">
          <x14:cfRule type="expression" priority="235" id="{B5FE8BAB-D7CF-4605-B8BB-F807AF186789}">
            <xm:f>OR(Cal!$P$47=6,Cal!$K$48=6,Cal!$P$51=6,Cal!$L$52=6,Cal!$O$53=6,Cal!$P$55=6,Cal!$M$56=6,Cal!$N$57=6,Cal!$K$60=6,Cal!$L$60=6,Cal!$M$60=6,Cal!$N$60=6,Cal!$O$60=6,Cal!$AK$47=6,Cal!$AF$48=6,Cal!$AK$51=6,Cal!$AG$52=6,Cal!$AJ$53=6,Cal!$AK$55=6,Cal!$AH$56=6,Cal!$AI$57=6,Cal!$AF$60=6,Cal!$AG$60=6,Cal!$AH$60=6,Cal!$AI$60=6,Cal!$AJ$60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AO36</xm:sqref>
        </x14:conditionalFormatting>
        <x14:conditionalFormatting xmlns:xm="http://schemas.microsoft.com/office/excel/2006/main">
          <x14:cfRule type="expression" priority="234" id="{3F15A905-8AED-43EB-A872-021754559EAC}">
            <xm:f>OR(Cal!$R$39=6,Cal!$M$40=6,Cal!$R$43=6,Cal!$N$44=6,Cal!$R$47=6,Cal!$O$48=6,Cal!$R$51=6,Cal!$O$53=6,Cal!$R$55=6,Cal!$N$57=6,Cal!$M$58=6,Cal!$N$58=6,Cal!$O$58=6,Cal!$AM$39=6,Cal!$AH$40=6,Cal!$AM$43=6,Cal!$AI$44=6,Cal!$AM$47=6,Cal!$AJ$48=6,Cal!$AM$51=6,Cal!$AJ$53=6,Cal!$AM$55=6,Cal!$AI$57=6,Cal!$AH$58=6,Cal!$AI$58=6,Cal!$AJ$58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AS32</xm:sqref>
        </x14:conditionalFormatting>
        <x14:conditionalFormatting xmlns:xm="http://schemas.microsoft.com/office/excel/2006/main">
          <x14:cfRule type="expression" priority="233" id="{426B9B43-12DD-4901-B4B2-2FCE56B96B61}">
            <xm:f>OR(Cal!$D$15=6,Cal!$D$17=6,Cal!$D$19=6,Cal!$C$21=6,Cal!$D$23=6,Cal!$B$25=6,Cal!$D$27=6,Cal!$B$28=6,Cal!$D$31=6,Cal!$C$32=6,Cal!$B$34=6,Cal!$C$34=6,Cal!$D$34=6,Cal!$D$35=6,Cal!$D$36=6,Cal!$Y$15=6,Cal!$Y$17=6,Cal!$Y$19=6,Cal!$X$21=6,Cal!$Y$23=6,Cal!$W$25=6,Cal!$Y$27=6,Cal!$W$28=6,Cal!$Y$31=6,Cal!$X$32=6,Cal!$W$34=6,Cal!$X$34=6,Cal!$Y$34=6,Cal!$Y$35=6,Cal!$Y$36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Q20</xm:sqref>
        </x14:conditionalFormatting>
        <x14:conditionalFormatting xmlns:xm="http://schemas.microsoft.com/office/excel/2006/main">
          <x14:cfRule type="expression" priority="232" id="{A8581DFE-926C-4353-8C91-E89D6487D978}">
            <xm:f>OR(Cal!$D$23=6,Cal!$D$25=6,Cal!$D$27=6,Cal!$C$29=6,Cal!$D$31=6,Cal!$B$33=6,Cal!$D$35=6,Cal!$B$36=6,Cal!$D$39=6,Cal!$C$40=6,Cal!$B$42=6,Cal!$C$42=6,Cal!$D$42=6,Cal!$D$43=6,Cal!$D$44=6,Cal!$Y$23=6,Cal!$Y$25=6,Cal!$Y$27=6,Cal!$X$29=6,Cal!$Y$31=6,Cal!$W$33=6,Cal!$Y$35=6,Cal!$W$36=6,Cal!$Y$39=6,Cal!$X$40=6,Cal!$W$42=6,Cal!$X$42=6,Cal!$Y$42=6,Cal!$Y$43=6,Cal!$Y$44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Q24</xm:sqref>
        </x14:conditionalFormatting>
        <x14:conditionalFormatting xmlns:xm="http://schemas.microsoft.com/office/excel/2006/main">
          <x14:cfRule type="expression" priority="231" id="{DE4780C6-A122-4E21-9EC8-979A73729D0D}">
            <xm:f>OR(Cal!$J$3=6,Cal!$H$4=6,Cal!$G$5=6,Cal!$J$7=6,Cal!$I$8=6,Cal!$F$9=6,Cal!$E$10=6,Cal!$F$10=6,Cal!$G$10=6,Cal!$H$10=6,Cal!$I$10=6,Cal!$J$10=6,Cal!$J$11=6,Cal!$J$12=6,Cal!$E$13=6,Cal!$AE$3=6,Cal!$AC$4=6,Cal!$AB$5=6,Cal!$AE$7=6,Cal!$AD$8=6,Cal!$AA$9=6,Cal!$Z$10=6,Cal!$AA$10=6,Cal!$AB$10=6,Cal!$AC$10=6,Cal!$AD$10=6,Cal!$AE$10=6,Cal!$AE$11=6,Cal!$AE$12=6,Cal!$Z$13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AC8</xm:sqref>
        </x14:conditionalFormatting>
        <x14:conditionalFormatting xmlns:xm="http://schemas.microsoft.com/office/excel/2006/main">
          <x14:cfRule type="expression" priority="230" id="{2145E7D0-BF55-4F2D-BDA0-336631499B64}">
            <xm:f>OR(Cal!$L$3=6,Cal!$J$4=6,Cal!$I$5=6,Cal!$L$7=6,Cal!$K$8=6,Cal!$H$9=6,Cal!$G$10=6,Cal!$H$10=6,Cal!$I$10=6,Cal!$J$10=6,Cal!$K$10=6,Cal!$L$10=6,Cal!$L$11=6,Cal!$L$12=6,Cal!$G$13=6,Cal!$AG$3=6,Cal!$AE$4=6,Cal!$AD$5=6,Cal!$AG$7=6,Cal!$AF$8=6,Cal!$AC$9=6,Cal!$AB$10=6,Cal!$AC$10=6,Cal!$AD$10=6,Cal!$AE$10=6,Cal!$AF$10=6,Cal!$AG$10=6,Cal!$AG$11=6,Cal!$AG$12=6,Cal!$AB$13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AG8</xm:sqref>
        </x14:conditionalFormatting>
        <x14:conditionalFormatting xmlns:xm="http://schemas.microsoft.com/office/excel/2006/main">
          <x14:cfRule type="expression" priority="229" id="{655E9238-1433-490E-B1F4-DF81B5C32F2B}">
            <xm:f>OR(Cal!$R$15=6,Cal!$M$16=6,Cal!$R$19=6,Cal!$N$20=6,Cal!$R$23=6,Cal!$O$24=6,Cal!$R$27=6,Cal!$O$29=6,Cal!$R$31=6,Cal!$N$33=6,Cal!$M$34=6,Cal!$N$34=6,Cal!$O$34=6,Cal!$M$37=6,Cal!$R$35=6,Cal!$AM$15=6,Cal!$AH$16=6,Cal!$AM$19=6,Cal!$AI$20=6,Cal!$AM$23=6,Cal!$AJ$24=6,Cal!$AM$27=6,Cal!$AJ$29=6,Cal!$AM$31=6,Cal!$AI$33=6,Cal!$AH$34=6,Cal!$AI$34=6,Cal!$AJ$34=6,Cal!$AM$35=6,Cal!$AH$37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AS20</xm:sqref>
        </x14:conditionalFormatting>
        <x14:conditionalFormatting xmlns:xm="http://schemas.microsoft.com/office/excel/2006/main">
          <x14:cfRule type="expression" priority="228" id="{937039C6-BB05-4E12-B1DB-760F248AFC99}">
            <xm:f>OR(Cal!$AM$23=6,Cal!$AM$27=6,Cal!$AM$31=6,Cal!$AM$35=6,Cal!$AM$39:$AM$40=6,Cal!$AM$43=6,Cal!$AH$24=6,Cal!$AI$28=6,Cal!$AJ$32=6,Cal!$AJ$37=6,Cal!$AI$41=6,Cal!$AJ$42=6,Cal!$AI$42=6,Cal!$AH$42=6,Cal!$AH$45=6,Cal!$R$23=6,Cal!$R$27=6,Cal!$R$31=6,Cal!$R$35=6,Cal!$R$39=6,Cal!$R$43=6,Cal!$M$45=6,Cal!$M$42=6,Cal!$N$42=6,Cal!$O$42=6,Cal!$N$41=6,Cal!$O$37=6,Cal!$O$32=6,Cal!$N$28=6,Cal!$M$24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AS24</xm:sqref>
        </x14:conditionalFormatting>
        <x14:conditionalFormatting xmlns:xm="http://schemas.microsoft.com/office/excel/2006/main">
          <x14:cfRule type="expression" priority="227" id="{D45F618E-D98F-4233-A5DC-EBA6E0D828D6}">
            <xm:f>OR(Cal!$L$47=6,Cal!$G$48=6,Cal!$L$49=6,Cal!$L$51=6,Cal!$H$52=6,Cal!$K$53=6,Cal!$L$55=6,Cal!$I$56=6,Cal!$J$57=6,Cal!$G$60=6,Cal!$H$60=6,Cal!$I$60=6,Cal!$J$60=6,Cal!$K$60=6,Cal!$L$60=6,Cal!$AG$47=6,Cal!$AB$48=6,Cal!$AG$49=6,Cal!$AG$51=6,Cal!$AC$52=6,Cal!$AF$53=6,Cal!$AG$55=6,Cal!$AD$56=6,Cal!$AE$57=6,Cal!$AB$60=6,Cal!$AC$60=6,Cal!$AD$60=6,Cal!$AE$60=6,Cal!$AF$60=6,Cal!$AG$60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AG36</xm:sqref>
        </x14:conditionalFormatting>
        <x14:conditionalFormatting xmlns:xm="http://schemas.microsoft.com/office/excel/2006/main">
          <x14:cfRule type="expression" priority="226" id="{2454B522-92F9-4909-B96D-1FD91497188D}">
            <xm:f>OR(Cal!$J$47=6,Cal!$E$48=6,Cal!$J$49=6,Cal!$J$51=6,Cal!$F$52=6,Cal!$I$53=6,Cal!$J$55=6,Cal!$G$56=6,Cal!$H$57=6,Cal!$E$60=6,Cal!$F$60=6,Cal!$G$60=6,Cal!$H$60=6,Cal!$I$60=6,Cal!$J$60=6,Cal!$AE$47=6,Cal!$Z$48=6,Cal!$AE$49=6,Cal!$AE$51=6,Cal!$AA$52=6,Cal!$AD$53=6,Cal!$AE$55=6,Cal!$AB$56=6,Cal!$AC$57=6,Cal!$Z$60=6,Cal!$AA$60=6,Cal!$AB$60=6,Cal!$AC$60=6,Cal!$AD$60=6,Cal!$AE$60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AC36</xm:sqref>
        </x14:conditionalFormatting>
        <x14:conditionalFormatting xmlns:xm="http://schemas.microsoft.com/office/excel/2006/main">
          <x14:cfRule type="expression" priority="225" id="{882B9B0D-C907-410C-97F7-85CA83715513}">
            <xm:f>OR(Cal!$F$15=6,Cal!$F$17=6,Cal!$F$19=6,Cal!$B$20=6,Cal!$E$21=6,Cal!$F$23=6,Cal!$C$24=6,Cal!$D$25=6,Cal!$F$27=6,Cal!$D$28=6,Cal!$C$29=6,Cal!$F$31=6,Cal!$E$32=6,Cal!$B$33=6,Cal!$B$34=6,Cal!$C$34=6,Cal!$D$34=6,Cal!$E$34=6,Cal!$F$34=6,Cal!$F$35=6,Cal!$F$36=6,Cal!$AA$15=6,Cal!$AA$17=6,Cal!$AA$19=6,Cal!$W$20=6,Cal!$Z$21=6,Cal!$AA$23=6,Cal!$X$24=6,Cal!$Y$25=6,Cal!$AA$27=6,Cal!$Y$28=6,Cal!$X$29=6,Cal!$AA$31=6,Cal!$Z$32=6,Cal!$W$33=6,Cal!$W$34=6,Cal!$X$34=6,Cal!$Y$34=6,Cal!$Z$34=6,Cal!$AA$34=6,Cal!$AA$35=6,Cal!$AA$36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U20</xm:sqref>
        </x14:conditionalFormatting>
        <x14:conditionalFormatting xmlns:xm="http://schemas.microsoft.com/office/excel/2006/main">
          <x14:cfRule type="expression" priority="224" id="{9ABB3D82-0240-4B42-9F38-12EEB36CB0BD}">
            <xm:f>OR(Cal!$F$23=6,Cal!$F$25=6,Cal!$F$27=6,Cal!$B$28=6,Cal!$E$29=6,Cal!$F$31=6,Cal!$C$32=6,Cal!$D$33=6,Cal!$F$35=6,Cal!$D$36=6,Cal!$C$37=6,Cal!$F$39=6,Cal!$E$40=6,Cal!$B$41=6,Cal!$B$42=6,Cal!$C$42=6,Cal!$D$42=6,Cal!$E$42=6,Cal!$F$42=6,Cal!$F$43=6,Cal!$F$44=6,Cal!$AA$23=6,Cal!$AA$25=6,Cal!$AA$27=6,Cal!$W$28=6,Cal!$Z$29=6,Cal!$AA$31=6,Cal!$X$32=6,Cal!$Y$33=6,Cal!$AA$35=6,Cal!$Y$36=6,Cal!$X$37=6,Cal!$AA$39=6,Cal!$Z$40=6,Cal!$W$41=6,Cal!$W$42=6,Cal!$X$42=6,Cal!$Y$42=6,Cal!$Z$42=6,Cal!$AA$42=6,Cal!$AA$43=6,Cal!$AA$44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U24</xm:sqref>
        </x14:conditionalFormatting>
        <x14:conditionalFormatting xmlns:xm="http://schemas.microsoft.com/office/excel/2006/main">
          <x14:cfRule type="expression" priority="223" id="{D673FA68-FE3D-4326-B7AF-8B29E9B72759}">
            <xm:f>OR(Cal!$J$3=6,Cal!$F$4=6,Cal!$I$5=6,Cal!$J$7=6,Cal!$G$8=6,Cal!$H$9=6,Cal!$J$11=6,Cal!$H$12=6,Cal!$G$13=6,Cal!$J$15=6,Cal!$I$16=6,Cal!$F$17=6,Cal!$E$18=6,Cal!$F$18=6,Cal!$G$18=6,Cal!$H$18=6,Cal!$I$18=6,Cal!$J$18=6,Cal!$J$19=6,Cal!$J$20=6,Cal!$E$21=6,Cal!$AE$3=6,Cal!$AA$4=6,Cal!$AD$5=6,Cal!$AE$7=6,Cal!$AB$8=6,Cal!$AC$9=6,Cal!$AE$11=6,Cal!$AC$12=6,Cal!$AB$13=6,Cal!$AE$15=6,Cal!$AD$16=6,Cal!$AA$17=6,Cal!$Z$18=6,Cal!$AA$18=6,Cal!$AB$18=6,Cal!$AC$18=6,Cal!$AD$18=6,Cal!$AE$18=6,Cal!$AE$19=6,Cal!$AE$20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AC12</xm:sqref>
        </x14:conditionalFormatting>
        <x14:conditionalFormatting xmlns:xm="http://schemas.microsoft.com/office/excel/2006/main">
          <x14:cfRule type="expression" priority="222" id="{37C40285-637B-45BE-BAC0-FF18A1BB9181}">
            <xm:f>OR(Cal!$L$3=6,Cal!$H$4=6,Cal!$K$5=6,Cal!$L$7=6,Cal!$I$8=6,Cal!$J$9=6,Cal!$L$11=6,Cal!$J$12=6,Cal!$I$13=6,Cal!$L$15=6,Cal!$K$16=6,Cal!$H$17=6,Cal!$G$18=6,Cal!$H$18=6,Cal!$I$18=6,Cal!$J$18=6,Cal!$K$18=6,Cal!$L$18=6,Cal!$L$19=6,Cal!$L$20=6,Cal!$G$21=6,Cal!$AG$3=6,Cal!$AC$4=6,Cal!$AF$5=6,Cal!$AG$7=6,Cal!$AD$8=6,Cal!$AE$9=6,Cal!$AG$11=6,Cal!$AE$12=6,Cal!$AD$13=6,Cal!$AG$15=6,Cal!$AF$16=6,Cal!$AC$17=6,Cal!$AB$18=6,Cal!$AC$18=6,Cal!$AD$18=6,Cal!$AE$18=6,Cal!$AF$18=6,Cal!$AG$18=6,Cal!$AG$19=6,Cal!$AG$20=6,Cal!$AB$21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AG12</xm:sqref>
        </x14:conditionalFormatting>
        <x14:conditionalFormatting xmlns:xm="http://schemas.microsoft.com/office/excel/2006/main">
          <x14:cfRule type="expression" priority="221" id="{00C01919-0CAC-41B4-B4B8-A5CABC705BDC}">
            <xm:f>OR(Cal!$P$15=6,Cal!$P$19=6,Cal!$P$23=6,Cal!$P$27=6,Cal!$P$31=6,Cal!$P$35=6,Cal!$K$16=6,Cal!$O$21=6,Cal!$L$20=6,Cal!$M$24=6,Cal!$N$25=6,Cal!$N$28=6,Cal!$M$29=6,Cal!$O$32=6,Cal!$O$34=6,Cal!$N$34=6,Cal!$M$34=6,Cal!$L$34=6,Cal!$K$34=6,Cal!$L$33=6,Cal!$K$37=6,Cal!$AK$15=6,Cal!$AK$19=6,Cal!$AK$23=6,Cal!$AK$27=6,Cal!$AK$31=6,Cal!$AK$35=6,Cal!$AF$16=6,Cal!$AJ$21=6,Cal!$AG$20=6,Cal!$AH$24=6,Cal!$AI$25=6,Cal!$AI$28=6,Cal!$AH$29=6,Cal!$AJ$32=6,Cal!$AJ$34=6,Cal!$AI$34=6,Cal!$AH$34=6,Cal!$AG$34=6,Cal!$AF$34=6,Cal!$AG$33=6,Cal!$AF$37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AO20</xm:sqref>
        </x14:conditionalFormatting>
        <x14:conditionalFormatting xmlns:xm="http://schemas.microsoft.com/office/excel/2006/main">
          <x14:cfRule type="expression" priority="220" id="{3925BDB7-9A62-4CA4-80A4-1436C66BCA28}">
            <xm:f>OR(Cal!$P$23=6,Cal!$P$27=6,Cal!$P$31=6,Cal!$P$35=6,Cal!$P$39=6,Cal!$P$43=6,Cal!$O$29=6,Cal!$O$40=6,Cal!$O$42=6,Cal!$N$33=6,Cal!$N$36=6,Cal!$N$42=6,Cal!$M$32=6,Cal!$M$37=6,Cal!$M$42=6,Cal!$L$28=6,Cal!$L$41=6,Cal!$L$42=6,Cal!$K$24=6,Cal!$K$42=6,Cal!$K$45=6,Cal!$AK$23=6,Cal!$AK$27=6,Cal!$AK$31=6,Cal!$AK$35=6,Cal!$AK$39=6,Cal!$AK$43=6,Cal!$AJ$29=6,Cal!$AJ$40=6,Cal!$AJ$42=6,Cal!$AI$42=6,Cal!$AI$36=6,Cal!$AI$33=6,Cal!$AH$32=6,Cal!$AH$37=6,Cal!$AH$42=6,Cal!$AG$42=6,Cal!$AG$41=6,Cal!$AG$28=6,Cal!$AF$24=6,Cal!$AF$42=6,Cal!$AF$45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AO24</xm:sqref>
        </x14:conditionalFormatting>
        <x14:conditionalFormatting xmlns:xm="http://schemas.microsoft.com/office/excel/2006/main">
          <x14:cfRule type="expression" priority="219" id="{6DE5724E-7710-4D90-950B-484F960FB8FD}">
            <xm:f>OR(Cal!$J$39=6,Cal!$E$40=6,Cal!$J$41=6,Cal!$J$43=6,Cal!$F$44=6,Cal!$I$45=6,Cal!$J$47=6,Cal!$G$48=6,Cal!$H$49=6,Cal!$J$51=6,Cal!$H$52=6,Cal!$G$53=6,Cal!$J$55=6,Cal!$I$56=6,Cal!$F$57=6,Cal!$E$58=6,Cal!$F$58=6,Cal!$G$58=6,Cal!$H$58=6,Cal!$I$58=6,Cal!$J$58=6,Cal!$AE$39=6,Cal!$Z$40=6,Cal!$AE$41=6,Cal!$AE$43=6,Cal!$AA$44=6,Cal!$AD$45=6,Cal!$AE$47=6,Cal!$AB$48=6,Cal!$AC$49=6,Cal!$AE$51=6,Cal!$AC$52=6,Cal!$AB$53=6,Cal!$AE$55=6,Cal!$AD$56=6,Cal!$AA$57=6,Cal!$Z$58=6,Cal!$AA$58=6,Cal!$AB$58=6,Cal!$AC$58=6,Cal!$AD$58=6,Cal!$AE$58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AC32</xm:sqref>
        </x14:conditionalFormatting>
        <x14:conditionalFormatting xmlns:xm="http://schemas.microsoft.com/office/excel/2006/main">
          <x14:cfRule type="expression" priority="218" id="{3AD315EA-54CC-41D8-ACB6-8BEE87092E0E}">
            <xm:f>OR(Cal!$L$39=6,Cal!$G$40=6,Cal!$L$41=6,Cal!$H$44=6,Cal!$L$43=6,Cal!$K$45=6,Cal!$L$47=6,Cal!$I$48=6,Cal!$J$49=6,Cal!$L$51=6,Cal!$J$52=6,Cal!$I$53=6,Cal!$L$55=6,Cal!$K$56=6,Cal!$H$57=6,Cal!$G$58=6,Cal!$H$58=6,Cal!$I$58=6,Cal!$J$58=6,Cal!$K$58=6,Cal!$L$58=6,Cal!$AG$39=6,Cal!$AB$40=6,Cal!$AG$41=6,Cal!$AG$43=6,Cal!$AC$44=6,Cal!$AF$45=6,Cal!$AG$47=6,Cal!$AD$48=6,Cal!$AE$49=6,Cal!$AG$51=6,Cal!$AE$52=6,Cal!$AD$53=6,Cal!$AG$55=6,Cal!$AF$56=6,Cal!$AC$57=6,Cal!$AB$58=6,Cal!$AC$58=6,Cal!$AD$58=6,Cal!$AE$58=6,Cal!$AF$58=6,Cal!$AG$58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AG32</xm:sqref>
        </x14:conditionalFormatting>
        <x14:conditionalFormatting xmlns:xm="http://schemas.microsoft.com/office/excel/2006/main">
          <x14:cfRule type="expression" priority="217" id="{7D0CCC4B-29C9-4AA0-9A7F-8753B156C516}">
            <xm:f>OR(Cal!$F$7=6,Cal!$F$9=6,Cal!$F$11=6,Cal!$B$12=6,Cal!$E$13=6,Cal!$F$15=6,Cal!$C$16=6,Cal!$D$17=6,Cal!$F$19=6,Cal!$D$20=6,Cal!$C$21=6,Cal!$F$23=6,Cal!$E$24=6,Cal!$B$25=6,Cal!$B$26=6,Cal!$C$26=6,Cal!$D$26=6,Cal!$E$26=6,Cal!$F$26=6,Cal!$F$27=6,Cal!$F$28=6,Cal!$AA$7=6,Cal!$AA$9=6,Cal!$AA$11=6,Cal!$W$12=6,Cal!$Z$13=6,Cal!$AA$15=6,Cal!$X$16=6,Cal!$Y$17=6,Cal!$AA$19=6,Cal!$Y$20=6,Cal!$X$21=6,Cal!$AA$23=6,Cal!$Z$24=6,Cal!$W$25=6,Cal!$W$26=6,Cal!$X$26=6,Cal!$Y$26=6,Cal!$Z$26=6,Cal!$AA$26=6,Cal!$AA$27=6,Cal!$AA$28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U16</xm:sqref>
        </x14:conditionalFormatting>
        <x14:conditionalFormatting xmlns:xm="http://schemas.microsoft.com/office/excel/2006/main">
          <x14:cfRule type="expression" priority="216" id="{20BF0383-7962-4FA3-9CCE-35CD6277595E}">
            <xm:f>OR(Cal!$H$3=6,Cal!$D$4=6,Cal!$G$5=6,Cal!$H$7=6,Cal!$E$8=6,Cal!$F$9=6,Cal!$H$11=6,Cal!$F$12=6,Cal!$E$13=6,Cal!$H$15=6,Cal!$G$16=6,Cal!$D$17=6,Cal!$C$18=6,Cal!$D$18=6,Cal!$E$18=6,Cal!$F$18=6,Cal!$G$18=6,Cal!$H$18=6,Cal!$H$19=6,Cal!$H$20=6,Cal!$C$21=6,Cal!$AC$3=6,Cal!$Y$4=6,Cal!$AB$5=6,Cal!$AC$7=6,Cal!$Z$8=6,Cal!$AA$9=6,Cal!$AC$11=6,Cal!$AA$12=6,Cal!$Z$13=6,Cal!$AC$15=6,Cal!$AB$16=6,Cal!$Y$17=6,Cal!$X$18=6,Cal!$Y$18=6,Cal!$Z$18=6,Cal!$AA$18=6,Cal!$AB$18=6,Cal!$AC$18=6,Cal!$AC$19=6,Cal!$AC$20=6,Cal!$X$21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Y12</xm:sqref>
        </x14:conditionalFormatting>
        <x14:conditionalFormatting xmlns:xm="http://schemas.microsoft.com/office/excel/2006/main">
          <x14:cfRule type="expression" priority="214" id="{811C5EA0-2D1E-468F-9CD1-95569AF01CC1}">
            <xm:f>OR(Cal!$N$3=6,Cal!$J$4=6,Cal!$M$5=6,Cal!$N$7=6,Cal!$K$8=6,Cal!$L$9=6,Cal!$N$11=6,Cal!$L$12=6,Cal!$K$13=6,Cal!$N$15=6,Cal!$M$16=6,Cal!$J$17=6,Cal!$I$18=6,Cal!$J$18=6,Cal!$K$18=6,Cal!$L$18=6,Cal!$M$18=6,Cal!$N$18=6,Cal!$N$19=6,Cal!$N$20=6,Cal!$I$21=6,Cal!$AI$3=6,Cal!$AE$4=6,Cal!$AH$5=6,Cal!$AI$7=6,Cal!$AF$8=6,Cal!$AG$9=6,Cal!$AI$11=6,Cal!$AG$12=6,Cal!$AF$13=6,Cal!$AI$15=6,Cal!$AH$16=6,Cal!$AE$17=6,Cal!$AD$18=6,Cal!$AE$18=6,Cal!$AF$18=6,Cal!$AG$18=6,Cal!$AH$18=6,Cal!$AI$18=6,Cal!$AI$19=6,Cal!$AI$20=6,Cal!$AD$21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AK12</xm:sqref>
        </x14:conditionalFormatting>
        <x14:conditionalFormatting xmlns:xm="http://schemas.microsoft.com/office/excel/2006/main">
          <x14:cfRule type="expression" priority="213" id="{8D907171-082F-4239-AAC6-70AA4635EF7D}">
            <xm:f>OR(Cal!$P$7=6,Cal!$K$8=6,Cal!$P$11=6,Cal!$L$12=6,Cal!$O$13=6,Cal!$P$15=6,Cal!$M$16=6,Cal!$N$17=6,Cal!$P$19=6,Cal!$N$20=6,Cal!$M$21=6,Cal!$P$23=6,Cal!$O$24=6,Cal!$L$25=6,Cal!$K$26=6,Cal!$L$26=6,Cal!$M$26=6,Cal!$N$26=6,Cal!$O$26=6,Cal!$P$27=6,Cal!$K$29=6,Cal!$AK$7=6,Cal!$AF$8=6,Cal!$AK$11=6,Cal!$AG$12=6,Cal!$AJ$13=6,Cal!$AK$15=6,Cal!$AH$16=6,Cal!$AI$17=6,Cal!$AK$19=6,Cal!$AI$20=6,Cal!$AH$21=6,Cal!$AK$23=6,Cal!$AJ$24=6,Cal!$AG$25=6,Cal!$AF$26=6,Cal!$AG$26=6,Cal!$AH$26=6,Cal!$AI$26=6,Cal!$AJ$26=6,Cal!$AK$27=6,Cal!$AF$29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AO16</xm:sqref>
        </x14:conditionalFormatting>
        <x14:conditionalFormatting xmlns:xm="http://schemas.microsoft.com/office/excel/2006/main">
          <x14:cfRule type="expression" priority="212" id="{64E7FE77-8621-40D4-BBE1-A96F59694B6B}">
            <xm:f>OR(Cal!$P$31=6,Cal!$K$32=6,Cal!$P$35=6,Cal!$L$36=6,Cal!$O$37=6,Cal!$P$39=6,Cal!$M$40=6,Cal!$N$41=6,Cal!$P$43=6,Cal!$N$44=6,Cal!$M$45=6,Cal!$P$47=6,Cal!$O$48=6,Cal!$L$49=6,Cal!$K$50=6,Cal!$L$50=6,Cal!$M$50=6,Cal!$N$50=6,Cal!$O$50=6,Cal!$P$51=6,Cal!$K$53=6,Cal!$AK$31=6,Cal!$AF$32=6,Cal!$AK$35=6,Cal!$AG$36=6,Cal!$AJ$37=6,Cal!$AK$39=6,Cal!$AH$40=6,Cal!$AI$41=6,Cal!$AK$43=6,Cal!$AI$44=6,Cal!$AH$45=6,Cal!$AK$47=6,Cal!$AJ$48=6,Cal!$AG$49=6,Cal!$AF$50=6,Cal!$AG$50=6,Cal!$AH$50=6,Cal!$AI$50=6,Cal!$AJ$50=6,Cal!$AK$51=6,Cal!$AF$53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AO28</xm:sqref>
        </x14:conditionalFormatting>
        <x14:conditionalFormatting xmlns:xm="http://schemas.microsoft.com/office/excel/2006/main">
          <x14:cfRule type="expression" priority="211" id="{7C966D38-D316-4A36-9A94-97DD3DB68DE6}">
            <xm:f>OR(Cal!$N$39=6,Cal!$I$40=6,Cal!$N$41=6,Cal!$N$43=6,Cal!$J$44=6,Cal!$M$45=6,Cal!$N$47=6,Cal!$K$48=6,Cal!$L$49=6,Cal!$N$51=6,Cal!$L$52=6,Cal!$K$53=6,Cal!$N$55=6,Cal!$M$56=6,Cal!$J$57=6,Cal!$I$58=6,Cal!$J$58=6,Cal!$K$58=6,Cal!$L$58=6,Cal!$M$58=6,Cal!$N$58=6,Cal!$AI$39=6,Cal!$AD$40=6,Cal!$AI$41=6,Cal!$AI$43=6,Cal!$AE$44=6,Cal!$AH$45=6,Cal!$AI$47=6,Cal!$AF$48=6,Cal!$AG$49=6,Cal!$AI$51=6,Cal!$AG$52=6,Cal!$AF$53=6,Cal!$AI$55=6,Cal!$AH$56=6,Cal!$AE$57=6,Cal!$AD$58=6,Cal!$AE$58=6,Cal!$AF$58=6,Cal!$AG$58=6,Cal!$AH$58=6,Cal!$AI$58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AK32</xm:sqref>
        </x14:conditionalFormatting>
        <x14:conditionalFormatting xmlns:xm="http://schemas.microsoft.com/office/excel/2006/main">
          <x14:cfRule type="expression" priority="210" id="{BD04934F-EEF3-4DF0-8E60-6896E13D2F54}">
            <xm:f>OR(Cal!$H$39=6,Cal!$C$40=6,Cal!$H$41=6,Cal!$H$43=6,Cal!$D$44=6,Cal!$G$45=6,Cal!$H$47=6,Cal!$E$48=6,Cal!$F$49=6,Cal!$H$51=6,Cal!$F$52=6,Cal!$E$53=6,Cal!$H$55=6,Cal!$G$56=6,Cal!$D$57=6,Cal!$C$58=6,Cal!$D$58=6,Cal!$E$58=6,Cal!$F$58=6,Cal!$G$58=6,Cal!$H$58=6,Cal!$AC$39=6,Cal!$X$40=6,Cal!$AC$41=6,Cal!$AC$43=6,Cal!$Y$44=6,Cal!$AB$45=6,Cal!$AC$47=6,Cal!$Z$48=6,Cal!$AA$49=6,Cal!$AC$51=6,Cal!$AA$52=6,Cal!$Z$53=6,Cal!$AC$55=6,Cal!$AB$56=6,Cal!$Y$57=6,Cal!$X$58=6,Cal!$Y$58=6,Cal!$Z$58=6,Cal!$AA$58=6,Cal!$AB$58=6,Cal!$AC$58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Y32</xm:sqref>
        </x14:conditionalFormatting>
        <x14:conditionalFormatting xmlns:xm="http://schemas.microsoft.com/office/excel/2006/main">
          <x14:cfRule type="expression" priority="208" id="{18AC06FB-3461-4865-9B85-087967388CE6}">
            <xm:f>OR(Cal!$F$31=6,Cal!$F$33=6,Cal!$F$35=6,Cal!$B$36=6,Cal!$E$37=6,Cal!$F$39=6,Cal!$C$40=6,Cal!$D$41=6,Cal!$F$43=6,Cal!$D$44=6,Cal!$C$45=6,Cal!$F$47=6,Cal!$E$48=6,Cal!$B$49=6,Cal!$B$50=6,Cal!$C$50=6,Cal!$D$50=6,Cal!$E$50=6,Cal!$F$50=6,Cal!$F$51=6,Cal!$F$52=6,Cal!$AA$31=6,Cal!$AA$33=6,Cal!$AA$35=6,Cal!$W$36=6,Cal!$Z$37=6,Cal!$AA$39=6,Cal!$X$40=6,Cal!$Y$41=6,Cal!$AA$43=6,Cal!$Y$44=6,Cal!$X$45=6,Cal!$AA$47=6,Cal!$Z$48=6,Cal!$W$49=6,Cal!$W$50=6,Cal!$X$50=6,Cal!$Y$50=6,Cal!$Z$50=6,Cal!$AA$50=6,Cal!$AA$51=6,Cal!$AA$52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U28</xm:sqref>
        </x14:conditionalFormatting>
        <x14:conditionalFormatting xmlns:xm="http://schemas.microsoft.com/office/excel/2006/main">
          <x14:cfRule type="expression" priority="207" id="{E118CD2E-DB83-4CC2-83A1-72C30C85DC67}">
            <xm:f>OR(Cal!$D$3=6,Cal!$C$4=6,Cal!$B$6=6,Cal!$C$6=6,Cal!$D$6=6,Cal!$D$7=6,Cal!$D$8=6,Cal!$Y$3=6,Cal!$X$4=6,Cal!$W$6=6,Cal!$X$6=6,Cal!$Y$6=6,Cal!$Y$7=6,Cal!$Y$8=6)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Q6</xm:sqref>
        </x14:conditionalFormatting>
        <x14:conditionalFormatting xmlns:xm="http://schemas.microsoft.com/office/excel/2006/main">
          <x14:cfRule type="expression" priority="206" id="{81AD07BD-007D-48BB-9DC9-5E456798BB81}">
            <xm:f>OR(Cal!$C$3=6,Cal!$C$7=6,Cal!$B$8=6,Cal!$B$10=6,Cal!$C$10=6,Cal!$C$11=6,Cal!$C$12=6,Cal!$X$3=6,Cal!$X$7=6,Cal!$W$8=6,Cal!$W$10=6,Cal!$X$10=6,Cal!$X$11=6,Cal!$X$12=6)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O8</xm:sqref>
        </x14:conditionalFormatting>
        <x14:conditionalFormatting xmlns:xm="http://schemas.microsoft.com/office/excel/2006/main">
          <x14:cfRule type="expression" priority="205" id="{83744BC0-1B31-433B-9234-DF53A71BBCE7}">
            <xm:f>OR(Cal!$D$3=6,Cal!$B$5=6,Cal!$D$7=6,Cal!$B$8=6,Cal!$D$11=6,Cal!$C$12=6,Cal!$B$14=6,Cal!$C$14=6,Cal!$D$14=6,Cal!$D$15=6,Cal!$D$16=6,Cal!$Y$3=6,Cal!$W$5=6,Cal!$Y$7=6,Cal!$W$8=6,Cal!$Y$11=6,Cal!$X$12=6,Cal!$W$14=6,Cal!$X$14=6,Cal!$Y$14=6,Cal!$Y$15=6,Cal!$Y$16=6)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Q10</xm:sqref>
        </x14:conditionalFormatting>
        <x14:conditionalFormatting xmlns:xm="http://schemas.microsoft.com/office/excel/2006/main">
          <x14:cfRule type="expression" priority="204" id="{1A9079FE-5EE3-4270-8CCB-CA52BB56E29C}">
            <xm:f>OR(Cal!$E$3=6,Cal!$C$4=6,Cal!$B$5=6,Cal!$E$7=6,Cal!$D$8=6,Cal!$B$10=6,Cal!$C$10=6,Cal!$D$10=6,Cal!$E$10=6,Cal!$E$11=6,Cal!$E$12=6,Cal!$Z$3=6,Cal!$X$4=6,Cal!$W$5=6,Cal!$Z$7=6,Cal!$Y$8=6,Cal!$W$10=6,Cal!$X$10=6,Cal!$Y$10=6,Cal!$Z$10=6,Cal!$Z$11=6,Cal!$Z$12=6)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S8</xm:sqref>
        </x14:conditionalFormatting>
        <x14:conditionalFormatting xmlns:xm="http://schemas.microsoft.com/office/excel/2006/main">
          <x14:cfRule type="expression" priority="203" id="{A9C7541F-5402-4360-B9EC-4BC81EB5106C}">
            <xm:f>OR(Cal!$E$3=6,Cal!$D$4=6,Cal!$B$6=6,Cal!$C$6=6,Cal!$D$6=6,Cal!$E$6=6,Cal!$E$7=6,Cal!$E$8=6,Cal!$Z$3=6,Cal!$Y$4=6,Cal!$W$6=6,Cal!$X$6=6,Cal!$Y$6=6,Cal!$Z$6=6,Cal!$Z$7=6,Cal!$Z$8=6)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S6</xm:sqref>
        </x14:conditionalFormatting>
        <x14:conditionalFormatting xmlns:xm="http://schemas.microsoft.com/office/excel/2006/main">
          <x14:cfRule type="expression" priority="202" id="{C38AED43-8971-4E50-AF76-28111C2762D5}">
            <xm:f>OR(Cal!$F$3=6,Cal!$E$4=6,Cal!$B$5=6,Cal!$B$6=6,Cal!$C$6=6,Cal!$D$6=6,Cal!$E$6=6,Cal!$F$6=6,Cal!$F$7=6,Cal!$F$8=6,Cal!$AA$3=6,Cal!$Z$4=6,Cal!$W$5=6,Cal!$W$6=6,Cal!$X$6=6,Cal!$Y$6=6,Cal!$Z$6=6,Cal!$AA$6=6,Cal!$AA$7=6,Cal!$AA$8=6)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U6</xm:sqref>
        </x14:conditionalFormatting>
        <x14:conditionalFormatting xmlns:xm="http://schemas.microsoft.com/office/excel/2006/main">
          <x14:cfRule type="expression" priority="201" id="{23631087-2C62-4184-8942-7458D96EAA1D}">
            <xm:f>OR(Cal!$C$3=6,Cal!$C$7=6,Cal!$C$11=6,Cal!$B$12=6,Cal!$B$14=6,Cal!$C$14=6,Cal!$C$15=6,Cal!$C$16=6,Cal!$X$3=6,Cal!$X$7=6,Cal!$X$11=6,Cal!$W$12=6,Cal!$W$14=6,Cal!$X$14=6,Cal!$X$15=6,Cal!$X$16=6)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O10</xm:sqref>
        </x14:conditionalFormatting>
        <x14:conditionalFormatting xmlns:xm="http://schemas.microsoft.com/office/excel/2006/main">
          <x14:cfRule type="expression" priority="199" id="{D7FC9092-52AB-4FCB-830C-E2D9B1100B9A}">
            <xm:f>OR(Cal!$C$3=6,Cal!$B$5=6,Cal!$C$7=6,Cal!$C$11=6,Cal!$C$15=6,Cal!$B$16=6,Cal!$B$18=6,Cal!$C$18=6,Cal!$C$19=6,Cal!$C$20=6,Cal!$X$3=6,Cal!$W$5=6,Cal!$X$7=6,Cal!$X$11=6,Cal!$X$15=6,Cal!$W$16=6,Cal!$W$18=6,Cal!$X$18=6,Cal!$X$19=6,Cal!$X$20=6)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O12</xm:sqref>
        </x14:conditionalFormatting>
        <x14:conditionalFormatting xmlns:xm="http://schemas.microsoft.com/office/excel/2006/main">
          <x14:cfRule type="expression" priority="198" id="{B395FA0C-7553-4FA3-8535-2DAAF2FE50EF}">
            <xm:f>OR(Cal!$P$3=6,Cal!$O$4=6,Cal!$L$5=6,Cal!$K$6=6,Cal!$L$6=6,Cal!$M$6=6,Cal!$N$6=6,Cal!$O$6=6,Cal!$P$7=6,Cal!$K$9=6,Cal!$AK$3=6,Cal!$AJ$4=6,Cal!$AG$5=6,Cal!$AF$6=6,Cal!$AG$6=6,Cal!$AH$6=6,Cal!$AI$6=6,Cal!$AJ$6=6,Cal!$AK$7=6,Cal!$AF$9=6)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AO6</xm:sqref>
        </x14:conditionalFormatting>
        <x14:conditionalFormatting xmlns:xm="http://schemas.microsoft.com/office/excel/2006/main">
          <x14:cfRule type="expression" priority="197" id="{73348540-2197-4E67-A5A6-5FCEBF7CB9FF}">
            <xm:f>OR(Cal!$Q$3=6,Cal!$M$5=6,Cal!$L$6=6,Cal!$M$6=6,Cal!$N$6=6,Cal!$O$6=6,Cal!$Q$7=6,Cal!$L$9=6,Cal!$AL$3=6,Cal!$AH$5=6,Cal!$AG$6=6,Cal!$AH$6=6,Cal!$AI$6=6,Cal!$AJ$6=6,Cal!$AL$7=6,Cal!$AG$9=6)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AQ6</xm:sqref>
        </x14:conditionalFormatting>
        <x14:conditionalFormatting xmlns:xm="http://schemas.microsoft.com/office/excel/2006/main">
          <x14:cfRule type="expression" priority="196" id="{071ED2DD-893A-4FA0-B8B7-E2019CDEDC55}">
            <xm:f>OR(Cal!$R$3=6,Cal!$R$7=6,Cal!$N$5=6,Cal!$O$6=6,Cal!$N$6=6,Cal!$M$6=6,Cal!$M$9=6,Cal!$AM$3=6,Cal!$AM$7=6,Cal!$AI$5=6,Cal!$AJ$6=6,Cal!$AI$6=6,Cal!$AH$6=6,Cal!$AH$9=6)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AS6</xm:sqref>
        </x14:conditionalFormatting>
        <x14:conditionalFormatting xmlns:xm="http://schemas.microsoft.com/office/excel/2006/main">
          <x14:cfRule type="expression" priority="195" id="{D1AAB15B-FD61-4805-9995-2117D982A796}">
            <xm:f>OR(Cal!$Q$3=6,Cal!$Q$7=6,Cal!$Q$11=6,Cal!$O$4=6,Cal!$N$5=6,Cal!$M$9=6,Cal!$L$10=6,Cal!$M$10=6,Cal!$N$10=6,Cal!$O$10=6,Cal!$L$13=6,Cal!$AL$3=6,Cal!$AL$7=6,Cal!$AL$11=6,Cal!$AJ$4=6,Cal!$AI$5=6,Cal!$AH$9=6,Cal!$AG$10=6,Cal!$AH$10=6,Cal!$AI$10=6,Cal!$AJ$10=6,Cal!$AG$13=6)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AQ8</xm:sqref>
        </x14:conditionalFormatting>
        <x14:conditionalFormatting xmlns:xm="http://schemas.microsoft.com/office/excel/2006/main">
          <x14:cfRule type="expression" priority="194" id="{A5E75DA0-FBCA-4CAE-B694-17F05E433E80}">
            <xm:f>OR(Cal!$R$3=6,Cal!$R$7=6,Cal!$R$11=6,Cal!$R$15=6,Cal!$O$4=6,Cal!$O$9=6,Cal!$O$14=6,Cal!$N$13=6,Cal!$N$14=6,Cal!$M$14=6,Cal!$M$17=6,Cal!$AM$3=6,Cal!$AM$7=6,Cal!$AM$11=6,Cal!$AM$15=6,Cal!$AJ$4=6,Cal!$AJ$9=6,Cal!$AJ$14=6,Cal!$AI$13=6,Cal!$AI$14=6,Cal!$AH$14=6,Cal!$AH$17=6)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AS10</xm:sqref>
        </x14:conditionalFormatting>
        <x14:conditionalFormatting xmlns:xm="http://schemas.microsoft.com/office/excel/2006/main">
          <x14:cfRule type="expression" priority="193" id="{67ED225C-2B18-4726-96A4-E0D1DD3AC2F5}">
            <xm:f>OR(Cal!$S$3=6,Cal!$S$7=6,Cal!$S$11=6,Cal!$O$9=6,Cal!$O$10=6,Cal!$N$10=6,Cal!$N$13=6,Cal!$AN$3=6,Cal!$AN$7=6,Cal!$AN$11=6,Cal!$AJ$9=6,Cal!$AJ$10=6,Cal!$AI$10=6,Cal!$AI$13=6)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AU8</xm:sqref>
        </x14:conditionalFormatting>
        <x14:conditionalFormatting xmlns:xm="http://schemas.microsoft.com/office/excel/2006/main">
          <x14:cfRule type="expression" priority="192" id="{12D907BD-7210-4D5B-AFF0-D3AF366BF37E}">
            <xm:f>OR(Cal!$S$3=6,Cal!$S$7=6,Cal!$S$11=6,Cal!$S$15=6,Cal!$O$13=6,Cal!$O$14=6,Cal!$N$14=6,Cal!$N$17=6,Cal!$AN$3=6,Cal!$AN$7=6,Cal!$AN$11=6,Cal!$AN$15=6,Cal!$AJ$13=6,Cal!$AJ$14=6,Cal!$AI$14=6,Cal!$AI$17=6)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AU10</xm:sqref>
        </x14:conditionalFormatting>
        <x14:conditionalFormatting xmlns:xm="http://schemas.microsoft.com/office/excel/2006/main">
          <x14:cfRule type="expression" priority="191" id="{B313F630-2B4C-4F85-ABB5-39FFD041F757}">
            <xm:f>OR(Cal!$S$3=6,Cal!$S$7=6,Cal!$S$11=6,Cal!$S$15=6,Cal!$S$19=6,Cal!$O$4=6,Cal!$O$17=6,Cal!$O$18=6,Cal!$N$18=6,Cal!$N$21=6,Cal!$AI$21=6,Cal!$AI$18=6,Cal!$AJ$18=6,Cal!$AJ$17=6,Cal!$AJ$4=6,Cal!$AN$3=6,Cal!$AN$7=6,Cal!$AN$11=6,Cal!$AN$15=6,Cal!$AN$19=6)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AU12</xm:sqref>
        </x14:conditionalFormatting>
        <x14:conditionalFormatting xmlns:xm="http://schemas.microsoft.com/office/excel/2006/main">
          <x14:cfRule type="expression" priority="190" id="{323CC235-A598-4510-9397-59F89A4DFF6F}">
            <xm:f>OR(Cal!$R$51=6,Cal!$R$55=6,Cal!$M$52=6,Cal!$N$56=6,Cal!$O$61=6,Cal!$N$61=6,Cal!$M$61=6,Cal!$AM$51=6,Cal!$AM$55=6,Cal!$AH$52=6,Cal!$AI$56=6,Cal!$AJ$61=6,Cal!$AI$61=6,Cal!$AH$61=6)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AS38</xm:sqref>
        </x14:conditionalFormatting>
        <x14:conditionalFormatting xmlns:xm="http://schemas.microsoft.com/office/excel/2006/main">
          <x14:cfRule type="expression" priority="189" id="{250C4553-70B9-4E8E-BA30-A1D78AA971F5}">
            <xm:f>OR(Cal!$Q$51=6,Cal!$L$52=6,Cal!$Q$55=6,Cal!$M$56=6,Cal!$L$61=6,Cal!$M$61=6,Cal!$N$61=6,Cal!$O$61=6,Cal!$AL$51=6,Cal!$AG$52=6,Cal!$AL$55=6,Cal!$AH$56=6,Cal!$AG$61=6,Cal!$AH$61=6,Cal!$AI$61=6,Cal!$AJ$61=6)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AQ38</xm:sqref>
        </x14:conditionalFormatting>
        <x14:conditionalFormatting xmlns:xm="http://schemas.microsoft.com/office/excel/2006/main">
          <x14:cfRule type="expression" priority="188" id="{A1A2073C-5BC1-462A-B550-BC1B2AB016A3}">
            <xm:f>OR(Cal!$P$51=6,Cal!$K$52=6,Cal!$P$55=6,Cal!$O$57=6,Cal!$L$56=6,Cal!$K$61=6,Cal!$L$61=6,Cal!$M$61=6,Cal!$N$61=6,Cal!$O$61=6,Cal!$AK$51=6,Cal!$AF$52=6,Cal!$AG$56=6,Cal!$AJ$57=6,Cal!$AK$55=6,Cal!$AJ$61=6,Cal!$AI$61=6,Cal!$AH$61=6,Cal!$AG$61=6,Cal!$AF$61=6)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AO38</xm:sqref>
        </x14:conditionalFormatting>
        <x14:conditionalFormatting xmlns:xm="http://schemas.microsoft.com/office/excel/2006/main">
          <x14:cfRule type="expression" priority="187" id="{FB577383-138E-4B04-B528-2793084DFB2F}">
            <xm:f>OR(Cal!$K$23=6,Cal!$K$25=6,Cal!$K$27=6,Cal!$J$29=6,Cal!$K$31=6,Cal!$F$24=6,Cal!$G$28=6,Cal!$H$32=6,Cal!$I$33=6,Cal!$K$35=6,Cal!$I$36=6,Cal!$H$37=6,Cal!$K$39=6,Cal!$J$40=6,Cal!$G$41=6,Cal!$F$45=6,Cal!$K$44=6,Cal!$K$43=6,Cal!$K$42=6,Cal!$J$42=6,Cal!$I$42=6,Cal!$H$42=6,Cal!$G$42=6,Cal!$F$42=6,Cal!$AF$23=6,Cal!$AA$24=6,Cal!$AF$25=6,Cal!$AF$27=6,Cal!$AB$28=6,Cal!$AE$29=6,Cal!$AF$31=6,Cal!$AC$32=6,Cal!$AD$33=6,Cal!$AF$35=6,Cal!$AD$36=6,Cal!$AC$37=6,Cal!$AF$39=6,Cal!$AE$40=6,Cal!$AB$41=6,Cal!$AA$45=6,Cal!$AF$44=6,Cal!$AF$43=6,Cal!$AF$42=6,Cal!$AE$42=6,Cal!$AD$42=6,Cal!$AC$42=6,Cal!$AB$42=6,Cal!$AA$42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AE24</xm:sqref>
        </x14:conditionalFormatting>
        <x14:conditionalFormatting xmlns:xm="http://schemas.microsoft.com/office/excel/2006/main">
          <x14:cfRule type="expression" priority="186" id="{75BEBD8B-CA8D-433F-8DF0-10F69B8F94E3}">
            <xm:f>OR(Cal!$J$19=6,Cal!$E$20=6,Cal!$J$21=6,Cal!$J$23=6,Cal!$I$25=6,Cal!$F$24=6,Cal!$J$27=6,Cal!$G$28=6,Cal!$H$29=6,Cal!$J$31=6,Cal!$H$32=6,Cal!$G$33=6,Cal!$J$35=6,Cal!$I$36=6,Cal!$F$37=6,Cal!$E$38=6,Cal!$F$38=6,Cal!$G$38=6,Cal!$H$38=6,Cal!$I$38=6,Cal!$J$38=6,Cal!$J$39=6,Cal!$J$40=6,Cal!$E$41=6,Cal!$AE$19=6,Cal!$Z$20=6,Cal!$AE$21=6,Cal!$AE$23=6,Cal!$AA$24=6,Cal!$AD$25=6,Cal!$AE$27=6,Cal!$AB$28=6,Cal!$AC$29=6,Cal!$AE$31=6,Cal!$AC$32=6,Cal!$AB$33=6,Cal!$AE$35=6,Cal!$AD$36=6,Cal!$AA$37=6,Cal!$Z$38=6,Cal!$AA$38=6,Cal!$AB$38=6,Cal!$AC$38=6,Cal!$AD$38=6,Cal!$AE$38=6,Cal!$AE$39=6,Cal!$AE$40=6,Cal!$Z$41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AC22</xm:sqref>
        </x14:conditionalFormatting>
        <x14:conditionalFormatting xmlns:xm="http://schemas.microsoft.com/office/excel/2006/main">
          <x14:cfRule type="expression" priority="185" id="{7778C491-02FD-4DF6-8A4A-6F61A488EEAF}">
            <xm:f>OR(Cal!$L$19=6,Cal!$G$20=6,Cal!$L$21=6,Cal!$L$23=6,Cal!$H$24=6,Cal!$K$25=6,Cal!$L$27=6,Cal!$I$28=6,Cal!$J$29=6,Cal!$L$31=6,Cal!$J$32=6,Cal!$I$33=6,Cal!$L$35=6,Cal!$K$36=6,Cal!$H$37=6,Cal!$G$38=6,Cal!$H$38=6,Cal!$I$38=6,Cal!$J$38=6,Cal!$K$38=6,Cal!$L$38=6,Cal!$L$39=6,Cal!$L$40=6,Cal!$G$41=6,Cal!$AG$19=6,Cal!$AB$20=6,Cal!$AG$21=6,Cal!$AG$23=6,Cal!$AC$24=6,Cal!$AF$25=6,Cal!$AG$27=6,Cal!$AD$28=6,Cal!$AE$29=6,Cal!$AG$31=6,Cal!$AE$32=6,Cal!$AD$33=6,Cal!$AG$35=6,Cal!$AF$36=6,Cal!$AC$37=6,Cal!$AB$38=6,Cal!$AC$38=6,Cal!$AD$38=6,Cal!$AE$38=6,Cal!$AF$38=6,Cal!$AG$38=6,Cal!$AG$39=6,Cal!$AG$40=6,Cal!$AB$41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AG22</xm:sqref>
        </x14:conditionalFormatting>
        <x14:conditionalFormatting xmlns:xm="http://schemas.microsoft.com/office/excel/2006/main">
          <x14:cfRule type="expression" priority="184" id="{FCD4A82B-4A08-458E-AAFF-8E1A9E4038DD}">
            <xm:f>OR(Cal!$AN$39=6,Cal!$AN$43=6,Cal!$AN$47=6,Cal!$AN$51=6,Cal!$AN$55=6,Cal!$AI$40=6,Cal!$AJ$44=6,Cal!$AJ$57=6,Cal!$AJ$58=6,Cal!$AI$58=6,Cal!$S$39=6,Cal!$S$43=6,Cal!$S$47=6,Cal!$S$51=6,Cal!$S$55=6,Cal!$N$40=6,Cal!$O$44=6,Cal!$O$57=6,Cal!$O$58=6,Cal!$N$58=6)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AU32</xm:sqref>
        </x14:conditionalFormatting>
        <x14:conditionalFormatting xmlns:xm="http://schemas.microsoft.com/office/excel/2006/main">
          <x14:cfRule type="expression" priority="183" id="{E46AA713-649E-429C-B8C8-04FDAA9D1986}">
            <xm:f>OR(Cal!$S$43=6,Cal!$S$47=6,Cal!$S$51=6,Cal!$S$55=6,Cal!$N$44=6,Cal!$O$48=6,Cal!$O$59=6,Cal!$N$59=6,Cal!$AN$43=6,Cal!$AN$47=6,Cal!$AN$51=6,Cal!$AN$55=6,Cal!$AI$44=6,Cal!$AJ$48=6,Cal!$AJ$59=6,Cal!$AI$59=6)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AU34</xm:sqref>
        </x14:conditionalFormatting>
        <x14:conditionalFormatting xmlns:xm="http://schemas.microsoft.com/office/excel/2006/main">
          <x14:cfRule type="expression" priority="182" id="{98575EE8-D547-4A8C-8B07-D9455F31830B}">
            <xm:f>OR(Cal!$S$47=6,Cal!$N$48=6,Cal!$S$51=6,Cal!$O$52=6,Cal!$S$55=6,Cal!$O$60=6,Cal!$N$60=6,Cal!$AN$47=6,Cal!$AI$48=6,Cal!$AN$51=6,Cal!$AJ$52=6,Cal!$AN$55=6,Cal!$AJ$60=6,Cal!$AI$60=6)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AU36</xm:sqref>
        </x14:conditionalFormatting>
        <x14:conditionalFormatting xmlns:xm="http://schemas.microsoft.com/office/excel/2006/main">
          <x14:cfRule type="expression" priority="181" id="{4B5F23B7-3EB7-4736-A35F-0E21B8C391E4}">
            <xm:f>OR(Cal!$R$43=6,Cal!$M$44=6,Cal!$R$47=6,Cal!$N$48=6,Cal!$R$51=6,Cal!$R$55=6,Cal!$O$52=6,Cal!$O$57=6,Cal!$O$59=6,Cal!$N$59=6,Cal!$M$59=6,Cal!$AM$43=6,Cal!$AH$44=6,Cal!$AM$47=6,Cal!$AI$48=6,Cal!$AM$51=6,Cal!$AJ$52=6,Cal!$AM$55=6,Cal!$AJ$57=6,Cal!$AJ$59=6,Cal!$AI$59=6,Cal!$AH$59=6)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AS34</xm:sqref>
        </x14:conditionalFormatting>
        <x14:conditionalFormatting xmlns:xm="http://schemas.microsoft.com/office/excel/2006/main">
          <x14:cfRule type="expression" priority="180" id="{26E524CC-73CD-4A0E-BD5F-E23F72608D0B}">
            <xm:f>OR(Cal!$Q$47=6,Cal!$Q$51=6,Cal!$Q$55=6,Cal!$L$48=6,Cal!$M$52=6,Cal!$N$56=6,Cal!$O$57=6,Cal!$O$60=6,Cal!$N$60=6,Cal!$M$60=6,Cal!$L$60=6,Cal!$AL$47=6,Cal!$AL$51=6,Cal!$AL$55=6,Cal!$AG$48=6,Cal!$AH$52=6,Cal!$AI$56=6,Cal!$AJ$57=6,Cal!$AJ$60=6,Cal!$AI$60=6,Cal!$AH$60=6,Cal!$AG$60=6)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AQ36</xm:sqref>
        </x14:conditionalFormatting>
        <x14:conditionalFormatting xmlns:xm="http://schemas.microsoft.com/office/excel/2006/main">
          <x14:cfRule type="expression" priority="179" id="{FEBF5408-0F68-4956-8CB9-67542B22575E}">
            <xm:f>OR(Cal!$D$43=6,Cal!$D$45=6,Cal!$D$47=6,Cal!$C$49=6,Cal!$D$51=6,Cal!$B$53=6,Cal!$D$55=6,Cal!$B$56=6,Cal!$B$59=6,Cal!$C$59=6,Cal!$D$59=6,Cal!$Y$43=6,Cal!$Y$45=6,Cal!$Y$47=6,Cal!$X$49=6,Cal!$Y$51=6,Cal!$W$53=6,Cal!$Y$55=6,Cal!$W$56=6,Cal!$W$59=6,Cal!$X$59=6,Cal!$Y$59=6)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Q34</xm:sqref>
        </x14:conditionalFormatting>
        <x14:conditionalFormatting xmlns:xm="http://schemas.microsoft.com/office/excel/2006/main">
          <x14:cfRule type="expression" priority="178" id="{571277B5-F983-4F9F-B80C-5C27CFD13CB9}">
            <xm:f>OR(Cal!$E$47=6,Cal!$E$49=6,Cal!$E$51=6,Cal!$D$53=6,Cal!$E$55=6,Cal!$B$56=6,Cal!$C$57=6,Cal!$B$60=6,Cal!$C$60=6,Cal!$D$60=6,Cal!$E$60=6,Cal!$W$56=6,Cal!$X$57=6,Cal!$W$60=6,Cal!$X$60=6,Cal!$Y$60=6,Cal!$Z$60=6,Cal!$Z$55=6,Cal!$Y$53=6,Cal!$Z$51=6,Cal!$Z$49=6,Cal!$Z$47=6)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S36</xm:sqref>
        </x14:conditionalFormatting>
        <x14:conditionalFormatting xmlns:xm="http://schemas.microsoft.com/office/excel/2006/main">
          <x14:cfRule type="expression" priority="177" id="{7C80C6B4-08E6-4C92-B1AD-5B1A3C4C923A}">
            <xm:f>OR(Cal!$C$39=6,Cal!$C$41=6,Cal!$C$43=6,Cal!$B$45=6,Cal!$C$47=6,Cal!$C$51=6,Cal!$C$55=6,Cal!$B$56=6,Cal!$B$58=6,Cal!$C$58=6,Cal!$X$39=6,Cal!$X$41=6,Cal!$X$43=6,Cal!$W$45=6,Cal!$X$47=6,Cal!$X$51=6,Cal!$X$55=6,Cal!$W$56=6,Cal!$W$58=6,Cal!$X$58=6)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O32</xm:sqref>
        </x14:conditionalFormatting>
        <x14:conditionalFormatting xmlns:xm="http://schemas.microsoft.com/office/excel/2006/main">
          <x14:cfRule type="expression" priority="176" id="{468F86A6-82B0-4666-8D5A-B02561B071B6}">
            <xm:f>OR(Cal!$C$43=6,Cal!$C$45=6,Cal!$C$47=6,Cal!$B$49=6,Cal!$C$51=6,Cal!$C$55=6,Cal!$C$59=6,Cal!$B$59=6,Cal!$X$43=6,Cal!$X$45=6,Cal!$X$47=6,Cal!$W$49=6,Cal!$X$51=6,Cal!$X$55=6,Cal!$X$59=6,Cal!$W$59=6)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O34</xm:sqref>
        </x14:conditionalFormatting>
        <x14:conditionalFormatting xmlns:xm="http://schemas.microsoft.com/office/excel/2006/main">
          <x14:cfRule type="expression" priority="174" id="{10287153-B5E0-4859-BE23-FD09D6899E91}">
            <xm:f>OR(Cal!$C$47=6,Cal!$C$49=6,Cal!$C$51=6,Cal!$B$53=6,Cal!$C$55=6,Cal!$C$60=6,Cal!$B$60=6,Cal!$X$47=6,Cal!$X$49=6,Cal!$X$51=6,Cal!$W$53=6,Cal!$X$55=6,Cal!$X$60=6,Cal!$W$60=6)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O36</xm:sqref>
        </x14:conditionalFormatting>
        <x14:conditionalFormatting xmlns:xm="http://schemas.microsoft.com/office/excel/2006/main">
          <x14:cfRule type="expression" priority="173" id="{245EF412-31C5-4C8F-A479-4D1CF0975FEA}">
            <xm:f>OR(Cal!$D$51=6,Cal!$D$53=6,Cal!$D$55=6,Cal!$C$57=6,Cal!$B$61=6,Cal!$C$61=6,Cal!$D$61=6,Cal!$Y$51=6,Cal!$Y$53=6,Cal!$Y$55=6,Cal!$X$57=6,Cal!$W$61=6,Cal!$X$61=6,Cal!$Y$61=6)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Q38</xm:sqref>
        </x14:conditionalFormatting>
        <x14:conditionalFormatting xmlns:xm="http://schemas.microsoft.com/office/excel/2006/main">
          <x14:cfRule type="expression" priority="172" id="{CA0C647E-D263-4866-B79C-4FF3DCA15672}">
            <xm:f>OR(Cal!$E$51=6,Cal!$E$53=6,Cal!$E$55=6,Cal!$D$57=6,Cal!$B$61=6,Cal!$C$61=6,Cal!$D$61=6,Cal!$E$61=6,Cal!$Z$51=6,Cal!$Z$53=6,Cal!$Z$55=6,Cal!$Y$57=6,Cal!$Z$61=6,Cal!$Y$61=6,Cal!$X$61=6,Cal!$W$61=6)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S38</xm:sqref>
        </x14:conditionalFormatting>
        <x14:conditionalFormatting xmlns:xm="http://schemas.microsoft.com/office/excel/2006/main">
          <x14:cfRule type="expression" priority="171" id="{29B0D9E7-BAC1-4C34-B76C-F75A17BD526C}">
            <xm:f>OR(Cal!$F$51=6,Cal!$F$53=6,Cal!$F$55=6,Cal!$E$57=6,Cal!$B$56=6,Cal!$B$61=6,Cal!$C$61=6,Cal!$D$61=6,Cal!$E$61=6,Cal!$F$61=6,Cal!$AA$51=6,Cal!$AA$53=6,Cal!$AA$55=6,Cal!$Z$57=6,Cal!$W$56=6,Cal!$W$61=6,Cal!$X$61=6,Cal!$Y$61=6,Cal!$Z$61=6,Cal!$AA$61=6)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U38</xm:sqref>
        </x14:conditionalFormatting>
        <x14:conditionalFormatting xmlns:xm="http://schemas.microsoft.com/office/excel/2006/main">
          <x14:cfRule type="expression" priority="170" id="{000256D6-ED0D-41D6-9BA9-B72BA1501A60}">
            <xm:f>OR(Cal!$F$12=6,Cal!$K$11=6,Cal!$K$13=6,Cal!$K$15=6,Cal!$G$16=6,Cal!$J$17=6,Cal!$K$19=6,Cal!$H$20=6,Cal!$I$21=6,Cal!$K$23=6,Cal!$I$24=6,Cal!$H$25=6,Cal!$K$27=6,Cal!$J$28=6,Cal!$G$29=6,Cal!$F$30=6,Cal!$G$30=6,Cal!$H$30=6,Cal!$I$30=6,Cal!$J$30=6,Cal!$K$30=6,Cal!$K$31=6,Cal!$K$32=6,Cal!$F$33=6,Cal!$AF$11=6,Cal!$AA$12=6,Cal!$AF$13=6,Cal!$AF$15=6,Cal!$AE$17=6,Cal!$AB$16=6,Cal!$AF$19=6,Cal!$AC$20=6,Cal!$AD$21=6,Cal!$AF$23=6,Cal!$AD$24=6,Cal!$AC$25=6,Cal!$AF$27=6,Cal!$AE$28=6,Cal!$AB$29=6,Cal!$AA$30=6,Cal!$AB$30=6,Cal!$AC$30=6,Cal!$AD$30=6,Cal!$AE$30=6,Cal!$AF$30=6,Cal!$AF$31=6,Cal!$AF$32=6,Cal!$AA$33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AE18</xm:sqref>
        </x14:conditionalFormatting>
        <x14:conditionalFormatting xmlns:xm="http://schemas.microsoft.com/office/excel/2006/main">
          <x14:cfRule type="expression" priority="169" id="{561A7D85-05EA-47E7-B5B9-812AD2067061}">
            <xm:f>OR(Cal!$K$27=6,Cal!$K$29=6,Cal!$K$31=6,Cal!$F$28=6,Cal!$G$32=6,Cal!$J$33=6,Cal!$K$35=6,Cal!$H$36=6,Cal!$I$37=6,Cal!$K$39=6,Cal!$I$40=6,Cal!$H$41=6,Cal!$K$43=6,Cal!$J$44=6,Cal!$G$45=6,Cal!$F$49=6,Cal!$F$46=6,Cal!$G$46=6,Cal!$H$46=6,Cal!$I$46=6,Cal!$J$46=6,Cal!$K$46=6,Cal!$K$47=6,Cal!$K$48=6,Cal!$AF$27=6,Cal!$AA$28=6,Cal!$AF$29=6,Cal!$AF$31=6,Cal!$AB$32=6,Cal!$AE$33=6,Cal!$AF$35=6,Cal!$AC$36=6,Cal!$AD$37=6,Cal!$AF$39=6,Cal!$AD$40=6,Cal!$AC$41=6,Cal!$AF$43=6,Cal!$AE$44=6,Cal!$AB$45=6,Cal!$AA$46=6,Cal!$AB$46=6,Cal!$AC$46=6,Cal!$AD$46=6,Cal!$AE$46=6,Cal!$AF$46=6,Cal!$AF$47=6,Cal!$AF$48=6,Cal!$AA$49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AE26</xm:sqref>
        </x14:conditionalFormatting>
        <x14:conditionalFormatting xmlns:xm="http://schemas.microsoft.com/office/excel/2006/main">
          <x14:cfRule type="expression" priority="168" id="{1A438E0C-BCDB-4EA5-B9AF-F2A39E07A461}">
            <xm:f>OR(Cal!$I$19=6,Cal!$D$20=6,Cal!$I$21=6,Cal!$I$23=6,Cal!$E$24=6,Cal!$H$25=6,Cal!$I$27=6,Cal!$F$28=6,Cal!$G$29=6,Cal!$I$31=6,Cal!$G$32=6,Cal!$F$33=6,Cal!$I$35=6,Cal!$H$36=6,Cal!$E$37=6,Cal!$D$38=6,Cal!$E$38=6,Cal!$F$38=6,Cal!$G$38=6,Cal!$H$38=6,Cal!$I$38=6,Cal!$I$39=6,Cal!$I$40=6,Cal!$D$41=6,Cal!$AD$19=6,Cal!$Y$20=6,Cal!$AD$21=6,Cal!$AD$23=6,Cal!$Z$24=6,Cal!$AC$25=6,Cal!$AD$27=6,Cal!$AA$28=6,Cal!$AB$29=6,Cal!$AD$31=6,Cal!$AB$32=6,Cal!$AA$33=6,Cal!$AD$35=6,Cal!$AC$36=6,Cal!$Z$37=6,Cal!$Y$38=6,Cal!$Z$38=6,Cal!$AA$38=6,Cal!$AB$38=6,Cal!$AC$38=6,Cal!$AD$38=6,Cal!$AD$39=6,Cal!$AD$40=6,Cal!$Y$41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AA22</xm:sqref>
        </x14:conditionalFormatting>
        <x14:conditionalFormatting xmlns:xm="http://schemas.microsoft.com/office/excel/2006/main">
          <x14:cfRule type="expression" priority="167" id="{9487F335-661B-4F79-8327-1246CAD13B41}">
            <xm:f>OR(Cal!$M$19=6,Cal!$H$20=6,Cal!$M$21=6,Cal!$M$23=6,Cal!$I$24=6,Cal!$L$25=6,Cal!$M$27=6,Cal!$J$28=6,Cal!$K$29=6,Cal!$M$31=6,Cal!$K$32=6,Cal!$J$33=6,Cal!$M$35=6,Cal!$L$36=6,Cal!$I$37=6,Cal!$H$38=6,Cal!$I$38=6,Cal!$J$38=6,Cal!$K$38=6,Cal!$L$38=6,Cal!$M$38=6,Cal!$M$39=6,Cal!$M$40=6,Cal!$H$41=6,Cal!$AH$19=6,Cal!$AC$20=6,Cal!$AH$21=6,Cal!$AH$23=6,Cal!$AD$24=6,Cal!$AG$25=6,Cal!$AH$27=6,Cal!$AE$28=6,Cal!$AF$29=6,Cal!$AH$31=6,Cal!$AF$32=6,Cal!$AE$33=6,Cal!$AH$35=6,Cal!$AG$36=6,Cal!$AD$37=6,Cal!$AC$38=6,Cal!$AD$38=6,Cal!$AE$38=6,Cal!$AF$38=6,Cal!$AG$38=6,Cal!$AH$38=6,Cal!$AH$39=6,Cal!$AH$40=6,Cal!$AC$41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AI22</xm:sqref>
        </x14:conditionalFormatting>
        <x14:conditionalFormatting xmlns:xm="http://schemas.microsoft.com/office/excel/2006/main">
          <x14:cfRule type="expression" priority="166" id="{17919A94-C765-489C-B29D-5FD5404049D3}">
            <xm:f>OR(Cal!$K$7=6,Cal!$F$8=6,Cal!$K$9=6,Cal!$K$11=6,Cal!$G$12=6,Cal!$J$13=6,Cal!$K$15=6,Cal!$H$16=6,Cal!$I$17=6,Cal!$K$19=6,Cal!$I$20=6,Cal!$H$21=6,Cal!$K$23=6,Cal!$J$24=6,Cal!$G$25=6,Cal!$F$26=6,Cal!$G$26=6,Cal!$H$26=6,Cal!$I$26=6,Cal!$J$26=6,Cal!$K$26=6,Cal!$K$27=6,Cal!$K$28=6,Cal!$F$29=6,Cal!$AF$7=6,Cal!$AA$8=6,Cal!$AF$9=6,Cal!$AF$11=6,Cal!$AB$12=6,Cal!$AE$13=6,Cal!$AF$15=6,Cal!$AC$16=6,Cal!$AD$17=6,Cal!$AF$19=6,Cal!$AD$20=6,Cal!$AC$21=6,Cal!$AF$23=6,Cal!$AE$24=6,Cal!$AB$25=6,Cal!$AA$26=6,Cal!$AB$26=6,Cal!$AC$26=6,Cal!$AD$26=6,Cal!$AE$26=6,Cal!$AF$26=6,Cal!$AF$27=6,Cal!$AF$28=6,Cal!$AA$29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AE16</xm:sqref>
        </x14:conditionalFormatting>
        <x14:conditionalFormatting xmlns:xm="http://schemas.microsoft.com/office/excel/2006/main">
          <x14:cfRule type="expression" priority="165" id="{22843CE8-F191-4A5C-9B9E-82F0B53F9B96}">
            <xm:f>OR(Cal!$K$15=6,Cal!$F$16=6,Cal!$K$17=6,Cal!$K$19=6,Cal!$G$20=6,Cal!$J$21=6,Cal!$K$23=6,Cal!$H$24=6,Cal!$I$25=6,Cal!$K$27=6,Cal!$I$28=6,Cal!$H$29=6,Cal!$K$31=6,Cal!$J$32=6,Cal!$G$33=6,Cal!$F$37=6,Cal!$K$36=6,Cal!$K$35=6,Cal!$F$34=6,Cal!$G$34=6,Cal!$H$34=6,Cal!$I$34=6,Cal!$J$34=6,Cal!$K$34=6,Cal!$AF$15=6,Cal!$AA$16=6,Cal!$AF$17=6,Cal!$AF$19=6,Cal!$AB$20=6,Cal!$AE$21=6,Cal!$AF$23=6,Cal!$AC$24=6,Cal!$AD$25=6,Cal!$AF$27=6,Cal!$AD$28=6,Cal!$AC$29=6,Cal!$AF$31=6,Cal!$AE$32=6,Cal!$AB$33=6,Cal!$AA$34=6,Cal!$AB$34=6,Cal!$AC$34=6,Cal!$AD$34=6,Cal!$AE$34=6,Cal!$AF$34=6,Cal!$AF$35=6,Cal!$AF$36=6,Cal!$AA$37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AE20</xm:sqref>
        </x14:conditionalFormatting>
        <x14:conditionalFormatting xmlns:xm="http://schemas.microsoft.com/office/excel/2006/main">
          <x14:cfRule type="expression" priority="164" id="{627298D7-E35A-4F11-9C46-8371B49E1753}">
            <xm:f>OR(Cal!$K$31=6,Cal!$F$32=6,Cal!$K$33=6,Cal!$K$35=6,Cal!$G$36=6,Cal!$J$37=6,Cal!$K$39=6,Cal!$H$40=6,Cal!$I$41=6,Cal!$K$43=6,Cal!$I$44=6,Cal!$H$45=6,Cal!$K$47=6,Cal!$J$48=6,Cal!$G$49=6,Cal!$F$50=6,Cal!$G$50=6,Cal!$H$50=6,Cal!$I$50=6,Cal!$J$50=6,Cal!$K$50=6,Cal!$K$51=6,Cal!$K$52=6,Cal!$F$53=6,Cal!$AF$31=6,Cal!$AF$33=6,Cal!$AA$32=6,Cal!$AF$35=6,Cal!$AB$36=6,Cal!$AE$37=6,Cal!$AF$39=6,Cal!$AC$40=6,Cal!$AD$41=6,Cal!$AF$43=6,Cal!$AD$44=6,Cal!$AC$45=6,Cal!$AF$47=6,Cal!$AE$48=6,Cal!$AB$49=6,Cal!$AA$50=6,Cal!$AB$50=6,Cal!$AC$50=6,Cal!$AD$50=6,Cal!$AE$50=6,Cal!$AF$50=6,Cal!$AF$51=6,Cal!$AF$52=6,Cal!$AA$53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AE28</xm:sqref>
        </x14:conditionalFormatting>
        <x14:conditionalFormatting xmlns:xm="http://schemas.microsoft.com/office/excel/2006/main">
          <x14:cfRule type="expression" priority="163" id="{844EC8BF-9F81-44FF-B9A4-5017FCDE0C88}">
            <xm:f>OR(Cal!$H$19=6,Cal!$C$20=6,Cal!$H$21=6,Cal!$H$23=6,Cal!$D$24=6,Cal!$G$25=6,Cal!$H$27=6,Cal!$E$28=6,Cal!$F$29=6,Cal!$H$31=6,Cal!$F$32=6,Cal!$E$33=6,Cal!$H$35=6,Cal!$G$36=6,Cal!$D$37=6,Cal!$C$38=6,Cal!$D$38=6,Cal!$E$38=6,Cal!$F$38=6,Cal!$G$38=6,Cal!$H$38=6,Cal!$H$40=6,Cal!$H$39=6,Cal!$C$41=6,Cal!$AC$19=6,Cal!$X$20=6,Cal!$AC$21=6,Cal!$AC$23=6,Cal!$Y$24=6,Cal!$AB$25=6,Cal!$AC$27=6,Cal!$Z$28=6,Cal!$AA$29=6,Cal!$AC$31=6,Cal!$AA$32=6,Cal!$Z$33=6,Cal!$AC$35=6,Cal!$AB$36=6,Cal!$Y$37=6,Cal!$X$38=6,Cal!$Y$38=6,Cal!$Z$38=6,Cal!$AA$38=6,Cal!$AB$38=6,Cal!$AC$38=6,Cal!$AC$39=6,Cal!$AC$40=6,Cal!$X$41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Y22</xm:sqref>
        </x14:conditionalFormatting>
        <x14:conditionalFormatting xmlns:xm="http://schemas.microsoft.com/office/excel/2006/main">
          <x14:cfRule type="expression" priority="162" id="{1ED8968C-A789-45FF-A8B8-A20F5E620D0F}">
            <xm:f>OR(Cal!$N$19=6,Cal!$I$20=6,Cal!$N$21=6,Cal!$N$23=6,Cal!$J$24=6,Cal!$M$25:$M$26=6,Cal!$N$27=6,Cal!$K$28=6,Cal!$L$29=6,Cal!$N$31=6,Cal!$L$32=6,Cal!$K$33=6,Cal!$N$35=6,Cal!$M$36=6,Cal!$J$37=6,Cal!$I$38=6,Cal!$J$38=6,Cal!$K$38=6,Cal!$L$38=6,Cal!$M$38=6,Cal!$N$38=6,Cal!$N$39=6,Cal!$N$40=6,Cal!$I$41=6,Cal!$AI$19=6,Cal!$AD$20=6,Cal!$AI$21=6,Cal!$AI$23=6,Cal!$AE$24=6,Cal!$AH$25=6,Cal!$AI$27=6,Cal!$AF$28=6,Cal!$AG$29=6,Cal!$AI$31=6,Cal!$AG$32=6,Cal!$AF$33=6,Cal!$AI$35=6,Cal!$AH$36=6,Cal!$AE$37=6,Cal!$AD$38=6,Cal!$AE$38=6,Cal!$AF$38=6,Cal!$AG$38=6,Cal!$AH$38=6,Cal!$AI$38=6,Cal!$AI$39=6,Cal!$AI$40=6,Cal!$AD$41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AK22</xm:sqref>
        </x14:conditionalFormatting>
        <x14:conditionalFormatting xmlns:xm="http://schemas.microsoft.com/office/excel/2006/main">
          <x14:cfRule type="expression" priority="161" id="{FB6DB79A-4442-4CAD-B4CD-CEB4AE7D5743}">
            <xm:f>OR(Cal!$O$19=6,Cal!$J$20=6,Cal!$O$21=6,Cal!$O$23=6,Cal!$K$24=6,Cal!$N$25=6,Cal!$O$27=6,Cal!$L$28=6,Cal!$M$29=6,Cal!$O$31=6,Cal!$M$32=6,Cal!$L$33=6,Cal!$O$35=6,Cal!$N$36=6,Cal!$J$41=6,Cal!$K$37=6,Cal!$J$38=6,Cal!$K$38=6,Cal!$L$38=6,Cal!$M$38=6,Cal!$N$38=6,Cal!$O$38=6,Cal!$O$39=6,Cal!$O$40=6,Cal!$AE$41=6,Cal!$AE$38=6,Cal!$AF$38=6,Cal!$AF$37=6,Cal!$AG$38=6,Cal!$AH$38=6,Cal!$AI$38=6,Cal!$AJ$38=6,Cal!$AJ$39=6,Cal!$AJ$40=6,Cal!$AI$36=6,Cal!$AJ$35=6,Cal!$AG$33=6,Cal!$AH$32=6,Cal!$AJ$31=6,Cal!$AH$29=6,Cal!$AG$28=6,Cal!$AJ$27=6,Cal!$AI$25=6,Cal!$AF$24=6,Cal!$AE$20=6,Cal!$AJ$23=6,Cal!$AJ$21=6,Cal!$AJ$19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AM22</xm:sqref>
        </x14:conditionalFormatting>
        <x14:conditionalFormatting xmlns:xm="http://schemas.microsoft.com/office/excel/2006/main">
          <x14:cfRule type="expression" priority="160" id="{DA68B067-37F9-4919-9454-68D87E4C6711}">
            <xm:f>OR(Cal!$J$7=6,Cal!$E$8=6,Cal!$J$9=6,Cal!$J$11=6,Cal!$F$12=6,Cal!$I$13=6,Cal!$J$15=6,Cal!$G$16=6,Cal!$H$17=6,Cal!$J$19=6,Cal!$H$20=6,Cal!$G$21=6,Cal!$J$23=6,Cal!$I$24=6,Cal!$F$25=6,Cal!$E$26=6,Cal!$F$26=6,Cal!$G$26=6,Cal!$H$26=6,Cal!$I$26=6,Cal!$J$26=6,Cal!$J$27=6,Cal!$J$28=6,Cal!$E$29=6,Cal!$AE$7=6,Cal!$Z$8=6,Cal!$AE$9=6,Cal!$AE$11=6,Cal!$AA$12=6,Cal!$AD$13=6,Cal!$AE$15=6,Cal!$AB$16=6,Cal!$AC$17=6,Cal!$AE$19=6,Cal!$AC$20=6,Cal!$AB$21=6,Cal!$AE$23=6,Cal!$AD$24=6,Cal!$AA$25=6,Cal!$Z$26=6,Cal!$AA$26=6,Cal!$AB$26=6,Cal!$AC$26=6,Cal!$AD$26=6,Cal!$AE$26=6,Cal!$AE$27=6,Cal!$AE$28=6,Cal!$Z$29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AC16</xm:sqref>
        </x14:conditionalFormatting>
        <x14:conditionalFormatting xmlns:xm="http://schemas.microsoft.com/office/excel/2006/main">
          <x14:cfRule type="expression" priority="159" id="{DEA3068F-B2C4-44A4-ADD5-DB1972915D0F}">
            <xm:f>OR(Cal!$L$7=6,Cal!$G$8=6,Cal!$L$9=6,Cal!$L$11=6,Cal!$H$12=6,Cal!$K$13=6,Cal!$L$15=6,Cal!$I$16=6,Cal!$J$17=6,Cal!$L$19=6,Cal!$J$20=6,Cal!$I$21=6,Cal!$L$23=6,Cal!$K$24=6,Cal!$H$25=6,Cal!$G$26=6,Cal!$H$26=6,Cal!$I$26=6,Cal!$J$26=6,Cal!$K$26=6,Cal!$L$26=6,Cal!$L$27=6,Cal!$L$28=6,Cal!$G$29=6,Cal!$AG$7=6,Cal!$AB$8=6,Cal!$AG$9=6,Cal!$AG$11=6,Cal!$AC$12=6,Cal!$AF$13=6,Cal!$AG$15=6,Cal!$AD$16=6,Cal!$AE$17=6,Cal!$AG$19=6,Cal!$AE$20=6,Cal!$AD$21=6,Cal!$AG$23=6,Cal!$AF$24=6,Cal!$AC$25=6,Cal!$AB$26=6,Cal!$AC$26=6,Cal!$AD$26=6,Cal!$AE$26=6,Cal!$AF$26=6,Cal!$AG$26=6,Cal!$AG$27=6,Cal!$AG$28=6,Cal!$AB$29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AG16</xm:sqref>
        </x14:conditionalFormatting>
        <x14:conditionalFormatting xmlns:xm="http://schemas.microsoft.com/office/excel/2006/main">
          <x14:cfRule type="expression" priority="158" id="{6677A0FB-F735-4DB3-B098-A21C1C8BA3E3}">
            <xm:f>OR(Cal!$J$31=6,Cal!$E$32=6,Cal!$J$33=6,Cal!$J$35=6,Cal!$F$36=6,Cal!$I$37=6,Cal!$J$39=6,Cal!$G$40=6,Cal!$H$41=6,Cal!$J$43=6,Cal!$H$44=6,Cal!$G$45=6,Cal!$J$47=6,Cal!$I$48=6,Cal!$F$49=6,Cal!$E$50=6,Cal!$F$50=6,Cal!$G$50=6,Cal!$H$50=6,Cal!$I$50=6,Cal!$J$50=6,Cal!$J$51=6,Cal!$J$52=6,Cal!$E$53=6,Cal!$AE$31=6,Cal!$Z$32=6,Cal!$AE$33=6,Cal!$AE$35=6,Cal!$AA$36=6,Cal!$AD$37=6,Cal!$AE$39=6,Cal!$AB$40=6,Cal!$AC$41=6,Cal!$AE$43=6,Cal!$AC$44=6,Cal!$AB$45=6,Cal!$AE$47=6,Cal!$AD$48=6,Cal!$AA$49=6,Cal!$Z$50=6,Cal!$AA$50=6,Cal!$AB$50=6,Cal!$AC$50=6,Cal!$AD$50=6,Cal!$AE$50=6,Cal!$AE$51=6,Cal!$AE$52=6,Cal!$Z$53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AC28</xm:sqref>
        </x14:conditionalFormatting>
        <x14:conditionalFormatting xmlns:xm="http://schemas.microsoft.com/office/excel/2006/main">
          <x14:cfRule type="expression" priority="157" id="{6FDA33FE-3ECD-4422-8C02-78C4FF2C5EF5}">
            <xm:f>OR(Cal!$L$31=6,Cal!$G$32=6,Cal!$L$33=6,Cal!$L$35=6,Cal!$H$36=6,Cal!$K$37=6,Cal!$L$39=6,Cal!$I$40=6,Cal!$J$41=6,Cal!$L$43=6,Cal!$J$44=6,Cal!$I$45=6,Cal!$L$47=6,Cal!$K$48=6,Cal!$H$49=6,Cal!$G$50=6,Cal!$H$50=6,Cal!$I$50=6,Cal!$J$50=6,Cal!$K$50=6,Cal!$L$50=6,Cal!$L$51=6,Cal!$L$52=6,Cal!$G$53=6,Cal!$AG$31=6,Cal!$AB$32=6,Cal!$AG$33=6,Cal!$AG$35=6,Cal!$AC$36=6,Cal!$AF$37=6,Cal!$AG$39=6,Cal!$AD$40=6,Cal!$AE$41=6,Cal!$AG$43=6,Cal!$AE$44=6,Cal!$AD$45=6,Cal!$AG$47=6,Cal!$AF$48=6,Cal!$AC$49=6,Cal!$AB$50=6,Cal!$AC$50=6,Cal!$AD$50=6,Cal!$AE$50=6,Cal!$AF$50=6,Cal!$AG$50=6,Cal!$AG$51=6,Cal!$AG$52=6,Cal!$AB$53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AG28</xm:sqref>
        </x14:conditionalFormatting>
        <x14:conditionalFormatting xmlns:xm="http://schemas.microsoft.com/office/excel/2006/main">
          <x14:cfRule type="expression" priority="156" id="{204BA605-BB2B-4F7E-ABC1-80A5A77FCB99}">
            <xm:f>OR(Cal!$H$15=6,Cal!$C$16=6,Cal!$H$17=6,Cal!$H$19=6,Cal!$D$20=6,Cal!$G$21=6,Cal!$H$23=6,Cal!$E$24=6,Cal!$F$25=6,Cal!$H$27=6,Cal!$F$28=6,Cal!$E$29=6,Cal!$H$31=6,Cal!$G$32=6,Cal!$D$33=6,Cal!$C$34=6,Cal!$D$34=6,Cal!$E$34=6,Cal!$F$34=6,Cal!$G$34=6,Cal!$H$34=6,Cal!$H$35=6,Cal!$H$36=6,Cal!$C$37=6,Cal!$AC$15=6,Cal!$X$16=6,Cal!$AC$17=6,Cal!$AC$19=6,Cal!$Y$20=6,Cal!$AB$21=6,Cal!$AC$23=6,Cal!$Z$24=6,Cal!$AA$25=6,Cal!$AC$27=6,Cal!$AA$28=6,Cal!$Z$29=6,Cal!$AC$31=6,Cal!$AB$32=6,Cal!$Y$33=6,Cal!$X$34=6,Cal!$Y$34=6,Cal!$Z$34=6,Cal!$AA$34=6,Cal!$AB$34=6,Cal!$AC$34=6,Cal!$AC$35=6,Cal!$AC$36=6,Cal!$X$37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Y20</xm:sqref>
        </x14:conditionalFormatting>
        <x14:conditionalFormatting xmlns:xm="http://schemas.microsoft.com/office/excel/2006/main">
          <x14:cfRule type="expression" priority="155" id="{45522DA6-7334-49E7-BD61-D8FCE869D41D}">
            <xm:f>OR(Cal!$N$15=6,Cal!$I$16=6,Cal!$N$17=6,Cal!$N$19=6,Cal!$J$20=6,Cal!$M$21=6,Cal!$N$23=6,Cal!$K$24=6,Cal!$L$25=6,Cal!$N$27=6,Cal!$L$28=6,Cal!$K$29=6,Cal!$N$31=6,Cal!$M$32=6,Cal!$J$33=6,Cal!$I$34=6,Cal!$J$34=6,Cal!$K$34=6,Cal!$L$34=6,Cal!$M$34=6,Cal!$N$34=6,Cal!$N$35=6,Cal!$N$36=6,Cal!$I$37=6,Cal!$AI$15=6,Cal!$AD$16=6,Cal!$AI$17=6,Cal!$AI$19=6,Cal!$AE$20=6,Cal!$AH$21=6,Cal!$AI$23=6,Cal!$AF$24=6,Cal!$AG$25=6,Cal!$AI$27=6,Cal!$AG$28=6,Cal!$AF$29=6,Cal!$AI$31=6,Cal!$AH$32=6,Cal!$AE$33=6,Cal!$AD$34=6,Cal!$AE$34=6,Cal!$AF$34=6,Cal!$AG$34=6,Cal!$AH$34=6,Cal!$AI$34=6,Cal!$AI$35=6,Cal!$AI$36=6,Cal!$AD$37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AK20</xm:sqref>
        </x14:conditionalFormatting>
        <x14:conditionalFormatting xmlns:xm="http://schemas.microsoft.com/office/excel/2006/main">
          <x14:cfRule type="expression" priority="154" id="{EDA5AB71-0689-4D31-9B97-F8680AB422E2}">
            <xm:f>OR(Cal!$N$23=6,Cal!$I$24=6,Cal!$N$25=6,Cal!$N$27=6,Cal!$J$28=6,Cal!$M$29=6,Cal!$N$31=6,Cal!$K$32=6,Cal!$L$33=6,Cal!$N$35=6,Cal!$L$36=6,Cal!$K$37=6,Cal!$N$39=6,Cal!$M$40=6,Cal!$J$41=6,Cal!$I$42=6,Cal!$J$42=6,Cal!$K$42=6,Cal!$L$42=6,Cal!$M$42=6,Cal!$N$42=6,Cal!$N$43=6,Cal!$N$44=6,Cal!$I$45=6,Cal!$AI$23=6,Cal!$AD$24=6,Cal!$AI$25=6,Cal!$AI$27=6,Cal!$AE$28=6,Cal!$AH$29=6,Cal!$AI$31=6,Cal!$AF$32=6,Cal!$AG$33=6,Cal!$AI$35=6,Cal!$AG$36=6,Cal!$AF$37=6,Cal!$AI$39=6,Cal!$AH$40=6,Cal!$AE$41=6,Cal!$AD$42=6,Cal!$AE$42=6,Cal!$AF$42=6,Cal!$AG$42=6,Cal!$AH$42=6,Cal!$AI$42=6,Cal!$AI$43=6,Cal!$AI$44=6,Cal!$AD$45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AK24</xm:sqref>
        </x14:conditionalFormatting>
        <x14:conditionalFormatting xmlns:xm="http://schemas.microsoft.com/office/excel/2006/main">
          <x14:cfRule type="expression" priority="153" id="{9257D61F-A851-4077-ACC2-F5764B17B6E6}">
            <xm:f>OR(Cal!$H$23=6,Cal!$C$24=6,Cal!$H$25=6,Cal!$H$27=6,Cal!$D$28=6,Cal!$G$29=6,Cal!$H$31=6,Cal!$E$32=6,Cal!$F$33=6,Cal!$H$35=6,Cal!$F$36=6,Cal!$E$37=6,Cal!$H$39=6,Cal!$G$40=6,Cal!$D$41=6,Cal!$C$42=6,Cal!$D$42=6,Cal!$E$42=6,Cal!$F$42=6,Cal!$G$42=6,Cal!$H$42=6,Cal!$H$43=6,Cal!$H$44=6,Cal!$C$45=6,Cal!$AC$23=6,Cal!$X$24=6,Cal!$AC$25=6,Cal!$AC$27=6,Cal!$Y$28=6,Cal!$AB$29=6,Cal!$AC$31=6,Cal!$Z$32=6,Cal!$AA$33=6,Cal!$AC$35=6,Cal!$AA$36=6,Cal!$Z$37=6,Cal!$AC$39=6,Cal!$AB$40=6,Cal!$Y$41=6,Cal!$X$42=6,Cal!$Y$42=6,Cal!$Z$42=6,Cal!$AA$42=6,Cal!$AB$42=6,Cal!$AC$42=6,Cal!$AC$43=6,Cal!$AC$44=6,Cal!$X$45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Y24</xm:sqref>
        </x14:conditionalFormatting>
        <x14:conditionalFormatting xmlns:xm="http://schemas.microsoft.com/office/excel/2006/main">
          <x14:cfRule type="expression" priority="152" id="{63AAEE7D-CB94-4D53-91AF-504D4399F792}">
            <xm:f>OR(Cal!$R$7=6,Cal!$R$11=6,Cal!$R$15=6,Cal!$R$19=6,Cal!$R$23=6,Cal!$R$27=6,Cal!$M$8=6,Cal!$N$12=6,Cal!$O$16=6,Cal!$O$21=6,Cal!$N$25=6,Cal!$M$26=6,Cal!$N$26=6,Cal!$O$26=6,Cal!$M$29=6,Cal!$AM$7=6,Cal!$AM$11=6,Cal!$AM$15=6,Cal!$AM$19=6,Cal!$AM$23=6,Cal!$AM$27=6,Cal!$AH$29=6,Cal!$AH$26=6,Cal!$AI$26=6,Cal!$AJ$26=6,Cal!$AI$25=6,Cal!$AJ$21=6,Cal!$AJ$16=6,Cal!$AI$12=6,Cal!$AH$8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AS16</xm:sqref>
        </x14:conditionalFormatting>
        <x14:conditionalFormatting xmlns:xm="http://schemas.microsoft.com/office/excel/2006/main">
          <x14:cfRule type="expression" priority="151" id="{F305982E-E2AE-4685-88BA-7673B67A1233}">
            <xm:f>OR(Cal!$H$47=6,Cal!$H$49=6,Cal!$H$51=6,Cal!$H$55=6,Cal!$G$53=6,Cal!$C$48=6,Cal!$D$52=6,Cal!$E$56=6,Cal!$F$57=6,Cal!$C$60=6,Cal!$D$60=6,Cal!$E$60=6,Cal!$F$60=6,Cal!$G$60=6,Cal!$H$60=6,Cal!$AC$47=6,Cal!$X$48=6,Cal!$AC$49=6,Cal!$AC$51=6,Cal!$Y$52=6,Cal!$AB$53=6,Cal!$AC$55=6,Cal!$Z$56=6,Cal!$AA$57=6,Cal!$AC$60=6,Cal!$AB$60=6,Cal!$AA$60=6,Cal!$Z$60=6,Cal!$Y$60=6,Cal!$X$60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Y36</xm:sqref>
        </x14:conditionalFormatting>
        <x14:conditionalFormatting xmlns:xm="http://schemas.microsoft.com/office/excel/2006/main">
          <x14:cfRule type="expression" priority="150" id="{6857DC9A-E3AC-438F-AE3F-9EDA68EBDCC5}">
            <xm:f>OR(Cal!$N$3=6,Cal!$L$4=6,Cal!$K$5=6,Cal!$N$7=6,Cal!$M$8=6,Cal!$J$9=6,Cal!$I$10=6,Cal!$J$10=6,Cal!$K$10=6,Cal!$L$10=6,Cal!$M$10=6,Cal!$N$10=6,Cal!$N$11=6,Cal!$N$12=6,Cal!$I$13=6,Cal!$AI$3=6,Cal!$AG$4=6,Cal!$AF$5=6,Cal!$AI$7=6,Cal!$AH$8=6,Cal!$AE$9=6,Cal!$AD$10=6,Cal!$AE$10=6,Cal!$AF$10=6,Cal!$AG$10=6,Cal!$AH$10=6,Cal!$AI$10=6,Cal!$AI$11=6,Cal!$AI$12=6,Cal!$AD$13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AK8</xm:sqref>
        </x14:conditionalFormatting>
        <x14:conditionalFormatting xmlns:xm="http://schemas.microsoft.com/office/excel/2006/main">
          <x14:cfRule type="expression" priority="149" id="{03D5729D-D864-4937-84D3-0A998B472B66}">
            <xm:f>OR(Cal!$D$31=6,Cal!$D$33=6,Cal!$D$35=6,Cal!$C$37=6,Cal!$D$39=6,Cal!$B$41=6,Cal!$D$43=6,Cal!$B$44=6,Cal!$D$47=6,Cal!$C$48=6,Cal!$B$50=6,Cal!$C$50=6,Cal!$D$50=6,Cal!$D$51=6,Cal!$D$52=6,Cal!$Y$31=6,Cal!$Y$33=6,Cal!$Y$35=6,Cal!$X$37=6,Cal!$Y$39=6,Cal!$W$41=6,Cal!$Y$43=6,Cal!$W$44=6,Cal!$Y$47=6,Cal!$X$48=6,Cal!$W$50=6,Cal!$X$50=6,Cal!$Y$50=6,Cal!$Y$51=6,Cal!$Y$52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Q28</xm:sqref>
        </x14:conditionalFormatting>
        <x14:conditionalFormatting xmlns:xm="http://schemas.microsoft.com/office/excel/2006/main">
          <x14:cfRule type="expression" priority="148" id="{491B2348-56D9-42F8-A3E4-48637E6E68E3}">
            <xm:f>OR(Cal!$H$3=6,Cal!$F$4=6,Cal!$E$5=6,Cal!$H$7=6,Cal!$G$8=6,Cal!$D$9=6,Cal!$C$10=6,Cal!$D$10=6,Cal!$E$10=6,Cal!$F$10=6,Cal!$G$10=6,Cal!$H$10=6,Cal!$H$11=6,Cal!$H$12=6,Cal!$C$13=6,Cal!$AC$3=6,Cal!$AA$4=6,Cal!$Z$5=6,Cal!$AC$7=6,Cal!$AB$8=6,Cal!$Y$9=6,Cal!$X$10=6,Cal!$Y$10=6,Cal!$Z$10=6,Cal!$AA$10=6,Cal!$AB$10=6,Cal!$AC$10=6,Cal!$AC$11=6,Cal!$AC$12=6,Cal!$X$13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Y8</xm:sqref>
        </x14:conditionalFormatting>
        <x14:conditionalFormatting xmlns:xm="http://schemas.microsoft.com/office/excel/2006/main">
          <x14:cfRule type="expression" priority="147" id="{3B70582E-773B-4C1F-B52E-F19168015DF8}">
            <xm:f>OR(Cal!$D$7=6,Cal!$D$9=6,Cal!$D$11=6,Cal!$C$13=6,Cal!$D$15=6,Cal!$B$17=6,Cal!$D$19=6,Cal!$B$20=6,Cal!$D$23=6,Cal!$C$24=6,Cal!$B$26=6,Cal!$C$26=6,Cal!$D$26=6,Cal!$D$27=6,Cal!$D$28=6,Cal!$Y$7=6,Cal!$Y$9=6,Cal!$Y$11=6,Cal!$X$13=6,Cal!$Y$15=6,Cal!$W$17=6,Cal!$Y$19=6,Cal!$W$20=6,Cal!$Y$23=6,Cal!$X$24=6,Cal!$W$26=6,Cal!$X$26=6,Cal!$Y$26=6,Cal!$Y$27=6,Cal!$Y$28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Q16</xm:sqref>
        </x14:conditionalFormatting>
        <x14:conditionalFormatting xmlns:xm="http://schemas.microsoft.com/office/excel/2006/main">
          <x14:cfRule type="expression" priority="146" id="{F403B6BD-5777-4BD1-A043-95700B536B97}">
            <xm:f>OR(Cal!$N$47=6,Cal!$I$48=6,Cal!$N$49=6,Cal!$N$51=6,Cal!$M$53=6,Cal!$J$52=6,Cal!$N$55=6,Cal!$K$56=6,Cal!$L$57=6,Cal!$I$60=6,Cal!$J$60=6,Cal!$K$60=6,Cal!$L$60=6,Cal!$M$60=6,Cal!$N$60=6,Cal!$AI$47=6,Cal!$AD$48=6,Cal!$AI$49=6,Cal!$AI$51=6,Cal!$AE$52=6,Cal!$AH$53=6,Cal!$AI$55=6,Cal!$AF$56=6,Cal!$AG$57=6,Cal!$AD$60=6,Cal!$AE$60=6,Cal!$AF$60=6,Cal!$AG$60=6,Cal!$AH$60=6,Cal!$AI$60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AK36</xm:sqref>
        </x14:conditionalFormatting>
        <x14:conditionalFormatting xmlns:xm="http://schemas.microsoft.com/office/excel/2006/main">
          <x14:cfRule type="expression" priority="145" id="{5C9BCFD5-446D-4EBC-A80E-E0548BE158DC}">
            <xm:f>OR(Cal!$R$31=6,Cal!$R$35=6,Cal!$R$39=6,Cal!$R$43=6,Cal!$R$47=6,Cal!$R$51=6,Cal!$M$32=6,Cal!$N$36=6,Cal!$O$40=6,Cal!$O$45=6,Cal!$N$49=6,Cal!$O$50=6,Cal!$N$50=6,Cal!$M$50=6,Cal!$M$53=6,Cal!$AM$31=6,Cal!$AM$35=6,Cal!$AM$39=6,Cal!$AM$43=6,Cal!$AM$47=6,Cal!$AM$51=6,Cal!$AH$53=6,Cal!$AH$50=6,Cal!$AI$50=6,Cal!$AJ$50=6,Cal!$AI$49=6,Cal!$AJ$45=6,Cal!$AJ$40=6,Cal!$AI$36=6,Cal!$AH$32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AS28</xm:sqref>
        </x14:conditionalFormatting>
        <x14:conditionalFormatting xmlns:xm="http://schemas.microsoft.com/office/excel/2006/main">
          <x14:cfRule type="expression" priority="144" id="{064E3C5B-20F0-407A-B87A-4B8A285F23EF}">
            <xm:f>OR(Cal!$J$11=6,Cal!$E$12=6,Cal!$J$13=6,Cal!$J$15=6,Cal!$F$16=6,Cal!$I$17=6,Cal!$J$19=6,Cal!$G$20=6,Cal!$H$21=6,Cal!$J$23=6,Cal!$H$24=6,Cal!$G$25=6,Cal!$J$27=6,Cal!$I$28=6,Cal!$F$29=6,Cal!$E$30=6,Cal!$F$30=6,Cal!$G$30=6,Cal!$H$30=6,Cal!$I$30=6,Cal!$J$30=6,Cal!$J$31=6,Cal!$J$32=6,Cal!$E$33=6,Cal!$AE$11=6,Cal!$Z$12=6,Cal!$AE$13=6,Cal!$AE$15=6,Cal!$AA$16=6,Cal!$AD$17=6,Cal!$AE$19=6,Cal!$AB$20=6,Cal!$AC$21=6,Cal!$AE$23=6,Cal!$AC$24=6,Cal!$AB$25=6,Cal!$AE$27=6,Cal!$AD$28=6,Cal!$AA$29=6,Cal!$Z$30=6,Cal!$AA$30=6,Cal!$AB$30=6,Cal!$AC$30=6,Cal!$AD$30=6,Cal!$AE$30=6,Cal!$AE$31=6,Cal!$AE$32=6,Cal!$Z$33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AC18</xm:sqref>
        </x14:conditionalFormatting>
        <x14:conditionalFormatting xmlns:xm="http://schemas.microsoft.com/office/excel/2006/main">
          <x14:cfRule type="expression" priority="143" id="{00C56452-F018-4ED2-81FD-9D7D5F429FF0}">
            <xm:f>OR(Cal!$L$11=6,Cal!$G$12=6,Cal!$L$13=6,Cal!$L$15=6,Cal!$H$16=6,Cal!$K$17=6,Cal!$L$19=6,Cal!$I$20=6,Cal!$J$21=6,Cal!$L$23=6,Cal!$J$24=6,Cal!$I$25=6,Cal!$L$27=6,Cal!$K$28=6,Cal!$H$29=6,Cal!$G$30=6,Cal!$H$30=6,Cal!$I$30=6,Cal!$J$30=6,Cal!$K$30=6,Cal!$L$30=6,Cal!$L$31=6,Cal!$L$32=6,Cal!$G$33=6,Cal!$AG$11=6,Cal!$AB$12=6,Cal!$AG$13=6,Cal!$AG$15=6,Cal!$AC$16=6,Cal!$AF$17=6,Cal!$AG$19=6,Cal!$AD$20=6,Cal!$AE$21=6,Cal!$AG$23=6,Cal!$AE$24=6,Cal!$AD$25=6,Cal!$AG$27=6,Cal!$AF$28=6,Cal!$AC$29=6,Cal!$AB$30=6,Cal!$AC$30=6,Cal!$AD$30=6,Cal!$AE$30=6,Cal!$AF$30=6,Cal!$AG$30=6,Cal!$AG$31=6,Cal!$AG$32=6,Cal!$AB$33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AG18</xm:sqref>
        </x14:conditionalFormatting>
        <x14:conditionalFormatting xmlns:xm="http://schemas.microsoft.com/office/excel/2006/main">
          <x14:cfRule type="expression" priority="142" id="{60EB569D-F555-40AE-AEE8-6FF2492B1CA2}">
            <xm:f>OR(Cal!$J$27=6,Cal!$E$28=6,Cal!$J$29=6,Cal!$J$31=6,Cal!$F$32=6,Cal!$I$33=6,Cal!$J$35=6,Cal!$G$36=6,Cal!$H$37=6,Cal!$J$39=6,Cal!$H$40=6,Cal!$G$41=6,Cal!$J$43=6,Cal!$I$44=6,Cal!$F$45=6,Cal!$E$46=6,Cal!$F$46=6,Cal!$G$46=6,Cal!$H$46=6,Cal!$I$46=6,Cal!$J$46=6,Cal!$J$47=6,Cal!$J$48=6,Cal!$E$49=6,Cal!$AE$27=6,Cal!$Z$28=6,Cal!$AE$29=6,Cal!$AE$31=6,Cal!$AA$32=6,Cal!$AD$33=6,Cal!$AE$35=6,Cal!$AB$36=6,Cal!$AC$37=6,Cal!$AE$39=6,Cal!$AC$40=6,Cal!$AB$41=6,Cal!$AE$43=6,Cal!$AD$44=6,Cal!$AA$45=6,Cal!$Z$46=6,Cal!$AA$46=6,Cal!$AB$46=6,Cal!$AC$46=6,Cal!$AD$46=6,Cal!$AE$46=6,Cal!$AE$47=6,Cal!$AE$48=6,Cal!$Z$49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AC26</xm:sqref>
        </x14:conditionalFormatting>
        <x14:conditionalFormatting xmlns:xm="http://schemas.microsoft.com/office/excel/2006/main">
          <x14:cfRule type="expression" priority="141" id="{6EB8B6BE-0124-47B5-AC43-1C08F2943339}">
            <xm:f>OR(Cal!$L$27=6,Cal!$G$28=6,Cal!$L$29=6,Cal!$L$31=6,Cal!$H$32=6,Cal!$K$33=6,Cal!$L$35=6,Cal!$I$36=6,Cal!$J$37=6,Cal!$L$39=6,Cal!$J$40=6,Cal!$I$41=6,Cal!$L$43=6,Cal!$K$44=6,Cal!$H$45=6,Cal!$G$46=6,Cal!$H$46=6,Cal!$I$46=6,Cal!$J$46=6,Cal!$K$46=6,Cal!$L$46=6,Cal!$L$47=6,Cal!$L$48=6,Cal!$G$49=6,Cal!$AG$27=6,Cal!$AB$28=6,Cal!$AG$29=6,Cal!$AG$31=6,Cal!$AC$32=6,Cal!$AF$33=6,Cal!$AG$35=6,Cal!$AD$36=6,Cal!$AE$37=6,Cal!$AG$39=6,Cal!$AE$40=6,Cal!$AD$41=6,Cal!$AG$43=6,Cal!$AF$44=6,Cal!$AC$45=6,Cal!$AB$46=6,Cal!$AC$46=6,Cal!$AD$46=6,Cal!$AE$46=6,Cal!$AF$46=6,Cal!$AG$46=6,Cal!$AG$47=6,Cal!$AG$48=6,Cal!$AB$49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AG26</xm:sqref>
        </x14:conditionalFormatting>
        <x14:conditionalFormatting xmlns:xm="http://schemas.microsoft.com/office/excel/2006/main">
          <x14:cfRule type="expression" priority="140" id="{D438767E-6724-41BB-961D-D97C3B9E77C5}">
            <xm:f>OR(Cal!$I$15=6,Cal!$D$16=6,Cal!$I$17=6,Cal!$I$19=6,Cal!$E$20=6,Cal!$H$21=6,Cal!$I$23=6,Cal!$F$24=6,Cal!$G$25=6,Cal!$I$27=6,Cal!$G$28=6,Cal!$F$29=6,Cal!$I$31=6,Cal!$H$32=6,Cal!$E$33=6,Cal!$D$34=6,Cal!$E$34=6,Cal!$F$34=6,Cal!$G$34=6,Cal!$H$34=6,Cal!$I$34=6,Cal!$I$35=6,Cal!$I$36=6,Cal!$D$37=6,Cal!$AD$15=6,Cal!$Y$16=6,Cal!$AD$17=6,Cal!$AD$19=6,Cal!$Z$20=6,Cal!$AC$21=6,Cal!$AD$23=6,Cal!$AA$24=6,Cal!$AB$25=6,Cal!$AD$27=6,Cal!$AB$28=6,Cal!$AA$29=6,Cal!$AD$31=6,Cal!$AC$32=6,Cal!$Z$33=6,Cal!$Y$34=6,Cal!$Z$34=6,Cal!$AA$34=6,Cal!$AB$34=6,Cal!$AC$34=6,Cal!$AD$34=6,Cal!$AD$35=6,Cal!$AD$36=6,Cal!$Y$37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AA20</xm:sqref>
        </x14:conditionalFormatting>
        <x14:conditionalFormatting xmlns:xm="http://schemas.microsoft.com/office/excel/2006/main">
          <x14:cfRule type="expression" priority="139" id="{68ECC85A-64BB-4862-B4C3-F427212AB9A5}">
            <xm:f>OR(Cal!$M$15=6,Cal!$H$16=6,Cal!$M$17=6,Cal!$M$19=6,Cal!$I$20=6,Cal!$L$21=6,Cal!$M$23=6,Cal!$J$24=6,Cal!$K$25=6,Cal!$M$27=6,Cal!$K$28=6,Cal!$J$29=6,Cal!$M$31=6,Cal!$L$32=6,Cal!$I$33=6,Cal!$H$34=6,Cal!$I$34=6,Cal!$J$34=6,Cal!$K$34=6,Cal!$L$34=6,Cal!$M$34=6,Cal!$M$35=6,Cal!$M$36=6,Cal!$H$37=6,Cal!$AH$15=6,Cal!$AC$16=6,Cal!$AH$17=6,Cal!$AH$19=6,Cal!$AD$20=6,Cal!$AG$21=6,Cal!$AH$23=6,Cal!$AE$24=6,Cal!$AF$25=6,Cal!$AH$27=6,Cal!$AF$28=6,Cal!$AE$29=6,Cal!$AH$31=6,Cal!$AG$32=6,Cal!$AD$33=6,Cal!$AC$34=6,Cal!$AD$34=6,Cal!$AE$34=6,Cal!$AF$34=6,Cal!$AG$34=6,Cal!$AH$34=6,Cal!$AH$35=6,Cal!$AH$36=6,Cal!$AC$37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AI20</xm:sqref>
        </x14:conditionalFormatting>
        <x14:conditionalFormatting xmlns:xm="http://schemas.microsoft.com/office/excel/2006/main">
          <x14:cfRule type="expression" priority="138" id="{8442FB37-A14F-4382-A4AF-FC44681B792F}">
            <xm:f>OR(Cal!$I$23=6,Cal!$D$24=6,Cal!$I$25=6,Cal!$I$27=6,Cal!$E$28=6,Cal!$H$29=6,Cal!$I$31=6,Cal!$F$32=6,Cal!$G$33=6,Cal!$I$35=6,Cal!$G$36=6,Cal!$F$37=6,Cal!$I$39=6,Cal!$H$40=6,Cal!$E$41=6,Cal!$D$42=6,Cal!$E$42=6,Cal!$F$42=6,Cal!$G$42=6,Cal!$H$42=6,Cal!$I$42=6,Cal!$I$43=6,Cal!$I$44=6,Cal!$D$45=6,Cal!$AD$23=6,Cal!$Y$24=6,Cal!$AD$25=6,Cal!$AD$27=6,Cal!$Z$28=6,Cal!$AC$29=6,Cal!$AD$31=6,Cal!$AA$32=6,Cal!$AB$33=6,Cal!$AD$35=6,Cal!$AB$36=6,Cal!$AA$37=6,Cal!$AD$39=6,Cal!$AC$40=6,Cal!$Z$41=6,Cal!$Y$42=6,Cal!$Z$42=6,Cal!$AA$42=6,Cal!$AB$42=6,Cal!$AC$42=6,Cal!$AD$42=6,Cal!$AD$43=6,Cal!$AD$44=6,Cal!$Y$45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AA24</xm:sqref>
        </x14:conditionalFormatting>
        <x14:conditionalFormatting xmlns:xm="http://schemas.microsoft.com/office/excel/2006/main">
          <x14:cfRule type="expression" priority="137" id="{8FA662C0-2027-4B21-8C74-B669678D4CC6}">
            <xm:f>OR(Cal!$M$23=6,Cal!$H$24=6,Cal!$M$25=6,Cal!$M$27=6,Cal!$I$28=6,Cal!$L$29=6,Cal!$M$31=6,Cal!$J$32=6,Cal!$K$33=6,Cal!$M$35=6,Cal!$K$36=6,Cal!$J$37=6,Cal!$M$39=6,Cal!$L$40=6,Cal!$I$41=6,Cal!$H$42=6,Cal!$I$42=6,Cal!$J$42=6,Cal!$K$42=6,Cal!$L$42=6,Cal!$M$42=6,Cal!$M$43=6,Cal!$M$44=6,Cal!$H$45=6,Cal!$AH$23=6,Cal!$AC$24=6,Cal!$AH$25=6,Cal!$AH$27=6,Cal!$AD$28=6,Cal!$AG$29=6,Cal!$AH$31=6,Cal!$AE$32=6,Cal!$AF$33=6,Cal!$AH$35=6,Cal!$AF$36=6,Cal!$AE$37=6,Cal!$AH$39=6,Cal!$AG$40=6,Cal!$AD$41=6,Cal!$AC$42=6,Cal!$AD$42=6,Cal!$AE$42=6,Cal!$AF$42=6,Cal!$AG$42=6,Cal!$AH$42=6,Cal!$AH$43=6,Cal!$AH$44=6,Cal!$AC$45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AI24</xm:sqref>
        </x14:conditionalFormatting>
        <x14:conditionalFormatting xmlns:xm="http://schemas.microsoft.com/office/excel/2006/main">
          <x14:cfRule type="expression" priority="136" id="{7DF55330-7DB6-4657-BA41-991EAD7B25AC}">
            <xm:f>OR(Cal!$I$7=6,Cal!$D$8=6,Cal!$I$9=6,Cal!$I$11=6,Cal!$E$12=6,Cal!$H$13=6,Cal!$I$15=6,Cal!$F$16=6,Cal!$G$17=6,Cal!$I$19=6,Cal!$G$20=6,Cal!$F$21=6,Cal!$I$23=6,Cal!$H$24=6,Cal!$E$25=6,Cal!$D$26=6,Cal!$E$26=6,Cal!$F$26=6,Cal!$G$26=6,Cal!$H$26=6,Cal!$I$26=6,Cal!$I$27=6,Cal!$I$28=6,Cal!$D$29=6,Cal!$AD$7=6,Cal!$Y$8=6,Cal!$AD$9=6,Cal!$AD$11=6,Cal!$Z$12=6,Cal!$AC$13=6,Cal!$AD$15=6,Cal!$AA$16=6,Cal!$AB$17=6,Cal!$AD$19=6,Cal!$AB$20=6,Cal!$AA$21=6,Cal!$AD$23=6,Cal!$AC$24=6,Cal!$Z$25=6,Cal!$Y$26=6,Cal!$Z$26=6,Cal!$AA$26=6,Cal!$AB$26=6,Cal!$AC$26=6,Cal!$AD$26=6,Cal!$AD$27=6,Cal!$AD$28=6,Cal!$Y$29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AA16</xm:sqref>
        </x14:conditionalFormatting>
        <x14:conditionalFormatting xmlns:xm="http://schemas.microsoft.com/office/excel/2006/main">
          <x14:cfRule type="expression" priority="135" id="{37E5153F-61C3-43B5-A3D1-C849C9B2C790}">
            <xm:f>OR(Cal!$H$11=6,Cal!$C$12=6,Cal!$H$13=6,Cal!$H$15=6,Cal!$D$16=6,Cal!$G$17=6,Cal!$H$19=6,Cal!$E$20=6,Cal!$F$21=6,Cal!$H$23=6,Cal!$F$24=6,Cal!$E$25=6,Cal!$H$27=6,Cal!$G$28=6,Cal!$D$29=6,Cal!$C$30=6,Cal!$D$30=6,Cal!$E$30=6,Cal!$F$30=6,Cal!$G$30=6,Cal!$H$30=6,Cal!$H$31=6,Cal!$H$32=6,Cal!$C$33=6,Cal!$AC$11=6,Cal!$X$12=6,Cal!$AC$13=6,Cal!$AC$15=6,Cal!$Y$16=6,Cal!$AB$17=6,Cal!$AC$19=6,Cal!$Z$20=6,Cal!$AA$21=6,Cal!$AC$23=6,Cal!$AA$24=6,Cal!$Z$25=6,Cal!$AC$27=6,Cal!$AB$28=6,Cal!$Y$29=6,Cal!$X$30=6,Cal!$Y$30=6,Cal!$Z$30=6,Cal!$AA$30=6,Cal!$AB$30=6,Cal!$AC$30=6,Cal!$AC$31=6,Cal!$AC$32=6,Cal!$X$33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Y18</xm:sqref>
        </x14:conditionalFormatting>
        <x14:conditionalFormatting xmlns:xm="http://schemas.microsoft.com/office/excel/2006/main">
          <x14:cfRule type="expression" priority="134" id="{F1AD1D6F-B60E-47CA-9630-2A089DAF98BE}">
            <xm:f>OR(Cal!$M$7=6,Cal!$H$8=6,Cal!$M$9=6,Cal!$M$11=6,Cal!$I$12=6,Cal!$L$13=6,Cal!$M$15=6,Cal!$J$16=6,Cal!$K$17=6,Cal!$M$19=6,Cal!$K$20=6,Cal!$J$21=6,Cal!$M$23=6,Cal!$L$24=6,Cal!$I$25=6,Cal!$H$26=6,Cal!$I$26=6,Cal!$J$26=6,Cal!$K$26=6,Cal!$L$26=6,Cal!$M$26=6,Cal!$M$27=6,Cal!$M$28=6,Cal!$H$29=6,Cal!$AH$7=6,Cal!$AC$8=6,Cal!$AH$9=6,Cal!$AH$11=6,Cal!$AD$12=6,Cal!$AG$13=6,Cal!$AH$15=6,Cal!$AE$16=6,Cal!$AF$17=6,Cal!$AH$19=6,Cal!$AF$20=6,Cal!$AE$21=6,Cal!$AH$23=6,Cal!$AG$24=6,Cal!$AD$25=6,Cal!$AC$26=6,Cal!$AD$26=6,Cal!$AE$26=6,Cal!$AF$26=6,Cal!$AG$26=6,Cal!$AH$26=6,Cal!$AH$27=6,Cal!$AH$28=6,Cal!$AC$29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AI16</xm:sqref>
        </x14:conditionalFormatting>
        <x14:conditionalFormatting xmlns:xm="http://schemas.microsoft.com/office/excel/2006/main">
          <x14:cfRule type="expression" priority="133" id="{163867CF-9C1A-4FD4-8718-8630CB1265E1}">
            <xm:f>OR(Cal!$N$11=6,Cal!$I$12=6,Cal!$N$13=6,Cal!$N$15=6,Cal!$J$16=6,Cal!$M$17=6,Cal!$N$19=6,Cal!$K$20=6,Cal!$L$21=6,Cal!$N$23=6,Cal!$L$24=6,Cal!$K$25=6,Cal!$N$27=6,Cal!$M$28=6,Cal!$J$29=6,Cal!$I$30=6,Cal!$J$30=6,Cal!$K$30=6,Cal!$L$30=6,Cal!$M$30=6,Cal!$N$30=6,Cal!$N$31=6,Cal!$N$32=6,Cal!$I$33=6,Cal!$AI$11=6,Cal!$AD$12=6,Cal!$AI$13=6,Cal!$AI$15=6,Cal!$AE$16=6,Cal!$AH$17=6,Cal!$AI$19=6,Cal!$AF$20=6,Cal!$AG$21=6,Cal!$AI$23=6,Cal!$AG$24=6,Cal!$AF$25=6,Cal!$AI$27=6,Cal!$AH$28=6,Cal!$AE$29=6,Cal!$AD$30=6,Cal!$AE$30=6,Cal!$AF$30=6,Cal!$AG$30=6,Cal!$AH$30=6,Cal!$AI$30=6,Cal!$AI$31=6,Cal!$AI$32=6,Cal!$AD$33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AK18</xm:sqref>
        </x14:conditionalFormatting>
        <x14:conditionalFormatting xmlns:xm="http://schemas.microsoft.com/office/excel/2006/main">
          <x14:cfRule type="expression" priority="132" id="{C3DE70B4-D1D5-4F98-950E-F6FD715A4D9F}">
            <xm:f>OR(Cal!$H$27=6,Cal!$C$28=6,Cal!$H$29=6,Cal!$H$31=6,Cal!$D$32=6,Cal!$G$33=6,Cal!$H$35=6,Cal!$E$36=6,Cal!$F$37=6,Cal!$H$39=6,Cal!$F$40=6,Cal!$E$41=6,Cal!$H$43=6,Cal!$G$44=6,Cal!$D$45=6,Cal!$C$46=6,Cal!$D$46=6,Cal!$E$46=6,Cal!$F$46=6,Cal!$G$46=6,Cal!$H$46=6,Cal!$H$47=6,Cal!$H$48=6,Cal!$C$49=6,Cal!$AC$27=6,Cal!$X$28=6,Cal!$AC$29=6,Cal!$AC$31=6,Cal!$Y$32=6,Cal!$AB$33=6,Cal!$AC$35=6,Cal!$Z$36=6,Cal!$AA$37=6,Cal!$AC$39=6,Cal!$AA$40=6,Cal!$Z$41=6,Cal!$AC$43=6,Cal!$AB$44=6,Cal!$Y$45=6,Cal!$X$46=6,Cal!$Y$46=6,Cal!$Z$46=6,Cal!$AA$46=6,Cal!$AB$46=6,Cal!$AC$46=6,Cal!$AC$47=6,Cal!$AC$48=6,Cal!$X$49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Y26</xm:sqref>
        </x14:conditionalFormatting>
        <x14:conditionalFormatting xmlns:xm="http://schemas.microsoft.com/office/excel/2006/main">
          <x14:cfRule type="expression" priority="131" id="{8CF69D2B-D88F-42D3-BAAD-09217D609A2D}">
            <xm:f>OR(Cal!$I$31=6,Cal!$D$32=6,Cal!$I$33=6,Cal!$I$35=6,Cal!$E$36=6,Cal!$H$37=6,Cal!$I$39=6,Cal!$F$40=6,Cal!$G$41=6,Cal!$I$43=6,Cal!$G$44=6,Cal!$F$45=6,Cal!$I$47=6,Cal!$H$48=6,Cal!$E$49=6,Cal!$D$50=6,Cal!$E$50=6,Cal!$F$50=6,Cal!$G$50=6,Cal!$H$50=6,Cal!$I$50=6,Cal!$I$51=6,Cal!$I$52=6,Cal!$D$53=6,Cal!$AD$31=6,Cal!$Y$32=6,Cal!$AD$33=6,Cal!$AD$35=6,Cal!$Z$36=6,Cal!$AC$37=6,Cal!$AD$39=6,Cal!$AA$40=6,Cal!$AB$41=6,Cal!$AD$43=6,Cal!$AB$44=6,Cal!$AA$45=6,Cal!$AD$47=6,Cal!$AC$48=6,Cal!$Z$49=6,Cal!$Y$50=6,Cal!$Z$50=6,Cal!$AA$50=6,Cal!$AB$50=6,Cal!$AC$50=6,Cal!$AD$50=6,Cal!$AD$51=6,Cal!$AD$52=6,Cal!$Y$53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AA28</xm:sqref>
        </x14:conditionalFormatting>
        <x14:conditionalFormatting xmlns:xm="http://schemas.microsoft.com/office/excel/2006/main">
          <x14:cfRule type="expression" priority="130" id="{2A54FCAB-06A1-415C-9F31-00E69A623889}">
            <xm:f>OR(Cal!$M$31=6,Cal!$H$32=6,Cal!$M$33=6,Cal!$M$35=6,Cal!$I$36=6,Cal!$L$37=6,Cal!$M$39=6,Cal!$J$40=6,Cal!$K$41=6,Cal!$M$43=6,Cal!$K$44=6,Cal!$J$45=6,Cal!$M$47=6,Cal!$L$48=6,Cal!$I$49=6,Cal!$H$50=6,Cal!$I$50=6,Cal!$J$50=6,Cal!$K$50=6,Cal!$L$50=6,Cal!$M$50=6,Cal!$M$51=6,Cal!$M$52=6,Cal!$H$53=6,Cal!$AH$31=6,Cal!$AC$32=6,Cal!$AH$33=6,Cal!$AH$35=6,Cal!$AD$36=6,Cal!$AG$37=6,Cal!$AH$39=6,Cal!$AE$40=6,Cal!$AF$41=6,Cal!$AH$43=6,Cal!$AF$44=6,Cal!$AE$45=6,Cal!$AH$47=6,Cal!$AG$48=6,Cal!$AD$49=6,Cal!$AC$50=6,Cal!$AD$50=6,Cal!$AE$50=6,Cal!$AF$50=6,Cal!$AG$50=6,Cal!$AH$50=6,Cal!$AH$51=6,Cal!$AH$52=6,Cal!$AC$53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AI28</xm:sqref>
        </x14:conditionalFormatting>
        <x14:conditionalFormatting xmlns:xm="http://schemas.microsoft.com/office/excel/2006/main">
          <x14:cfRule type="expression" priority="129" id="{C50B20E5-9CC8-4C2D-80A0-F5EE556B1111}">
            <xm:f>OR(Cal!$N$27=6,Cal!$I$28=6,Cal!$N$29=6,Cal!$N$31=6,Cal!$J$32=6,Cal!$M$33=6,Cal!$N$35=6,Cal!$K$36=6,Cal!$L$37=6,Cal!$N$39=6,Cal!$L$40=6,Cal!$K$41=6,Cal!$N$43=6,Cal!$M$44=6,Cal!$J$45=6,Cal!$I$46=6,Cal!$J$46=6,Cal!$K$46=6,Cal!$L$46=6,Cal!$M$46=6,Cal!$N$46=6,Cal!$N$47=6,Cal!$N$48=6,Cal!$I$49=6,Cal!$AI$27=6,Cal!$AD$28=6,Cal!$AI$29=6,Cal!$AI$31=6,Cal!$AE$32=6,Cal!$AH$33=6,Cal!$AI$35=6,Cal!$AF$36=6,Cal!$AG$37=6,Cal!$AI$39=6,Cal!$AG$40=6,Cal!$AF$41=6,Cal!$AI$43=6,Cal!$AH$44=6,Cal!$AE$45=6,Cal!$AD$46=6,Cal!$AE$46=6,Cal!$AF$46=6,Cal!$AG$46=6,Cal!$AH$46=6,Cal!$AI$46=6,Cal!$AI$47=6,Cal!$AI$48=6,Cal!$AD$49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AK26</xm:sqref>
        </x14:conditionalFormatting>
        <x14:conditionalFormatting xmlns:xm="http://schemas.microsoft.com/office/excel/2006/main">
          <x14:cfRule type="expression" priority="128" id="{779D51C7-B983-4014-A37F-98C1A3449893}">
            <xm:f>OR(Cal!$H$3=6,Cal!$G$4=6,Cal!$D$5=6,Cal!$C$6=6,Cal!$D$6=6,Cal!$E$6=6,Cal!$F$6=6,Cal!$G$6=6,Cal!$H$6=6,Cal!$H$7=6,Cal!$H$8=6,Cal!$C$9=6,Cal!$AC$3=6,Cal!$AB$4=6,Cal!$Y$5=6,Cal!$X$6=6,Cal!$Y$6=6,Cal!$Z$6=6,Cal!$AA$6=6,Cal!$AB$6=6,Cal!$AC$6=6,Cal!$AC$7=6,Cal!$AC$8=6,Cal!$X$9=6)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Y6</xm:sqref>
        </x14:conditionalFormatting>
        <x14:conditionalFormatting xmlns:xm="http://schemas.microsoft.com/office/excel/2006/main">
          <x14:cfRule type="expression" priority="127" id="{F467B6EE-323D-4800-819F-9BE6892E7157}">
            <xm:f>OR(Cal!$I$3=6,Cal!$H$4=6,Cal!$E$5=6,Cal!$D$6=6,Cal!$E$6=6,Cal!$F$6=6,Cal!$G$6=6,Cal!$H$6=6,Cal!$I$6=6,Cal!$I$7=6,Cal!$I$8=6,Cal!$D$9=6,Cal!$AD$3=6,Cal!$AC$4=6,Cal!$Z$5=6,Cal!$Y$6=6,Cal!$Z$6=6,Cal!$AA$6=6,Cal!$AB$6=6,Cal!$AC$6=6,Cal!$AD$6=6,Cal!$AD$7=6,Cal!$AD$8=6,Cal!$Y$9=6)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AA6</xm:sqref>
        </x14:conditionalFormatting>
        <x14:conditionalFormatting xmlns:xm="http://schemas.microsoft.com/office/excel/2006/main">
          <x14:cfRule type="expression" priority="126" id="{3C27AEC8-889E-4F55-A920-69651A9F3426}">
            <xm:f>OR(Cal!$J$3=6,Cal!$I$4=6,Cal!$F$5=6,Cal!$E$6=6,Cal!$F$6=6,Cal!$G$6=6,Cal!$H$6=6,Cal!$I$6=6,Cal!$J$6=6,Cal!$J$7=6,Cal!$J$8=6,Cal!$E$9=6,Cal!$AE$3=6,Cal!$AD$4=6,Cal!$AA$5=6,Cal!$Z$6=6,Cal!$AA$6=6,Cal!$AB$6=6,Cal!$AC$6=6,Cal!$AD$6=6,Cal!$AE$6=6,Cal!$AE$7=6,Cal!$AE$8=6,Cal!$Z$9=6)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AC6</xm:sqref>
        </x14:conditionalFormatting>
        <x14:conditionalFormatting xmlns:xm="http://schemas.microsoft.com/office/excel/2006/main">
          <x14:cfRule type="expression" priority="125" id="{EA783E51-2CF7-4864-A8E8-E33D7E2BD4DE}">
            <xm:f>OR(Cal!$L$3=6,Cal!$K$4=6,Cal!$H$5=6,Cal!$G$6=6,Cal!$H$6=6,Cal!$I$6=6,Cal!$J$6=6,Cal!$K$6=6,Cal!$L$6=6,Cal!$L$7=6,Cal!$L$8=6,Cal!$G$9=6,Cal!$AG$3=6,Cal!$AF$4=6,Cal!$AC$5=6,Cal!$AB$6=6,Cal!$AC$6=6,Cal!$AD$6=6,Cal!$AE$6=6,Cal!$AF$6=6,Cal!$AG$6=6,Cal!$AG$7=6,Cal!$AG$8=6,Cal!$AB$9=6)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AG6</xm:sqref>
        </x14:conditionalFormatting>
        <x14:conditionalFormatting xmlns:xm="http://schemas.microsoft.com/office/excel/2006/main">
          <x14:cfRule type="expression" priority="124" id="{A18567C0-E960-4A59-9CBA-C8DA19F80F04}">
            <xm:f>OR(Cal!$M$3=6,Cal!$L$4=6,Cal!$I$5=6,Cal!$H$6=6,Cal!$I$6=6,Cal!$J$6=6,Cal!$K$6=6,Cal!$L$6=6,Cal!$M$6=6,Cal!$M$7=6,Cal!$M$8=6,Cal!$H$9=6,Cal!$AH$3=6,Cal!$AG$4=6,Cal!$AD$5=6,Cal!$AC$6=6,Cal!$AD$6=6,Cal!$AE$6=6,Cal!$AF$6=6,Cal!$AG$6=6,Cal!$AH$6=6,Cal!$AH$7=6,Cal!$AH$8=6,Cal!$AC$9=6)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AI6</xm:sqref>
        </x14:conditionalFormatting>
        <x14:conditionalFormatting xmlns:xm="http://schemas.microsoft.com/office/excel/2006/main">
          <x14:cfRule type="expression" priority="123" id="{5D0A592E-4444-47B3-B7F9-5341D5C7D8EE}">
            <xm:f>OR(Cal!$N$3=6,Cal!$M$4=6,Cal!$J$5=6,Cal!$I$6=6,Cal!$J$6=6,Cal!$K$6=6,Cal!$L$6=6,Cal!$M$6=6,Cal!$N$6=6,Cal!$N$7=6,Cal!$N$8=6,Cal!$I$9=6,Cal!$AI$3=6,Cal!$AH$4=6,Cal!$AE$5=6,Cal!$AD$6=6,Cal!$AE$6=6,Cal!$AF$6=6,Cal!$AG$6=6,Cal!$AH$6=6,Cal!$AI$6=6,Cal!$AI$7=6,Cal!$AI$8=6,Cal!$AD$9=6)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AK6</xm:sqref>
        </x14:conditionalFormatting>
        <x14:conditionalFormatting xmlns:xm="http://schemas.microsoft.com/office/excel/2006/main">
          <x14:cfRule type="expression" priority="122" id="{42B49C55-DF1D-49AD-8353-B85B6BE59F9A}">
            <xm:f>OR(Cal!$S$7=6,Cal!$S$11=6,Cal!$S$15=6,Cal!$S$19=6,Cal!$S$23=6,Cal!$S$27=6,Cal!$N$8=6,Cal!$O$12=6,Cal!$O$25=6,Cal!$O$26=6,Cal!$N$26=6,Cal!$N$29=6,Cal!$AN$7=6,Cal!$AN$11=6,Cal!$AN$15=6,Cal!$AN$19=6,Cal!$AN$23=6,Cal!$AN$27=6,Cal!$AI$8=6,Cal!$AJ$12=6,Cal!$AJ$25=6,Cal!$AJ$26=6,Cal!$AI$26=6,Cal!$AI$29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AU16</xm:sqref>
        </x14:conditionalFormatting>
        <x14:conditionalFormatting xmlns:xm="http://schemas.microsoft.com/office/excel/2006/main">
          <x14:cfRule type="expression" priority="121" id="{1450A7EA-01DA-40C3-9FC5-EE032C348DDA}">
            <xm:f>OR(Cal!$S$11=6,Cal!$S$15=6,Cal!$S$19=6,Cal!$S$23=6,Cal!$S$27=6,Cal!$S$31=6,Cal!$N$12=6,Cal!$O$16=6,Cal!$O$29=6,Cal!$O$30=6,Cal!$N$30=6,Cal!$N$33=6,Cal!$AN$11=6,Cal!$AN$15=6,Cal!$AN$19=6,Cal!$AN$23=6,Cal!$AN$27=6,Cal!$AN$31=6,Cal!$AI$12=6,Cal!$AJ$16=6,Cal!$AJ$29=6,Cal!$AJ$30=6,Cal!$AI$30=6,Cal!$AI$33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AU18</xm:sqref>
        </x14:conditionalFormatting>
        <x14:conditionalFormatting xmlns:xm="http://schemas.microsoft.com/office/excel/2006/main">
          <x14:cfRule type="expression" priority="120" id="{744941B2-20F9-4460-B971-42CF75790AA4}">
            <xm:f>OR(Cal!$S$15=6,Cal!$S$19=6,Cal!$S$23=6,Cal!$S$27=6,Cal!$S$31=6,Cal!$S$35=6,Cal!$N$16=6,Cal!$O$20=6,Cal!$O$33=6,Cal!$O$34=6,Cal!$N$34=6,Cal!$N$37=6,Cal!$AN$15=6,Cal!$AN$19=6,Cal!$AN$23=6,Cal!$AN$27=6,Cal!$AN$31=6,Cal!$AN$35=6,Cal!$AI$16=6,Cal!$AJ$20=6,Cal!$AJ$33=6,Cal!$AJ$34=6,Cal!$AI$34=6,Cal!$AI$37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AU20</xm:sqref>
        </x14:conditionalFormatting>
        <x14:conditionalFormatting xmlns:xm="http://schemas.microsoft.com/office/excel/2006/main">
          <x14:cfRule type="expression" priority="119" id="{E6DB6CA2-67D7-42C8-9788-FC42D7E75A80}">
            <xm:f>OR(Cal!$S$23=6,Cal!$S$27=6,Cal!$S$31=6,Cal!$S$35=6,Cal!$S$39=6,Cal!$S$43=6,Cal!$N$24=6,Cal!$O$28=6,Cal!$O$41=6,Cal!$O$42=6,Cal!$N$42=6,Cal!$N$45=6,Cal!$AN$23=6,Cal!$AN$27=6,Cal!$AN$31=6,Cal!$AN$35=6,Cal!$AN$39=6,Cal!$AN$43=6,Cal!$AI$24=6,Cal!$AJ$28=6,Cal!$AJ$41=6,Cal!$AJ$42=6,Cal!$AI$42=6,Cal!$AI$45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AU24</xm:sqref>
        </x14:conditionalFormatting>
        <x14:conditionalFormatting xmlns:xm="http://schemas.microsoft.com/office/excel/2006/main">
          <x14:cfRule type="expression" priority="118" id="{3A8B9493-90A0-4F78-8B36-9CF6E7C7A264}">
            <xm:f>OR(Cal!$S$27=6,Cal!$S$31=6,Cal!$S$35=6,Cal!$S$39=6,Cal!$S$43=6,Cal!$S$47=6,Cal!$N$28=6,Cal!$O$32=6,Cal!$O$45=6,Cal!$O$46=6,Cal!$N$46=6,Cal!$N$49=6,Cal!$AN$27=6,Cal!$AN$31=6,Cal!$AN$35=6,Cal!$AN$39=6,Cal!$AN$43=6,Cal!$AN$47=6,Cal!$AI$28=6,Cal!$AJ$32=6,Cal!$AJ$45=6,Cal!$AJ$46=6,Cal!$AI$46=6,Cal!$AI$49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AU26</xm:sqref>
        </x14:conditionalFormatting>
        <x14:conditionalFormatting xmlns:xm="http://schemas.microsoft.com/office/excel/2006/main">
          <x14:cfRule type="expression" priority="117" id="{ABBD23EA-A2C6-4D39-B4E6-100811C1DBFE}">
            <xm:f>OR(Cal!$S$31=6,Cal!$S$35=6,Cal!$S$39=6,Cal!$S$43=6,Cal!$S$47=6,Cal!$S$51=6,Cal!$N$32=6,Cal!$O$36=6,Cal!$O$49=6,Cal!$O$50=6,Cal!$N$50=6,Cal!$N$53=6,Cal!$AN$31=6,Cal!$AN$35=6,Cal!$AN$39=6,Cal!$AN$43=6,Cal!$AN$47=6,Cal!$AN$51=6,Cal!$AI$32=6,Cal!$AJ$36=6,Cal!$AJ$49=6,Cal!$AJ$50=6,Cal!$AI$50=6,Cal!$AI$53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AU28</xm:sqref>
        </x14:conditionalFormatting>
        <x14:conditionalFormatting xmlns:xm="http://schemas.microsoft.com/office/excel/2006/main">
          <x14:cfRule type="expression" priority="116" id="{B722C7ED-6BDF-41EF-8129-7F37BF6E6135}">
            <xm:f>OR(Cal!$N$51=6,Cal!$N$53=6,Cal!$N$55=6,Cal!$M$57=6,Cal!$J$56=6,Cal!$I$52=6,Cal!$I$61=6,Cal!$J$61=6,Cal!$K$61=6,Cal!$L$61=6,Cal!$M$61=6,Cal!$N$61=6,Cal!$AI$51=6,Cal!$AI$53=6,Cal!$AI$55=6,Cal!$AH$57=6,Cal!$AE$56=6,Cal!$AD$52=6,Cal!$AD$61=6,Cal!$AE$61=6,Cal!$AF$61=6,Cal!$AG$61=6,Cal!$AH$61=6,Cal!$AI$61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AK38</xm:sqref>
        </x14:conditionalFormatting>
        <x14:conditionalFormatting xmlns:xm="http://schemas.microsoft.com/office/excel/2006/main">
          <x14:cfRule type="expression" priority="115" id="{BF9FB78F-B0F1-48E8-9D16-70007DD54F1B}">
            <xm:f>OR(Cal!$M$51=6,Cal!$M$53=6,Cal!$M$55=6,Cal!$L$57=6,Cal!$I$56=6,Cal!$H$52=6,Cal!$H$61=6,Cal!$I$61=6,Cal!$J$61=6,Cal!$K$61=6,Cal!$L$61=6,Cal!$M$61=6,Cal!$AH$51=6,Cal!$AH$53=6,Cal!$AH$55=6,Cal!$AG$57=6,Cal!$AD$56=6,Cal!$AC$52=6,Cal!$AC$61=6,Cal!$AD$61=6,Cal!$AE$61=6,Cal!$AF$61=6,Cal!$AG$61=6,Cal!$AH$61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AI38</xm:sqref>
        </x14:conditionalFormatting>
        <x14:conditionalFormatting xmlns:xm="http://schemas.microsoft.com/office/excel/2006/main">
          <x14:cfRule type="expression" priority="114" id="{B4D9FDB1-2608-450E-858C-35859B7A2337}">
            <xm:f>OR(Cal!$L$51=6,Cal!$G$52=6,Cal!$L$53=6,Cal!$L$55=6,Cal!$H$56=6,Cal!$K$57=6,Cal!$L$61=6,Cal!$K$61=6,Cal!$J$61=6,Cal!$I$61=6,Cal!$H$61=6,Cal!$G$61=6,Cal!$AG$51=6,Cal!$AB$52=6,Cal!$AG$53=6,Cal!$AG$55=6,Cal!$AC$56=6,Cal!$AF$57=6,Cal!$AG$61=6,Cal!$AF$61=6,Cal!$AE$61=6,Cal!$AD$61=6,Cal!$AC$61=6,Cal!$AB$61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AG38</xm:sqref>
        </x14:conditionalFormatting>
        <x14:conditionalFormatting xmlns:xm="http://schemas.microsoft.com/office/excel/2006/main">
          <x14:cfRule type="expression" priority="113" id="{423238B7-303F-4A2A-B7CC-E070F84037F3}">
            <xm:f>OR(Cal!$J$51=6,Cal!$J$53=6,Cal!$J$55=6,Cal!$I$57=6,Cal!$F$56=6,Cal!$E$52=6,Cal!$E$61=6,Cal!$F$61=6,Cal!$G$61=6,Cal!$H$61=6,Cal!$I$61=6,Cal!$J$61=6,Cal!$AE$51=6,Cal!$AE$53=6,Cal!$AE$55=6,Cal!$AD$57=6,Cal!$AA$56=6,Cal!$Z$52=6,Cal!$Z$61=6,Cal!$AA$61=6,Cal!$AB$61=6,Cal!$AC$61=6,Cal!$AD$61=6,Cal!$AE$61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AC38</xm:sqref>
        </x14:conditionalFormatting>
        <x14:conditionalFormatting xmlns:xm="http://schemas.microsoft.com/office/excel/2006/main">
          <x14:cfRule type="expression" priority="112" id="{2FA6D505-468E-43D3-82EB-ADDBD7435E03}">
            <xm:f>OR(Cal!$I$51=6,Cal!$I$53=6,Cal!$I$55=6,Cal!$H$57=6,Cal!$E$56=6,Cal!$D$52=6,Cal!$D$61=6,Cal!$E$61=6,Cal!$F$61=6,Cal!$G$61=6,Cal!$H$61=6,Cal!$I$61=6,Cal!$AD$51=6,Cal!$AD$53=6,Cal!$AD$55=6,Cal!$AC$57=6,Cal!$Z$56=6,Cal!$Y$52=6,Cal!$Y$61=6,Cal!$Z$61=6,Cal!$AA$61=6,Cal!$AB$61=6,Cal!$AC$61=6,Cal!$AD$61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AA38</xm:sqref>
        </x14:conditionalFormatting>
        <x14:conditionalFormatting xmlns:xm="http://schemas.microsoft.com/office/excel/2006/main">
          <x14:cfRule type="expression" priority="111" id="{F84A1296-A768-4C69-B501-1B4BB999B654}">
            <xm:f>OR(Cal!$H$51=6,Cal!$H$53=6,Cal!$H$55=6,Cal!$G$57=6,Cal!$D$56=6,Cal!$C$52=6,Cal!$C$61=6,Cal!$D$61=6,Cal!$E$61=6,Cal!$F$61=6,Cal!$G$61=6,Cal!$H$61=6,Cal!$AC$51=6,Cal!$AC$53=6,Cal!$AC$55=6,Cal!$AB$57=6,Cal!$Y$56=6,Cal!$X$52=6,Cal!$X$61=6,Cal!$Y$61=6,Cal!$Z$61=6,Cal!$AA$61=6,Cal!$AB$61=6,Cal!$AC$61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Y38</xm:sqref>
        </x14:conditionalFormatting>
        <x14:conditionalFormatting xmlns:xm="http://schemas.microsoft.com/office/excel/2006/main">
          <x14:cfRule type="expression" priority="110" id="{D238D264-DCBF-457E-A767-104BED098126}">
            <xm:f>OR(Cal!$C$7=6,Cal!$C$9=6,Cal!$C$11=6,Cal!$B$13=6,Cal!$C$15=6,Cal!$C$19=6,Cal!$C$23=6,Cal!$B$24=6,Cal!$C$26=6,Cal!$C$27=6,Cal!$C$28=6,Cal!$B$26=6,Cal!$X$7=6,Cal!$X$9=6,Cal!$X$11=6,Cal!$W$13=6,Cal!$X$15=6,Cal!$X$19=6,Cal!$X$23=6,Cal!$W$24=6,Cal!$W$26=6,Cal!$X$26=6,Cal!$X$27=6,Cal!$X$28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O16</xm:sqref>
        </x14:conditionalFormatting>
        <x14:conditionalFormatting xmlns:xm="http://schemas.microsoft.com/office/excel/2006/main">
          <x14:cfRule type="expression" priority="109" id="{1E52B4BA-2C07-42BC-A2F3-C92C154D155C}">
            <xm:f>OR(Cal!$C$11=6,Cal!$C$13=6,Cal!$C$15=6,Cal!$B$17=6,Cal!$C$19=6,Cal!$C$23=6,Cal!$C$27=6,Cal!$B$28=6,Cal!$B$30=6,Cal!$C$30=6,Cal!$C$31=6,Cal!$C$32=6,Cal!$X$11=6,Cal!$X$13=6,Cal!$X$15=6,Cal!$W$17=6,Cal!$X$19=6,Cal!$X$23=6,Cal!$X$27=6,Cal!$W$28=6,Cal!$W$30=6,Cal!$X$30=6,Cal!$X$31=6,Cal!$X$32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O18</xm:sqref>
        </x14:conditionalFormatting>
        <x14:conditionalFormatting xmlns:xm="http://schemas.microsoft.com/office/excel/2006/main">
          <x14:cfRule type="expression" priority="108" id="{3C28877A-A7BF-4ECF-A7BA-F02A33316F39}">
            <xm:f>OR(Cal!$C$15=6,Cal!$C$17=6,Cal!$C$19=6,Cal!$B$21=6,Cal!$C$23=6,Cal!$C$27=6,Cal!$C$31=6,Cal!$B$32=6,Cal!$B$34=6,Cal!$C$34=6,Cal!$C$35=6,Cal!$C$36=6,Cal!$X$15=6,Cal!$X$17=6,Cal!$X$19=6,Cal!$W$21=6,Cal!$X$23=6,Cal!$X$27=6,Cal!$X$31=6,Cal!$W$32=6,Cal!$W$34=6,Cal!$X$34=6,Cal!$X$35=6,Cal!$X$36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O20</xm:sqref>
        </x14:conditionalFormatting>
        <x14:conditionalFormatting xmlns:xm="http://schemas.microsoft.com/office/excel/2006/main">
          <x14:cfRule type="expression" priority="107" id="{03684491-3529-417C-89B1-415896385695}">
            <xm:f>OR(Cal!$C$23=6,Cal!$C$25=6,Cal!$C$27=6,Cal!$B$29=6,Cal!$C$31=6,Cal!$C$35=6,Cal!$C$39=6,Cal!$B$40=6,Cal!$B$42=6,Cal!$C$42=6,Cal!$C$43=6,Cal!$C$44=6,Cal!$X$23=6,Cal!$X$25=6,Cal!$X$27=6,Cal!$W$29=6,Cal!$X$31=6,Cal!$X$35=6,Cal!$X$39=6,Cal!$W$40=6,Cal!$W$42=6,Cal!$X$42=6,Cal!$X$43=6,Cal!$X$44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O24</xm:sqref>
        </x14:conditionalFormatting>
        <x14:conditionalFormatting xmlns:xm="http://schemas.microsoft.com/office/excel/2006/main">
          <x14:cfRule type="expression" priority="106" id="{F97B72D4-CEF3-46D2-BB10-2AC003420346}">
            <xm:f>OR(Cal!$C$27=6,Cal!$C$29=6,Cal!$C$31=6,Cal!$B$33=6,Cal!$C$35=6,Cal!$C$39=6,Cal!$C$43=6,Cal!$B$44=6,Cal!$B$46=6,Cal!$C$46=6,Cal!$C$47=6,Cal!$C$48=6,Cal!$X$27=6,Cal!$X$29=6,Cal!$X$31=6,Cal!$W$33=6,Cal!$X$35=6,Cal!$X$39=6,Cal!$X$43=6,Cal!$W$44=6,Cal!$X$46=6,Cal!$W$46=6,Cal!$X$47=6,Cal!$X$48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O26</xm:sqref>
        </x14:conditionalFormatting>
        <x14:conditionalFormatting xmlns:xm="http://schemas.microsoft.com/office/excel/2006/main">
          <x14:cfRule type="expression" priority="105" id="{4E9435AC-D150-499D-9FBB-939FC1329564}">
            <xm:f>OR(Cal!$C$31=6,Cal!$C$33=6,Cal!$C$35=6,Cal!$B$37=6,Cal!$C$39=6,Cal!$C$43=6,Cal!$C$47=6,Cal!$B$48=6,Cal!$B$50=6,Cal!$C$50=6,Cal!$C$51=6,Cal!$C$52=6,Cal!$X$31=6,Cal!$X$33=6,Cal!$X$35=6,Cal!$W$37=6,Cal!$X$39=6,Cal!$X$43=6,Cal!$X$47=6,Cal!$W$48=6,Cal!$W$50=6,Cal!$X$50=6,Cal!$X$51=6,Cal!$X$52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O28</xm:sqref>
        </x14:conditionalFormatting>
        <x14:conditionalFormatting xmlns:xm="http://schemas.microsoft.com/office/excel/2006/main">
          <x14:cfRule type="expression" priority="104" id="{8F5FF491-246E-43C1-8EE4-CB9D5FC2F951}">
            <xm:f>OR(Cal!$K$3=6,Cal!$G$4=6,Cal!$J$5=6,Cal!$K$7=6,Cal!$H$8=6,Cal!$I$9=6,Cal!$K$11=6,Cal!$I$12=6,Cal!$H$13=6,Cal!$K$15=6,Cal!$J$16=6,Cal!$G$17=6,Cal!$F$18=6,Cal!$G$18=6,Cal!$H$18=6,Cal!$I$18=6,Cal!$J$18=6,Cal!$K$18=6,Cal!$K$19=6,Cal!$K$20=6,Cal!$F$21=6,Cal!$AF$3=6,Cal!$AB$4=6,Cal!$AE$5=6,Cal!$AF$7=6,Cal!$AC$8=6,Cal!$AD$9=6,Cal!$AF$11=6,Cal!$AD$12=6,Cal!$AC$13=6,Cal!$AF$15=6,Cal!$AE$16=6,Cal!$AB$17=6,Cal!$AA$18=6,Cal!$AB$18=6,Cal!$AC$18=6,Cal!$AD$18=6,Cal!$AE$18=6,Cal!$AF$18=6,Cal!$AF$19=6,Cal!$AF$20=6,Cal!$AA$21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AE12</xm:sqref>
        </x14:conditionalFormatting>
        <x14:conditionalFormatting xmlns:xm="http://schemas.microsoft.com/office/excel/2006/main">
          <x14:cfRule type="expression" priority="103" id="{09427229-035D-436E-966E-C5109DA7ECDD}">
            <xm:f>OR(Cal!$K$3=6,Cal!$H$4=6,Cal!$I$5=6,Cal!$K$7=6,Cal!$I$8=6,Cal!$H$9=6,Cal!$K$11=6,Cal!$J$12=6,Cal!$G$13=6,Cal!$F$14=6,Cal!$G$14=6,Cal!$H$14=6,Cal!$I$14=6,Cal!$J$14=6,Cal!$K$14=6,Cal!$K$15=6,Cal!$K$16=6,Cal!$F$17=6,Cal!$AF$3=6,Cal!$AC$4=6,Cal!$AD$5=6,Cal!$AF$7=6,Cal!$AD$8=6,Cal!$AC$9=6,Cal!$AF$11=6,Cal!$AE$12=6,Cal!$AB$13=6,Cal!$AA$14=6,Cal!$AB$14=6,Cal!$AC$14=6,Cal!$AD$14=6,Cal!$AE$14=6,Cal!$AF$14=6,Cal!$AF$15=6,Cal!$AF$16=6,Cal!$AA$17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AE10</xm:sqref>
        </x14:conditionalFormatting>
        <x14:conditionalFormatting xmlns:xm="http://schemas.microsoft.com/office/excel/2006/main">
          <x14:cfRule type="expression" priority="102" id="{FB851AE2-A947-4921-9774-A2FD68BF05D9}">
            <xm:f>OR(Cal!$K$3=6,Cal!$I$4=6,Cal!$H$5=6,Cal!$K$7:$K$8=6,Cal!$J$8=6,Cal!$G$9=6,Cal!$F$10=6,Cal!$G$10=6,Cal!$H$10=6,Cal!$I$10=6,Cal!$J$10=6,Cal!$K$10=6,Cal!$K$11=6,Cal!$K$12=6,Cal!$F$13=6,Cal!$AF$3=6,Cal!$AD$4=6,Cal!$AC$5=6,Cal!$AF$7=6,Cal!$AE$8=6,Cal!$AB$9=6,Cal!$AA$10=6,Cal!$AB$10=6,Cal!$AC$10=6,Cal!$AD$10=6,Cal!$AE$10=6,Cal!$AF$10=6,Cal!$AF$11=6,Cal!$AF$12=6,Cal!$AA$13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AE8</xm:sqref>
        </x14:conditionalFormatting>
        <x14:conditionalFormatting xmlns:xm="http://schemas.microsoft.com/office/excel/2006/main">
          <x14:cfRule type="expression" priority="101" id="{EF2BAF55-3BAD-4ECC-92DF-40F4573D7FC3}">
            <xm:f>OR(Cal!$K$43=6,Cal!$K$45=6,Cal!$K$47=6,Cal!$J$49=6,Cal!$K$51=6,Cal!$K$55=6,Cal!$F$44=6,Cal!$G$48=6,Cal!$H$52=6,Cal!$I$53=6,Cal!$I$56=6,Cal!$H$57=6,Cal!$F$59=6,Cal!$G$59=6,Cal!$H$59=6,Cal!$I$59=6,Cal!$J$59=6,Cal!$K$59=6,Cal!$AF$43=6,Cal!$AF$45=6,Cal!$AF$47=6,Cal!$AE$49=6,Cal!$AF$51=6,Cal!$AF$55=6,Cal!$AA$44=6,Cal!$AB$48=6,Cal!$AC$52=6,Cal!$AD$53=6,Cal!$AD$56=6,Cal!$AC$57=6,Cal!$AA$59=6,Cal!$AB$59=6,Cal!$AC$59=6,Cal!$AD$59=6,Cal!$AE$59=6,Cal!$AF$59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AE34</xm:sqref>
        </x14:conditionalFormatting>
        <x14:conditionalFormatting xmlns:xm="http://schemas.microsoft.com/office/excel/2006/main">
          <x14:cfRule type="expression" priority="100" id="{F3C31140-2806-4CAB-BD65-AB7024F77F09}">
            <xm:f>OR(Cal!$K$47=6,Cal!$F$48=6,Cal!$K$49=6,Cal!$K$51=6,Cal!$G$52=6,Cal!$J$53=6,Cal!$K$55=6,Cal!$H$56=6,Cal!$I$57=6,Cal!$F$60=6,Cal!$G$60=6,Cal!$H$60=6,Cal!$I$60=6,Cal!$J$60=6,Cal!$K$60=6,Cal!$AF$47=6,Cal!$AF$49=6,Cal!$AA$48=6,Cal!$AF$51=6,Cal!$AB$52=6,Cal!$AE$53=6,Cal!$AF$55=6,Cal!$AC$56=6,Cal!$AD$57=6,Cal!$AA$60=6,Cal!$AB$60=6,Cal!$AC$60=6,Cal!$AD$60=6,Cal!$AE$60=6,Cal!$AF$60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AE36</xm:sqref>
        </x14:conditionalFormatting>
        <x14:conditionalFormatting xmlns:xm="http://schemas.microsoft.com/office/excel/2006/main">
          <x14:cfRule type="expression" priority="99" id="{963BAA3E-F520-4A19-B4BF-2F4B5A851C22}">
            <xm:f>OR(Cal!$K$39=6,Cal!$K$41=6,Cal!$K$43=6,Cal!$F$40=6,Cal!$G$44=6,Cal!$J$45=6,Cal!$K$47=6,Cal!$H$48=6,Cal!$I$49=6,Cal!$K$51=6,Cal!$I$52=6,Cal!$H$53=6,Cal!$K$55=6,Cal!$J$56=6,Cal!$G$57=6,Cal!$F$58=6,Cal!$G$58=6,Cal!$H$58=6,Cal!$I$58=6,Cal!$J$58=6,Cal!$K$58=6,Cal!$AF$39=6,Cal!$AA$40=6,Cal!$AF$41=6,Cal!$AF$43=6,Cal!$AE$45=6,Cal!$AB$44=6,Cal!$AF$47=6,Cal!$AC$48=6,Cal!$AD$49=6,Cal!$AF$51=6,Cal!$AD$52=6,Cal!$AC$53=6,Cal!$AF$55=6,Cal!$AE$56=6,Cal!$AB$57=6,Cal!$AA$58=6,Cal!$AB$58=6,Cal!$AC$58=6,Cal!$AD$58=6,Cal!$AE$58=6,Cal!$AF$58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AE32</xm:sqref>
        </x14:conditionalFormatting>
        <x14:conditionalFormatting xmlns:xm="http://schemas.microsoft.com/office/excel/2006/main">
          <x14:cfRule type="expression" priority="98" id="{C56E22E8-CDF9-49B0-A1A3-6B8F4F9DF2BD}">
            <xm:f>OR(Cal!$D$19=6,Cal!$D$21=6,Cal!$D$23=6,Cal!$C$25=6,Cal!$D$27=6,Cal!$B$29=6,Cal!$D$31=6,Cal!$B$32=6,Cal!$D$35=6,Cal!$C$36=6,Cal!$B$38=6,Cal!$C$38=6,Cal!$D$38=6,Cal!$D$39=6,Cal!$D$40=6,Cal!$Y$19=6,Cal!$Y$21=6,Cal!$Y$23=6,Cal!$X$25=6,Cal!$Y$27=6,Cal!$W$29=6,Cal!$Y$31=6,Cal!$W$32=6,Cal!$Y$35=6,Cal!$X$36=6,Cal!$W$38=6,Cal!$X$38=6,Cal!$Y$38=6,Cal!$Y$39=6,Cal!$Y$40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Q22</xm:sqref>
        </x14:conditionalFormatting>
        <x14:conditionalFormatting xmlns:xm="http://schemas.microsoft.com/office/excel/2006/main">
          <x14:cfRule type="expression" priority="97" id="{2E51DDBF-F797-4727-BBA6-3331E3879D1F}">
            <xm:f>OR(Cal!$E$19=6,Cal!$E$21=6,Cal!$E$23=6,Cal!$D$25=6,Cal!$E$27=6,Cal!$B$28=6,Cal!$C$29=6,Cal!$E$31=6,Cal!$C$32=6,Cal!$B$33=6,Cal!$E$35=6,Cal!$D$36=6,Cal!$B$38=6,Cal!$C$38=6,Cal!$D$38=6,Cal!$E$38=6,Cal!$E$39=6,Cal!$E$40=6,Cal!$Z$19=6,Cal!$Z$21=6,Cal!$Z$23=6,Cal!$Y$25=6,Cal!$Z$27=6,Cal!$W$28=6,Cal!$X$29=6,Cal!$Z$31=6,Cal!$X$32=6,Cal!$W$33=6,Cal!$Z$35=6,Cal!$Y$36=6,Cal!$W$38=6,Cal!$X$38=6,Cal!$Y$38=6,Cal!$Z$38=6,Cal!$Z$39=6,Cal!$Z$40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S22</xm:sqref>
        </x14:conditionalFormatting>
        <x14:conditionalFormatting xmlns:xm="http://schemas.microsoft.com/office/excel/2006/main">
          <x14:cfRule type="expression" priority="96" id="{36DAA0F7-704B-4396-894C-12FA5C1D8338}">
            <xm:f>OR(Cal!$F$19=6,Cal!$F$21=6,Cal!$F$23=6,Cal!$B$24=6,Cal!$E$25=6,Cal!$F$27=6,Cal!$C$28=6,Cal!$D$29=6,Cal!$F$31=6,Cal!$D$32=6,Cal!$C$33=6,Cal!$F$35=6,Cal!$E$36=6,Cal!$B$37=6,Cal!$B$38=6,Cal!$C$38=6,Cal!$D$38=6,Cal!$E$38=6,Cal!$F$38=6,Cal!$F$39=6,Cal!$F$40=6,Cal!$AA$19=6,Cal!$AA$21=6,Cal!$AA$23=6,Cal!$W$24=6,Cal!$Z$25=6,Cal!$AA$27=6,Cal!$X$28=6,Cal!$Y$29=6,Cal!$AA$31=6,Cal!$Y$32=6,Cal!$X$33=6,Cal!$AA$35=6,Cal!$Z$36=6,Cal!$W$37=6,Cal!$W$38=6,Cal!$X$38=6,Cal!$Y$38=6,Cal!$Z$38=6,Cal!$AA$38=6,Cal!$AA$39=6,Cal!$AA$40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U22</xm:sqref>
        </x14:conditionalFormatting>
        <x14:conditionalFormatting xmlns:xm="http://schemas.microsoft.com/office/excel/2006/main">
          <x14:cfRule type="expression" priority="95" id="{E092F3ED-45D1-472E-88E3-E3E5D34D38CB}">
            <xm:f>OR(Cal!$R$19=6,Cal!$R$23=6,Cal!$R$27=6,Cal!$R$31=6,Cal!$R$35=6,Cal!$R$39=6,Cal!$M$20=6,Cal!$N$24=6,Cal!$O$28=6,Cal!$O$33=6,Cal!$N$37=6,Cal!$M$38=6,Cal!$N$38=6,Cal!$O$38=6,Cal!$M$41=6,Cal!$AM$19=6,Cal!$AM$23=6,Cal!$AM$27=6,Cal!$AM$31=6,Cal!$AM$35=6,Cal!$AM$39=6,Cal!$AH$20=6,Cal!$AI$24=6,Cal!$AJ$28=6,Cal!$AJ$33=6,Cal!$AI$37=6,Cal!$AH$38=6,Cal!$AI$38=6,Cal!$AJ$38=6,Cal!$AH$41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AS22</xm:sqref>
        </x14:conditionalFormatting>
        <x14:conditionalFormatting xmlns:xm="http://schemas.microsoft.com/office/excel/2006/main">
          <x14:cfRule type="expression" priority="94" id="{309CB77A-DE3D-4AAB-A8E9-AEFAF5545BF9}">
            <xm:f>OR(Cal!$P$19=6,Cal!$K$20=6,Cal!$P$23=6,Cal!$L$24=6,Cal!$O$25=6,Cal!$P$27=6,Cal!$M$28=6,Cal!$N$29=6,Cal!$P$31=6,Cal!$N$32=6,Cal!$M$33=6,Cal!$P$35=6,Cal!$O$36=6,Cal!$L$37=6,Cal!$K$38=6,Cal!$L$38=6,Cal!$M$38=6,Cal!$N$38=6,Cal!$O$38=6,Cal!$P$39=6,Cal!$K$41=6,Cal!$AK$19=6,Cal!$AF$20=6,Cal!$AK$23=6,Cal!$AG$24=6,Cal!$AJ$25=6,Cal!$AK$27=6,Cal!$AH$28=6,Cal!$AI$29=6,Cal!$AK$31=6,Cal!$AI$32=6,Cal!$AH$33=6,Cal!$AK$35=6,Cal!$AJ$36=6,Cal!$AG$37=6,Cal!$AF$38=6,Cal!$AG$38=6,Cal!$AH$38=6,Cal!$AI$38=6,Cal!$AJ$38=6,Cal!$AK$39=6,Cal!$AF$41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AO22</xm:sqref>
        </x14:conditionalFormatting>
        <x14:conditionalFormatting xmlns:xm="http://schemas.microsoft.com/office/excel/2006/main">
          <x14:cfRule type="expression" priority="93" id="{7DFFF05B-E372-4AEC-9737-6BE17B52503C}">
            <xm:f>OR(Cal!$Q$19=6,Cal!$Q$23=6,Cal!$Q$27=6,Cal!$Q$31=6,Cal!$Q$35=6,Cal!$Q$39=6,Cal!$L$20=6,Cal!$M$24=6,Cal!$N$28=6,Cal!$O$29=6,Cal!$O$32=6,Cal!$N$33=6,Cal!$M$37=6,Cal!$L$38=6,Cal!$M$38=6,Cal!$N$38=6,Cal!$O$38=6,Cal!$L$41=6,Cal!$AL$19=6,Cal!$AL$23=6,Cal!$AL$27=6,Cal!$AL$31=6,Cal!$AL$35=6,Cal!$AL$39=6,Cal!$AG$20=6,Cal!$AH$24=6,Cal!$AI$28=6,Cal!$AJ$29=6,Cal!$AJ$32=6,Cal!$AI$33=6,Cal!$AH$37=6,Cal!$AG$38=6,Cal!$AH$38=6,Cal!$AI$38=6,Cal!$AJ$38=6,Cal!$AG$41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AQ22</xm:sqref>
        </x14:conditionalFormatting>
        <x14:conditionalFormatting xmlns:xm="http://schemas.microsoft.com/office/excel/2006/main">
          <x14:cfRule type="expression" priority="92" id="{6910DD19-43DF-496D-83F6-56129F0A0643}">
            <xm:f>OR(Cal!$I$3=6,Cal!$G$4=6,Cal!$F$5=6,Cal!$I$7=6,Cal!$H$8=6,Cal!$E$9=6,Cal!$D$10=6,Cal!$E$10=6,Cal!$F$10=6,Cal!$G$10=6,Cal!$H$10=6,Cal!$I$10=6,Cal!$I$11=6,Cal!$I$12=6,Cal!$D$13=6,Cal!$AD$3=6,Cal!$AB$4=6,Cal!$AA$5=6,Cal!$AD$7=6,Cal!$AC$8=6,Cal!$Z$9=6,Cal!$Y$10=6,Cal!$Z$10=6,Cal!$AA$10=6,Cal!$AB$10=6,Cal!$AC$10=6,Cal!$AD$10=6,Cal!$AD$11=6,Cal!$AD$12=6,Cal!$Y$13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AA8</xm:sqref>
        </x14:conditionalFormatting>
        <x14:conditionalFormatting xmlns:xm="http://schemas.microsoft.com/office/excel/2006/main">
          <x14:cfRule type="expression" priority="91" id="{D503D81E-6B30-48D6-8EAB-321D82754F13}">
            <xm:f>OR(Cal!$J$3=6,Cal!$G$4=6,Cal!$H$5=6,Cal!$J$7=6,Cal!$H$8=6,Cal!$G$9=6,Cal!$J$11=6,Cal!$I$12=6,Cal!$F$13=6,Cal!$E$14=6,Cal!$F$14=6,Cal!$G$14=6,Cal!$H$14=6,Cal!$I$14=6,Cal!$J$14=6,Cal!$J$15=6,Cal!$J$16=6,Cal!$E$17=6,Cal!$AE$3=6,Cal!$AB$4=6,Cal!$AC$5=6,Cal!$AE$7=6,Cal!$AC$8=6,Cal!$AB$9=6,Cal!$AE$11=6,Cal!$AD$12=6,Cal!$AA$13=6,Cal!$Z$14=6,Cal!$AA$14=6,Cal!$AB$14=6,Cal!$AC$14=6,Cal!$AD$14=6,Cal!$AE$14=6,Cal!$AE$15=6,Cal!$AE$16=6,Cal!$Z$17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AC10</xm:sqref>
        </x14:conditionalFormatting>
        <x14:conditionalFormatting xmlns:xm="http://schemas.microsoft.com/office/excel/2006/main">
          <x14:cfRule type="expression" priority="90" id="{31EE41F4-E1D0-402D-9F01-32AF2A4EA294}">
            <xm:f>OR(Cal!$M$3=6,Cal!$K$4=6,Cal!$J$5=6,Cal!$M$7=6,Cal!$L$8=6,Cal!$I$9=6,Cal!$H$10=6,Cal!$I$10=6,Cal!$J$10=6,Cal!$K$10=6,Cal!$L$10=6,Cal!$M$10=6,Cal!$M$11=6,Cal!$M$12=6,Cal!$H$13=6,Cal!$AH$3=6,Cal!$AF$4=6,Cal!$AE$5=6,Cal!$AH$7=6,Cal!$AG$8=6,Cal!$AD$9=6,Cal!$AC$10=6,Cal!$AD$10=6,Cal!$AE$10=6,Cal!$AF$10=6,Cal!$AG$10=6,Cal!$AH$10=6,Cal!$AH$11=6,Cal!$AH$12=6,Cal!$AC$13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AI8</xm:sqref>
        </x14:conditionalFormatting>
        <x14:conditionalFormatting xmlns:xm="http://schemas.microsoft.com/office/excel/2006/main">
          <x14:cfRule type="expression" priority="89" id="{4DE1BDB6-F40F-403C-AF7E-FE4B400470A9}">
            <xm:f>OR(Cal!$L$3=6,Cal!$I$4=6,Cal!$J$5=6,Cal!$L$7=6,Cal!$J$8=6,Cal!$I$9=6,Cal!$L$11=6,Cal!$K$12=6,Cal!$H$13=6,Cal!$G$14=6,Cal!$H$14=6,Cal!$I$14=6,Cal!$J$14=6,Cal!$K$14=6,Cal!$L$14=6,Cal!$L$15=6,Cal!$L$16=6,Cal!$G$17=6,Cal!$AG$3=6,Cal!$AD$4=6,Cal!$AE$5=6,Cal!$AG$7=6,Cal!$AE$8=6,Cal!$AD$9=6,Cal!$AG$11=6,Cal!$AF$12=6,Cal!$AC$13=6,Cal!$AB$14=6,Cal!$AC$14=6,Cal!$AD$14=6,Cal!$AE$14=6,Cal!$AF$14=6,Cal!$AG$14=6,Cal!$AG$15=6,Cal!$AG$16=6,Cal!$AB$17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AG10</xm:sqref>
        </x14:conditionalFormatting>
        <x14:conditionalFormatting xmlns:xm="http://schemas.microsoft.com/office/excel/2006/main">
          <x14:cfRule type="expression" priority="88" id="{CEF2711A-39C1-4840-B5E1-9A10FE48EFD9}">
            <xm:f>OR(Cal!$Q$15=6,Cal!$Q$19=6,Cal!$Q$23=6,Cal!$Q$27=6,Cal!$Q$31=6,Cal!$Q$35=6,Cal!$L$16=6,Cal!$M$20=6,Cal!$N$24=6,Cal!$O$25=6,Cal!$O$28=6,Cal!$N$29=6,Cal!$M$33=6,Cal!$L$34=6,Cal!$M$34=6,Cal!$N$34=6,Cal!$O$34=6,Cal!$L$37=6,Cal!$AL$15=6,Cal!$AL$19=6,Cal!$AL$23=6,Cal!$AL$27=6,Cal!$AL$31=6,Cal!$AL$35=6,Cal!$AG$16=6,Cal!$AH$20=6,Cal!$AI$24=6,Cal!$AJ$25=6,Cal!$AJ$28=6,Cal!$AI$29=6,Cal!$AH$33=6,Cal!$AG$34=6,Cal!$AH$34=6,Cal!$AI$34=6,Cal!$AJ$34=6,Cal!$AG$37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AQ20</xm:sqref>
        </x14:conditionalFormatting>
        <x14:conditionalFormatting xmlns:xm="http://schemas.microsoft.com/office/excel/2006/main">
          <x14:cfRule type="expression" priority="87" id="{2730EDBB-0191-4CA7-9355-3DA346B9A296}">
            <xm:f>OR(Cal!$Q$23=6,Cal!$Q$27=6,Cal!$Q$31=6,Cal!$Q$35=6,Cal!$Q$39=6,Cal!$Q$43=6,Cal!$L$24=6,Cal!$M$28=6,Cal!$N$32=6,Cal!$O$33=6,Cal!$O$36=6,Cal!$N$37=6,Cal!$M$41=6,Cal!$L$42=6,Cal!$M$42=6,Cal!$N$42=6,Cal!$O$42=6,Cal!$L$45=6,Cal!$AL$23=6,Cal!$AL$27=6,Cal!$AL$31=6,Cal!$AL$35=6,Cal!$AL$39=6,Cal!$AL$43=6,Cal!$AG$24=6,Cal!$AH$28=6,Cal!$AI$32=6,Cal!$AJ$33=6,Cal!$AJ$36=6,Cal!$AI$37=6,Cal!$AH$41=6,Cal!$AG$42=6,Cal!$AH$42=6,Cal!$AI$42=6,Cal!$AJ$42=6,Cal!$AG$45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AQ24</xm:sqref>
        </x14:conditionalFormatting>
        <x14:conditionalFormatting xmlns:xm="http://schemas.microsoft.com/office/excel/2006/main">
          <x14:cfRule type="expression" priority="86" id="{B068D841-C84E-4103-9718-47D567EA0356}">
            <xm:f>OR(Cal!$R$11=6,Cal!$R$15=6,Cal!$R$19=6,Cal!$R$23=6,Cal!$R$27=6,Cal!$R$31=6,Cal!$M$12=6,Cal!$N$16=6,Cal!$O$20=6,Cal!$O$25=6,Cal!$N$29=6,Cal!$M$30=6,Cal!$N$30=6,Cal!$O$30=6,Cal!$M$33=6,Cal!$AM$11=6,Cal!$AM$15=6,Cal!$AM$19=6,Cal!$AM$23=6,Cal!$AM$27=6,Cal!$AM$31=6,Cal!$AH$12=6,Cal!$AI$16=6,Cal!$AJ$20=6,Cal!$AJ$25=6,Cal!$AI$29=6,Cal!$AH$30=6,Cal!$AI$30=6,Cal!$AJ$30=6,Cal!$AH$33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AS18</xm:sqref>
        </x14:conditionalFormatting>
        <x14:conditionalFormatting xmlns:xm="http://schemas.microsoft.com/office/excel/2006/main">
          <x14:cfRule type="expression" priority="85" id="{1CECB338-2BE3-4069-A650-ED0B450942FF}">
            <xm:f>OR(Cal!$R$27=6,Cal!$R$31=6,Cal!$R$35=6,Cal!$R$39=6,Cal!$R$43=6,Cal!$R$47=6,Cal!$M$28=6,Cal!$N$32=6,Cal!$O$36=6,Cal!$O$41=6,Cal!$N$45=6,Cal!$M$46=6,Cal!$N$46=6,Cal!$O$46=6,Cal!$M$49=6,Cal!$AM$27=6,Cal!$AM$31=6,Cal!$AM$35=6,Cal!$AM$39=6,Cal!$AM$43=6,Cal!$AM$47=6,Cal!$AH$28=6,Cal!$AI$32=6,Cal!$AJ$36=6,Cal!$AJ$41=6,Cal!$AI$45=6,Cal!$AH$46=6,Cal!$AI$46=6,Cal!$AJ$46=6,Cal!$AH$49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AS26</xm:sqref>
        </x14:conditionalFormatting>
        <x14:conditionalFormatting xmlns:xm="http://schemas.microsoft.com/office/excel/2006/main">
          <x14:cfRule type="expression" priority="84" id="{ECB5055B-346D-4C9F-9DBF-E26665BC341E}">
            <xm:f>OR(Cal!$M$47=6,Cal!$H$48=6,Cal!$M$49=6,Cal!$M$51=6,Cal!$I$52=6,Cal!$L$53=6,Cal!$M$55=6,Cal!$J$56=6,Cal!$K$57=6,Cal!$H$60=6,Cal!$I$60=6,Cal!$J$60=6,Cal!$K$60=6,Cal!$L$60=6,Cal!$M$60=6,Cal!$AH$47=6,Cal!$AC$48=6,Cal!$AH$49=6,Cal!$AH$51=6,Cal!$AD$52=6,Cal!$AG$53=6,Cal!$AH$55=6,Cal!$AE$56=6,Cal!$AF$57=6,Cal!$AC$60=6,Cal!$AD$60=6,Cal!$AE$60=6,Cal!$AF$60=6,Cal!$AG$60=6,Cal!$AH$60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AI36</xm:sqref>
        </x14:conditionalFormatting>
        <x14:conditionalFormatting xmlns:xm="http://schemas.microsoft.com/office/excel/2006/main">
          <x14:cfRule type="expression" priority="83" id="{B8ACB996-4ED3-419C-8725-FC4EF0B20798}">
            <xm:f>OR(Cal!$L$43=6,Cal!$L$45=6,Cal!$L$47=6,Cal!$K$49=6,Cal!$L$51=6,Cal!$L$55=6,Cal!$G$44=6,Cal!$H$48=6,Cal!$I$52=6,Cal!$J$53=6,Cal!$J$56=6,Cal!$I$57=6,Cal!$G$59=6,Cal!$H$59=6,Cal!$I$59=6,Cal!$J$59=6,Cal!$K$59=6,Cal!$L$59=6,Cal!$AG$43=6,Cal!$AG$45=6,Cal!$AG$47=6,Cal!$AF$49=6,Cal!$AG$51=6,Cal!$AG$55=6,Cal!$AB$44=6,Cal!$AC$48=6,Cal!$AD$52=6,Cal!$AE$53=6,Cal!$AE$56=6,Cal!$AD$57=6,Cal!$AB$59=6,Cal!$AC$59=6,Cal!$AD$59=6,Cal!$AE$59=6,Cal!$AF$59=6,Cal!$AG$59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AG34</xm:sqref>
        </x14:conditionalFormatting>
        <x14:conditionalFormatting xmlns:xm="http://schemas.microsoft.com/office/excel/2006/main">
          <x14:cfRule type="expression" priority="82" id="{4DA834EF-3B92-422A-81B6-6593FF7F0FFD}">
            <xm:f>OR(Cal!$J$43=6,Cal!$J$45=6,Cal!$J$47=6,Cal!$I$49=6,Cal!$J$51=6,Cal!$J$55=6,Cal!$E$44=6,Cal!$F$48=6,Cal!$G$52=6,Cal!$H$53=6,Cal!$H$56=6,Cal!$G$57=6,Cal!$E$59=6,Cal!$F$59=6,Cal!$G$59=6,Cal!$H$59=6,Cal!$I$59=6,Cal!$J$59=6,Cal!$AE$43=6,Cal!$AE$45=6,Cal!$AE$47=6,Cal!$AD$49=6,Cal!$AE$51=6,Cal!$AE$55=6,Cal!$Z$44=6,Cal!$AA$48=6,Cal!$AB$52=6,Cal!$AC$53=6,Cal!$AC$56=6,Cal!$AB$57=6,Cal!$Z$59=6,Cal!$AA$59=6,Cal!$AB$59=6,Cal!$AC$59=6,Cal!$AD$59=6,Cal!$AE$59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AC34</xm:sqref>
        </x14:conditionalFormatting>
        <x14:conditionalFormatting xmlns:xm="http://schemas.microsoft.com/office/excel/2006/main">
          <x14:cfRule type="expression" priority="80" id="{2E225A1A-65B5-429B-ACD0-2331A5B70ACA}">
            <xm:f>OR(Cal!$I$47=6,Cal!$I$49=6,Cal!$I$51=6,Cal!$H$53=6,Cal!$I$55=6,Cal!$D$48=6,Cal!$E$52=6,Cal!$F$56=6,Cal!$G$57=6,Cal!$D$60=6,Cal!$E$60=6,Cal!$F$60=6,Cal!$G$60=6,Cal!$H$60=6,Cal!$I$60=6,Cal!$AD$47=6,Cal!$AD$49=6,Cal!$AD$51=6,Cal!$AC$53=6,Cal!$AD$55=6,Cal!$AA$56=6,Cal!$AB$57=6,Cal!$Z$52=6,Cal!$Y$48=6,Cal!$Y$60=6,Cal!$Z$60=6,Cal!$AA$60=6,Cal!$AB$60=6,Cal!$AC$60=6,Cal!$AD$60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AA36</xm:sqref>
        </x14:conditionalFormatting>
        <x14:conditionalFormatting xmlns:xm="http://schemas.microsoft.com/office/excel/2006/main">
          <x14:cfRule type="expression" priority="78" id="{364569F7-B374-41AF-BA90-3E06926A71F9}">
            <xm:f>OR(Cal!$D$11=6,Cal!$D$13=6,Cal!$D$15=6,Cal!$C$17=6,Cal!$D$19=6,Cal!$B$21=6,Cal!$D$23=6,Cal!$B$24=6,Cal!$D$27=6,Cal!$C$28=6,Cal!$B$30=6,Cal!$C$30=6,Cal!$D$30=6,Cal!$D$31=6,Cal!$D$32=6,Cal!$Y$11=6,Cal!$Y$13=6,Cal!$Y$15=6,Cal!$X$17=6,Cal!$Y$19=6,Cal!$W$21=6,Cal!$Y$23=6,Cal!$W$24=6,Cal!$Y$27=6,Cal!$X$28=6,Cal!$W$30=6,Cal!$X$30=6,Cal!$Y$30=6,Cal!$Y$31=6,Cal!$Y$32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Q18</xm:sqref>
        </x14:conditionalFormatting>
        <x14:conditionalFormatting xmlns:xm="http://schemas.microsoft.com/office/excel/2006/main">
          <x14:cfRule type="expression" priority="77" id="{E9960D20-4571-4592-98EA-4A3D7621C79E}">
            <xm:f>OR(Cal!$D$27=6,Cal!$D$29=6,Cal!$D$31=6,Cal!$C$33=6,Cal!$D$35=6,Cal!$B$37=6,Cal!$D$39=6,Cal!$B$40=6,Cal!$D$43=6,Cal!$C$44=6,Cal!$B$46=6,Cal!$C$46=6,Cal!$D$46=6,Cal!$D$47=6,Cal!$D$48=6,Cal!$Y$27=6,Cal!$Y$29=6,Cal!$Y$31=6,Cal!$X$33=6,Cal!$Y$35=6,Cal!$W$37=6,Cal!$Y$39=6,Cal!$W$40=6,Cal!$Y$43=6,Cal!$X$44=6,Cal!$W$46=6,Cal!$X$46=6,Cal!$Y$46=6,Cal!$Y$47=6,Cal!$Y$48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Q26</xm:sqref>
        </x14:conditionalFormatting>
        <x14:conditionalFormatting xmlns:xm="http://schemas.microsoft.com/office/excel/2006/main">
          <x14:cfRule type="expression" priority="76" id="{752E8C9F-A0A8-425A-A338-61F40C20DC31}">
            <xm:f>OR(Cal!$E$23=6,Cal!$E$25=6,Cal!$E$27=6,Cal!$D$29=6,Cal!$E$31=6,Cal!$B$32=6,Cal!$C$33=6,Cal!$E$35=6,Cal!$C$36=6,Cal!$B$37=6,Cal!$E$39=6,Cal!$D$40=6,Cal!$B$42=6,Cal!$C$42=6,Cal!$D$42=6,Cal!$E$42=6,Cal!$E$43=6,Cal!$E$44=6,Cal!$Z$23=6,Cal!$Z$25=6,Cal!$Z$27=6,Cal!$Y$29=6,Cal!$Z$31=6,Cal!$W$32=6,Cal!$X$33=6,Cal!$Z$35=6,Cal!$X$36=6,Cal!$W$37=6,Cal!$Z$39=6,Cal!$Y$40=6,Cal!$W$42=6,Cal!$X$42=6,Cal!$Y$42=6,Cal!$Z$42=6,Cal!$Z$43=6,Cal!$Z$44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S24</xm:sqref>
        </x14:conditionalFormatting>
        <x14:conditionalFormatting xmlns:xm="http://schemas.microsoft.com/office/excel/2006/main">
          <x14:cfRule type="expression" priority="75" id="{3359B076-550B-46B8-8649-2AE24BF61091}">
            <xm:f>OR(Cal!$E$15=6,Cal!$E$17=6,Cal!$E$19=6,Cal!$D$21=6,Cal!$E$23=6,Cal!$B$24=6,Cal!$C$25=6,Cal!$E$27=6,Cal!$C$28=6,Cal!$B$29=6,Cal!$E$31=6,Cal!$D$32=6,Cal!$B$34=6,Cal!$C$34=6,Cal!$D$34=6,Cal!$E$34=6,Cal!$E$35=6,Cal!$E$36=6,Cal!$Z$15=6,Cal!$Z$17=6,Cal!$Z$19=6,Cal!$Y$21=6,Cal!$Z$23=6,Cal!$W$24=6,Cal!$X$25=6,Cal!$Z$27=6,Cal!$X$28=6,Cal!$W$29=6,Cal!$Z$31=6,Cal!$Y$32=6,Cal!$W$34=6,Cal!$X$34=6,Cal!$Y$34=6,Cal!$Z$34=6,Cal!$Z$35=6,Cal!$Z$36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S20</xm:sqref>
        </x14:conditionalFormatting>
        <x14:conditionalFormatting xmlns:xm="http://schemas.microsoft.com/office/excel/2006/main">
          <x14:cfRule type="expression" priority="74" id="{7F41668D-916D-46E3-95DD-964DA020D251}">
            <xm:f>OR(Cal!$G$3=6,Cal!$E$4=6,Cal!$D$5=6,Cal!$G$7=6,Cal!$F$8=6,Cal!$C$9=6,Cal!$B$10=6,Cal!$C$10=6,Cal!$D$10=6,Cal!$E$10=6,Cal!$F$10=6,Cal!$G$10=6,Cal!$G$11=6,Cal!$G$12=6,Cal!$B$13=6,Cal!$AB$3=6,Cal!$Z$4=6,Cal!$Y$5=6,Cal!$AB$7=6,Cal!$AA$8=6,Cal!$X$9=6,Cal!$W$10=6,Cal!$X$10=6,Cal!$Y$10=6,Cal!$Z$10=6,Cal!$AA$10=6,Cal!$AB$10=6,Cal!$AB$11=6,Cal!$AB$12=6,Cal!$W$13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W8</xm:sqref>
        </x14:conditionalFormatting>
        <x14:conditionalFormatting xmlns:xm="http://schemas.microsoft.com/office/excel/2006/main">
          <x14:cfRule type="expression" priority="73" id="{28FF410C-58F9-4575-8A35-8E77C2E07E30}">
            <xm:f>OR(Cal!$O$3=6,Cal!$M$4=6,Cal!$L$5=6,Cal!$O$7=6,Cal!$N$8=6,Cal!$K$9=6,Cal!$J$10=6,Cal!$K$10=6,Cal!$L$10=6,Cal!$M$10=6,Cal!$N$10=6,Cal!$O$10=6,Cal!$O$11=6,Cal!$O$12=6,Cal!$J$13=6,Cal!$AJ$3=6,Cal!$AH$4=6,Cal!$AG$5=6,Cal!$AJ$7=6,Cal!$AI$8=6,Cal!$AF$9=6,Cal!$AE$10=6,Cal!$AF$10=6,Cal!$AG$10=6,Cal!$AH$10=6,Cal!$AI$10=6,Cal!$AJ$10=6,Cal!$AJ$11=6,Cal!$AJ$12=6,Cal!$AE$13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AM8</xm:sqref>
        </x14:conditionalFormatting>
        <x14:conditionalFormatting xmlns:xm="http://schemas.microsoft.com/office/excel/2006/main">
          <x14:cfRule type="expression" priority="72" id="{D6D02701-27F2-4737-B604-4ECEC923A82F}">
            <xm:f>OR(Cal!$D$3=6,Cal!$D$5=6,Cal!$D$7=6,Cal!$C$9=6,Cal!$D$11=6,Cal!$B$13=6,Cal!$D$15=6,Cal!$B$16=6,Cal!$D$19=6,Cal!$C$20=6,Cal!$B$22=6,Cal!$C$22=6,Cal!$D$22=6,Cal!$D$23=6,Cal!$D$24=6,Cal!$Y$3=6,Cal!$Y$5=6,Cal!$Y$7=6,Cal!$X$9=6,Cal!$Y$11=6,Cal!$W$13=6,Cal!$Y$15=6,Cal!$W$16=6,Cal!$Y$19=6,Cal!$X$20=6,Cal!$W$22=6,Cal!$X$22=6,Cal!$Y$22=6,Cal!$Y$23=6,Cal!$Y$24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Q14</xm:sqref>
        </x14:conditionalFormatting>
        <x14:conditionalFormatting xmlns:xm="http://schemas.microsoft.com/office/excel/2006/main">
          <x14:cfRule type="expression" priority="71" id="{923AFF05-842D-439E-81A6-DB5B838B2AEB}">
            <xm:f>OR(Cal!$D$35=6,Cal!$D$37=6,Cal!$D$39=6,Cal!$C$41=6,Cal!$D$43=6,Cal!$B$45=6,Cal!$D$47=6,Cal!$B$48=6,Cal!$D$51=6,Cal!$C$52=6,Cal!$B$54=6,Cal!$C$54=6,Cal!$D$54=6,Cal!$D$55=6,Cal!$D$56=6,Cal!$Y$35=6,Cal!$Y$37=6,Cal!$Y$39=6,Cal!$X$41=6,Cal!$Y$43=6,Cal!$W$45=6,Cal!$Y$47=6,Cal!$W$48=6,Cal!$Y$51=6,Cal!$X$52=6,Cal!$W$54=6,Cal!$X$54=6,Cal!$Y$54=6,Cal!$Y$55=6,Cal!$Y$56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Q30</xm:sqref>
        </x14:conditionalFormatting>
        <x14:conditionalFormatting xmlns:xm="http://schemas.microsoft.com/office/excel/2006/main">
          <x14:cfRule type="expression" priority="70" id="{E1E48EF5-C025-4469-BC89-D18D6D2B7F2D}">
            <xm:f>OR(Cal!$R$3=6,Cal!$R$7=6,Cal!$R$11=6,Cal!$R$15=6,Cal!$R$19=6,Cal!$R$23=6,Cal!$M$4=6,Cal!$N$8=6,Cal!$O$12=6,Cal!$O$17=6,Cal!$N$21=6,Cal!$M$22=6,Cal!$N$22=6,Cal!$O$22=6,Cal!$M$25=6,Cal!$AM$3=6,Cal!$AM$7=6,Cal!$AM$11=6,Cal!$AM$15=6,Cal!$AM$19=6,Cal!$AM$23=6,Cal!$AH$4=6,Cal!$AI$8=6,Cal!$AJ$12=6,Cal!$AJ$17=6,Cal!$AI$21=6,Cal!$AH$22=6,Cal!$AI$22=6,Cal!$AJ$22=6,Cal!$AH$25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AS14</xm:sqref>
        </x14:conditionalFormatting>
        <x14:conditionalFormatting xmlns:xm="http://schemas.microsoft.com/office/excel/2006/main">
          <x14:cfRule type="expression" priority="69" id="{8970409C-0556-40A0-9F02-161AAA9B7616}">
            <xm:f>OR(Cal!$R$35=6,Cal!$R$39=6,Cal!$R$43=6,Cal!$R$47=6,Cal!$R$51=6,Cal!$R$55=6,Cal!$M$36=6,Cal!$N$40=6,Cal!$O$44=6,Cal!$O$49=6,Cal!$N$53=6,Cal!$M$54=6,Cal!$N$54=6,Cal!$O$54=6,Cal!$M$57=6,Cal!$AM$35=6,Cal!$AM$39=6,Cal!$AM$43=6,Cal!$AM$47=6,Cal!$AM$51=6,Cal!$AM$55=6,Cal!$AH$36=6,Cal!$AI$40=6,Cal!$AJ$44=6,Cal!$AJ$49=6,Cal!$AI$53=6,Cal!$AH$54=6,Cal!$AI$54=6,Cal!$AJ$54=6,Cal!$AH$57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AS30</xm:sqref>
        </x14:conditionalFormatting>
        <x14:conditionalFormatting xmlns:xm="http://schemas.microsoft.com/office/excel/2006/main">
          <x14:cfRule type="expression" priority="68" id="{679F64AE-F49C-4147-ACDC-A5BAB0B86A99}">
            <xm:f>OR(Cal!$O$47=6,Cal!$O$49=6,Cal!$O$51=6,Cal!$N$53=6,Cal!$O$55=6,Cal!$M$57=6,Cal!$L$56=6,Cal!$K$52=6,Cal!$J$48=6,Cal!$J$60=6,Cal!$K$60=6,Cal!$L$60=6,Cal!$M$60=6,Cal!$N$60=6,Cal!$O$60=6,Cal!$AJ$47=6,Cal!$AJ$49=6,Cal!$AJ$51=6,Cal!$AI$53=6,Cal!$AJ$55=6,Cal!$AH$57=6,Cal!$AG$56=6,Cal!$AF$52=6,Cal!$AE$48=6,Cal!$AE$60=6,Cal!$AF$60=6,Cal!$AG$60=6,Cal!$AH$60=6,Cal!$AI$60=6,Cal!$AJ$60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AM36</xm:sqref>
        </x14:conditionalFormatting>
        <x14:conditionalFormatting xmlns:xm="http://schemas.microsoft.com/office/excel/2006/main">
          <x14:cfRule type="expression" priority="67" id="{1F6DE9DE-36E8-4D9D-A360-1E7ECECF8ED0}">
            <xm:f>OR(Cal!$G$47=6,Cal!$G$49=6,Cal!$G$51=6,Cal!$F$53=6,Cal!$G$55=6,Cal!$E$57=6,Cal!$D$56=6,Cal!$C$52=6,Cal!$B$48=6,Cal!$B$60=6,Cal!$C$60=6,Cal!$D$60=6,Cal!$E$60=6,Cal!$F$60=6,Cal!$G$60=6,Cal!$AB$47=6,Cal!$AB$49=6,Cal!$AB$51=6,Cal!$AA$53=6,Cal!$AB$55=6,Cal!$Z$57=6,Cal!$Y$56=6,Cal!$X$52=6,Cal!$W$48=6,Cal!$W$60=6,Cal!$X$60=6,Cal!$Y$60=6,Cal!$Z$60=6,Cal!$AA$60=6,Cal!$AB$60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W36</xm:sqref>
        </x14:conditionalFormatting>
        <x14:conditionalFormatting xmlns:xm="http://schemas.microsoft.com/office/excel/2006/main">
          <x14:cfRule type="expression" priority="65" id="{A0982DD3-ED74-4527-ACE9-63457CB0A616}">
            <xm:f>OR(Cal!$J$3=6,Cal!$J$5=6,Cal!$J$7=6,Cal!$I$9=6,Cal!$F$8=6,Cal!$E$4=6,Cal!$J$11=6,Cal!$G$12=6,Cal!$H$13=6,Cal!$J$15=6,Cal!$H$16=6,Cal!$G$17=6,Cal!$J$19=6,Cal!$I$20=6,Cal!$F$21=6,Cal!$E$22=6,Cal!$F$22=6,Cal!$G$22=6,Cal!$H$22=6,Cal!$I$22=6,Cal!$J$22=6,Cal!$J$23=6,Cal!$J$24=6,Cal!$E$25=6,Cal!$AE$3=6,Cal!$AE$5=6,Cal!$AE$7=6,Cal!$AD$9=6,Cal!$AA$8=6,Cal!$Z$4=6,Cal!$AE$11=6,Cal!$AB$12=6,Cal!$AC$13=6,Cal!$AE$15=6,Cal!$AC$16=6,Cal!$AB$17=6,Cal!$AE$19=6,Cal!$AD$20=6,Cal!$AA$21=6,Cal!$Z$22=6,Cal!$AA$22=6,Cal!$AB$22=6,Cal!$AC$22=6,Cal!$AD$22=6,Cal!$AE$22=6,Cal!$AE$23=6,Cal!$AE$24=6,Cal!$Z$25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AC14</xm:sqref>
        </x14:conditionalFormatting>
        <x14:conditionalFormatting xmlns:xm="http://schemas.microsoft.com/office/excel/2006/main">
          <x14:cfRule type="expression" priority="64" id="{4D75579A-D452-4154-9312-632B486D1F07}">
            <xm:f>OR(Cal!$L$3=6,Cal!$L$5=6,Cal!$L$7=6,Cal!$K$9=6,Cal!$H$8=6,Cal!$G$4=6,Cal!$L$11=6,Cal!$I$12=6,Cal!$J$13=6,Cal!$L$15=6,Cal!$J$16=6,Cal!$I$17=6,Cal!$L$19=6,Cal!$K$20=6,Cal!$H$21=6,Cal!$G$22=6,Cal!$H$22=6,Cal!$I$22=6,Cal!$J$22=6,Cal!$K$22=6,Cal!$L$22=6,Cal!$L$23=6,Cal!$L$24=6,Cal!$G$25=6,Cal!$AG$3=6,Cal!$AG$5=6,Cal!$AG$7=6,Cal!$AB$4=6,Cal!$AF$9=6,Cal!$AC$8=6,Cal!$AG$11=6,Cal!$AD$12=6,Cal!$AE$13=6,Cal!$AG$15=6,Cal!$AE$16=6,Cal!$AD$17=6,Cal!$AG$19=6,Cal!$AF$20=6,Cal!$AC$21=6,Cal!$AB$22=6,Cal!$AC$22=6,Cal!$AD$22=6,Cal!$AE$22=6,Cal!$AF$22=6,Cal!$AG$22=6,Cal!$AG$23=6,Cal!$AG$24=6,Cal!$AB$25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AG14</xm:sqref>
        </x14:conditionalFormatting>
        <x14:conditionalFormatting xmlns:xm="http://schemas.microsoft.com/office/excel/2006/main">
          <x14:cfRule type="expression" priority="63" id="{CA856EE7-00E3-4435-B042-83CCB8826AE3}">
            <xm:f>OR(Cal!$O$15=6,Cal!$J$16=6,Cal!$O$17=6,Cal!$O$19=6,Cal!$K$20=6,Cal!$N$21=6,Cal!$O$23=6,Cal!$L$24=6,Cal!$M$25=6,Cal!$O$27=6,Cal!$M$28=6,Cal!$L$29=6,Cal!$O$31=6,Cal!$N$32=6,Cal!$K$33=6,Cal!$J$34=6,Cal!$K$34=6,Cal!$L$34=6,Cal!$M$34=6,Cal!$N$34=6,Cal!$O$34=6,Cal!$O$35=6,Cal!$O$36=6,Cal!$J$37=6,Cal!$AJ$15=6,Cal!$AE$16=6,Cal!$AJ$17=6,Cal!$AJ$19=6,Cal!$AF$20=6,Cal!$AI$21=6,Cal!$AJ$23=6,Cal!$AG$24=6,Cal!$AH$25=6,Cal!$AJ$27=6,Cal!$AH$28=6,Cal!$AG$29=6,Cal!$AJ$31=6,Cal!$AI$32=6,Cal!$AF$33=6,Cal!$AE$34=6,Cal!$AF$34=6,Cal!$AG$34=6,Cal!$AH$34=6,Cal!$AI$34=6,Cal!$AJ$34=6,Cal!$AJ$35=6,Cal!$AJ$36=6,Cal!$AE$37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AM20</xm:sqref>
        </x14:conditionalFormatting>
        <x14:conditionalFormatting xmlns:xm="http://schemas.microsoft.com/office/excel/2006/main">
          <x14:cfRule type="expression" priority="62" id="{9EBAD662-0848-454E-AC0A-13A56BEB19B3}">
            <xm:f>OR(Cal!$O$23=6,Cal!$O$25=6,Cal!$O$27=6,Cal!$N$29=6,Cal!$K$28=6,Cal!$J$24=6,Cal!$O$31=6,Cal!$L$32=6,Cal!$M$33=6,Cal!$O$35=6,Cal!$M$36=6,Cal!$L$37=6,Cal!$O$39=6,Cal!$N$40=6,Cal!$K$41=6,Cal!$J$42=6,Cal!$K$42=6,Cal!$L$42=6,Cal!$M$42=6,Cal!$N$42=6,Cal!$O$42=6,Cal!$O$43=6,Cal!$O$44=6,Cal!$J$45=6,Cal!$AJ$23=6,Cal!$AJ$25=6,Cal!$AE$24=6,Cal!$AJ$27=6,Cal!$AF$28=6,Cal!$AI$29=6,Cal!$AJ$31=6,Cal!$AG$32=6,Cal!$AH$33=6,Cal!$AJ$35=6,Cal!$AH$36=6,Cal!$AG$37=6,Cal!$AJ$39=6,Cal!$AI$40=6,Cal!$AF$41=6,Cal!$AE$42=6,Cal!$AF$42=6,Cal!$AG$42=6,Cal!$AH$42=6,Cal!$AI$42=6,Cal!$AJ$42=6,Cal!$AJ$43=6,Cal!$AJ$44=6,Cal!$AE$45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AM24</xm:sqref>
        </x14:conditionalFormatting>
        <x14:conditionalFormatting xmlns:xm="http://schemas.microsoft.com/office/excel/2006/main">
          <x14:cfRule type="expression" priority="61" id="{0D3F4D47-0502-4A2F-81B3-1CAD6E6CB2D0}">
            <xm:f>OR(Cal!$L$35=6,Cal!$L$37=6,Cal!$L$39=6,Cal!$G$36=6,Cal!$H$40=6,Cal!$K$41=6,Cal!$L$43=6,Cal!$I$44=6,Cal!$J$45=6,Cal!$L$47=6,Cal!$J$48=6,Cal!$I$49=6,Cal!$L$51=6,Cal!$K$52=6,Cal!$H$53=6,Cal!$G$54=6,Cal!$H$54=6,Cal!$I$54=6,Cal!$J$54=6,Cal!$K$54=6,Cal!$L$54=6,Cal!$L$55=6,Cal!$L$56=6,Cal!$G$57=6,Cal!$AG$35=6,Cal!$AG$37=6,Cal!$AG$39=6,Cal!$AF$41=6,Cal!$AC$40=6,Cal!$AB$36=6,Cal!$AG$43=6,Cal!$AD$44=6,Cal!$AE$45=6,Cal!$AG$47=6,Cal!$AE$48=6,Cal!$AD$49=6,Cal!$AG$51=6,Cal!$AF$52=6,Cal!$AC$53=6,Cal!$AB$54=6,Cal!$AC$54=6,Cal!$AD$54=6,Cal!$AE$54=6,Cal!$AF$54=6,Cal!$AG$54=6,Cal!$AG$55=6,Cal!$AG$56=6,Cal!$AB$57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AG30</xm:sqref>
        </x14:conditionalFormatting>
        <x14:conditionalFormatting xmlns:xm="http://schemas.microsoft.com/office/excel/2006/main">
          <x14:cfRule type="expression" priority="60" id="{EF199175-C4DF-45F4-A907-CEC7A034D02C}">
            <xm:f>OR(Cal!$J$35=6,Cal!$J$37=6,Cal!$J$39=6,Cal!$I$41=6,Cal!$F$40=6,Cal!$E$36=6,Cal!$J$43=6,Cal!$G$44=6,Cal!$H$45=6,Cal!$J$47=6,Cal!$H$48=6,Cal!$G$49=6,Cal!$J$51=6,Cal!$I$52=6,Cal!$F$53=6,Cal!$E$54=6,Cal!$F$54=6,Cal!$G$54=6,Cal!$H$54=6,Cal!$I$54=6,Cal!$J$54=6,Cal!$J$55=6,Cal!$J$56=6,Cal!$E$57=6,Cal!$AE$35=6,Cal!$AE$37=6,Cal!$Z$36=6,Cal!$AE$39=6,Cal!$AA$40=6,Cal!$AD$41=6,Cal!$AE$43=6,Cal!$AB$44=6,Cal!$AC$45=6,Cal!$AE$47=6,Cal!$AC$48=6,Cal!$AB$49=6,Cal!$AE$51=6,Cal!$AD$52=6,Cal!$AA$53=6,Cal!$Z$54=6,Cal!$AA$54=6,Cal!$AB$54=6,Cal!$AC$54=6,Cal!$AD$54=6,Cal!$AE$54=6,Cal!$AE$55=6,Cal!$AE$56=6,Cal!$Z$57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AC30</xm:sqref>
        </x14:conditionalFormatting>
        <x14:conditionalFormatting xmlns:xm="http://schemas.microsoft.com/office/excel/2006/main">
          <x14:cfRule type="expression" priority="59" id="{DFC99E5D-CA85-4B2D-9AA4-0F86B765134E}">
            <xm:f>OR(Cal!$G$15=6,Cal!$G$17=6,Cal!$G$19=6,Cal!$B$16=6,Cal!$C$20=6,Cal!$F$21=6,Cal!$G$23=6,Cal!$D$24=6,Cal!$E$25=6,Cal!$G$27=6,Cal!$E$28=6,Cal!$D$29=6,Cal!$G$31=6,Cal!$F$32=6,Cal!$C$33=6,Cal!$B$34=6,Cal!$C$34=6,Cal!$D$34=6,Cal!$E$34=6,Cal!$F$34=6,Cal!$G$34=6,Cal!$G$35=6,Cal!$G$36=6,Cal!$B$37=6,Cal!$AB$15=6,Cal!$W$16=6,Cal!$AB$17=6,Cal!$AB$19=6,Cal!$X$20=6,Cal!$AA$21=6,Cal!$AB$23=6,Cal!$Y$24=6,Cal!$Z$25=6,Cal!$AB$27=6,Cal!$Z$28=6,Cal!$Y$29=6,Cal!$AB$31=6,Cal!$AA$32=6,Cal!$X$33=6,Cal!$W$34=6,Cal!$X$34=6,Cal!$Y$34=6,Cal!$Z$34=6,Cal!$AA$34=6,Cal!$AB$34=6,Cal!$AB$35=6,Cal!$AB$36=6,Cal!$W$37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W20</xm:sqref>
        </x14:conditionalFormatting>
        <x14:conditionalFormatting xmlns:xm="http://schemas.microsoft.com/office/excel/2006/main">
          <x14:cfRule type="expression" priority="58" id="{83A1804F-D846-4CDF-A306-EBBD33490FE1}">
            <xm:f>OR(Cal!$G$23=6,Cal!$B$24=6,Cal!$G$25=6,Cal!$G$27=6,Cal!$C$28=6,Cal!$F$29=6,Cal!$G$31=6,Cal!$D$32=6,Cal!$E$33=6,Cal!$G$35=6,Cal!$E$36=6,Cal!$D$37=6,Cal!$G$39=6,Cal!$F$40=6,Cal!$C$41=6,Cal!$B$42=6,Cal!$C$42=6,Cal!$D$42=6,Cal!$E$42=6,Cal!$F$42=6,Cal!$G$42=6,Cal!$G$43=6,Cal!$G$44=6,Cal!$B$45=6,Cal!$AB$23=6,Cal!$AB$25=6,Cal!$W$24=6,Cal!$AB$27=6,Cal!$AA$29=6,Cal!$X$28=6,Cal!$AB$31=6,Cal!$Y$32=6,Cal!$Z$33=6,Cal!$AB$35=6,Cal!$Z$36=6,Cal!$Y$37=6,Cal!$AB$39=6,Cal!$AA$40=6,Cal!$X$41=6,Cal!$W$42=6,Cal!$X$42=6,Cal!$Y$42=6,Cal!$Z$42=6,Cal!$AA$42=6,Cal!$AB$42=6,Cal!$AB$43=6,Cal!$AB$44=6,Cal!$W$45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W24</xm:sqref>
        </x14:conditionalFormatting>
        <x14:conditionalFormatting xmlns:xm="http://schemas.microsoft.com/office/excel/2006/main">
          <x14:cfRule type="expression" priority="57" id="{60641F78-07AD-476F-857E-95BFC2E77141}">
            <xm:f>OR(Cal!$F$3=6,Cal!$C$4=6,Cal!$D$5=6,Cal!$F$7=6,Cal!$D$8=6,Cal!$C$9=6,Cal!$F$11=6,Cal!$E$12=6,Cal!$B$13=6,Cal!$B$14=6,Cal!$C$14=6,Cal!$D$14=6,Cal!$E$14=6,Cal!$F$14=6,Cal!$F$15=6,Cal!$F$16=6,Cal!$AA$3=6,Cal!$X$4=6,Cal!$Y$5=6,Cal!$AA$7=6,Cal!$Y$8=6,Cal!$X$9=6,Cal!$AA$11=6,Cal!$Z$12=6,Cal!$W$13=6,Cal!$W$14=6,Cal!$X$14=6,Cal!$Y$14=6,Cal!$Z$14=6,Cal!$AA$14=6,Cal!$AA$15=6,Cal!$AA$16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U10</xm:sqref>
        </x14:conditionalFormatting>
        <x14:conditionalFormatting xmlns:xm="http://schemas.microsoft.com/office/excel/2006/main">
          <x14:cfRule type="expression" priority="56" id="{70D915AB-87A3-4EFC-8AFB-DC69153F34DC}">
            <xm:f>OR(Cal!$G$3=6,Cal!$D$4=6,Cal!$E$5=6,Cal!$G$7=6,Cal!$E$8=6,Cal!$D$9=6,Cal!$G$11=6,Cal!$F$12=6,Cal!$C$13=6,Cal!$B$14=6,Cal!$C$14=6,Cal!$D$14=6,Cal!$E$14=6,Cal!$F$14=6,Cal!$G$14=6,Cal!$G$15=6,Cal!$G$16=6,Cal!$B$17=6,Cal!$AB$3=6,Cal!$Y$4=6,Cal!$Z$5=6,Cal!$AB$7=6,Cal!$Z$8=6,Cal!$Y$9=6,Cal!$AB$11=6,Cal!$AA$12=6,Cal!$X$13=6,Cal!$W$14=6,Cal!$X$14=6,Cal!$Y$14=6,Cal!$Z$14=6,Cal!$AA$14=6,Cal!$AB$14=6,Cal!$AB$15=6,Cal!$AB$16=6,Cal!$W$17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W10</xm:sqref>
        </x14:conditionalFormatting>
        <x14:conditionalFormatting xmlns:xm="http://schemas.microsoft.com/office/excel/2006/main">
          <x14:cfRule type="expression" priority="55" id="{D2148151-DD61-4FB1-BDD9-B72D3840DD43}">
            <xm:f>OR(Cal!$H$3=6,Cal!$E$4=6,Cal!$F$5=6,Cal!$H$7=6,Cal!$F$8=6,Cal!$E$9=6,Cal!$H$11=6,Cal!$G$12=6,Cal!$D$13=6,Cal!$C$14=6,Cal!$D$14=6,Cal!$E$14=6,Cal!$F$14=6,Cal!$G$14=6,Cal!$H$14=6,Cal!$H$15=6,Cal!$H$16=6,Cal!$C$17=6,Cal!$AC$3=6,Cal!$Z$4=6,Cal!$AA$5=6,Cal!$AC$7=6,Cal!$AA$8=6,Cal!$Z$9=6,Cal!$AC$11=6,Cal!$AB$12=6,Cal!$Y$13=6,Cal!$X$14=6,Cal!$Y$14=6,Cal!$Z$14=6,Cal!$AA$14=6,Cal!$AB$14=6,Cal!$AC$14=6,Cal!$AC$15=6,Cal!$AC$16=6,Cal!$X$17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Y10</xm:sqref>
        </x14:conditionalFormatting>
        <x14:conditionalFormatting xmlns:xm="http://schemas.microsoft.com/office/excel/2006/main">
          <x14:cfRule type="expression" priority="54" id="{32503351-243E-4129-993A-F1960538F39A}">
            <xm:f>OR(Cal!$N$3=6,Cal!$K$4=6,Cal!$L$5=6,Cal!$N$7=6,Cal!$L$8=6,Cal!$K$9=6,Cal!$N$11=6,Cal!$M$12=6,Cal!$J$13=6,Cal!$I$14=6,Cal!$J$14=6,Cal!$K$14=6,Cal!$L$14=6,Cal!$M$14=6,Cal!$N$14=6,Cal!$N$15=6,Cal!$N$16=6,Cal!$I$17=6,Cal!$AI$3=6,Cal!$AF$4=6,Cal!$AG$5=6,Cal!$AI$7=6,Cal!$AG$8=6,Cal!$AF$9=6,Cal!$AI$11=6,Cal!$AH$12=6,Cal!$AE$13=6,Cal!$AD$14=6,Cal!$AE$14=6,Cal!$AF$14=6,Cal!$AG$14=6,Cal!$AH$14=6,Cal!$AI$14=6,Cal!$AI$15=6,Cal!$AI$16=6,Cal!$AD$17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AK10</xm:sqref>
        </x14:conditionalFormatting>
        <x14:conditionalFormatting xmlns:xm="http://schemas.microsoft.com/office/excel/2006/main">
          <x14:cfRule type="expression" priority="53" id="{BA88CE80-637A-4E7D-88F8-79DBA80897AF}">
            <xm:f>OR(Cal!$O$3=6,Cal!$L$4=6,Cal!$M$5=6,Cal!$O$7=6,Cal!$M$8=6,Cal!$L$9=6,Cal!$O$11=6,Cal!$N$12=6,Cal!$K$13=6,Cal!$J$14=6,Cal!$K$14=6,Cal!$L$14=6,Cal!$M$14=6,Cal!$N$14=6,Cal!$O$14=6,Cal!$O$15=6,Cal!$O$16=6,Cal!$J$17=6,Cal!$AJ$3=6,Cal!$AG$4=6,Cal!$AH$5=6,Cal!$AJ$7=6,Cal!$AH$8=6,Cal!$AG$9=6,Cal!$AJ$11=6,Cal!$AI$12=6,Cal!$AF$13=6,Cal!$AE$14=6,Cal!$AF$14=6,Cal!$AG$14=6,Cal!$AH$14=6,Cal!$AI$14=6,Cal!$AJ$14=6,Cal!$AJ$15=6,Cal!$AJ$16=6,Cal!$AE$17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AM10</xm:sqref>
        </x14:conditionalFormatting>
        <x14:conditionalFormatting xmlns:xm="http://schemas.microsoft.com/office/excel/2006/main">
          <x14:cfRule type="expression" priority="52" id="{98EBE452-C22D-487B-82CE-14F309209EFF}">
            <xm:f>OR(Cal!$P$3=6,Cal!$M$4=6,Cal!$N$5=6,Cal!$P$7=6,Cal!$N$8=6,Cal!$M$9=6,Cal!$P$11=6,Cal!$O$12=6,Cal!$L$13=6,Cal!$K$14=6,Cal!$L$14=6,Cal!$M$14=6,Cal!$N$14=6,Cal!$O$14=6,Cal!$P$15=6,Cal!$K$17=6,Cal!$AK$3=6,Cal!$AH$4=6,Cal!$AI$5=6,Cal!$AK$7=6,Cal!$AI$8=6,Cal!$AH$9=6,Cal!$AK$11=6,Cal!$AJ$12=6,Cal!$AG$13=6,Cal!$AF$14=6,Cal!$AG$14=6,Cal!$AH$14=6,Cal!$AI$14=6,Cal!$AJ$14=6,Cal!$AK$15=6,Cal!$AF$17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AO10</xm:sqref>
        </x14:conditionalFormatting>
        <x14:conditionalFormatting xmlns:xm="http://schemas.microsoft.com/office/excel/2006/main">
          <x14:cfRule type="expression" priority="51" id="{111E5146-968B-41BD-A368-4C96FAE52D4B}">
            <xm:f>OR(Cal!$E$3=6,Cal!$D$5=6,Cal!$E$7=6,Cal!$B$8=6,Cal!$C$9=6,Cal!$E$11=6,Cal!$C$12=6,Cal!$B$13=6,Cal!$E$15=6,Cal!$D$16=6,Cal!$B$18=6,Cal!$C$18=6,Cal!$D$18=6,Cal!$E$18=6,Cal!$E$19=6,Cal!$E$20=6,Cal!$Z$3=6,Cal!$Y$5=6,Cal!$Z$7=6,Cal!$W$8=6,Cal!$X$9=6,Cal!$Z$11=6,Cal!$X$12=6,Cal!$W$13=6,Cal!$Z$15=6,Cal!$Y$16=6,Cal!$W$18=6,Cal!$X$18=6,Cal!$Y$18=6,Cal!$Z$18=6,Cal!$Z$19=6,Cal!$Z$20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S12</xm:sqref>
        </x14:conditionalFormatting>
        <x14:conditionalFormatting xmlns:xm="http://schemas.microsoft.com/office/excel/2006/main">
          <x14:cfRule type="expression" priority="50" id="{DE1D5E6D-7CE7-4B9D-ADD7-7561820E33E5}">
            <xm:f>OR(Cal!$E$3=6,Cal!$E$5=6,Cal!$E$7=6,Cal!$D$9=6,Cal!$E$11=6,Cal!$B$12=6,Cal!$C$13=6,Cal!$E$15=6,Cal!$C$16=6,Cal!$B$17=6,Cal!$E$19=6,Cal!$D$20=6,Cal!$B$22=6,Cal!$C$22=6,Cal!$D$22=6,Cal!$E$22=6,Cal!$E$23=6,Cal!$E$24=6,Cal!$Z$3=6,Cal!$Z$5=6,Cal!$Z$7=6,Cal!$Y$9=6,Cal!$Z$11=6,Cal!$W$12=6,Cal!$X$13=6,Cal!$Z$15=6,Cal!$X$16=6,Cal!$W$17=6,Cal!$Z$19=6,Cal!$Y$20=6,Cal!$W$22=6,Cal!$X$22=6,Cal!$Y$22=6,Cal!$Z$22=6,Cal!$Z$23=6,Cal!$Z$24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S14</xm:sqref>
        </x14:conditionalFormatting>
        <x14:conditionalFormatting xmlns:xm="http://schemas.microsoft.com/office/excel/2006/main">
          <x14:cfRule type="expression" priority="49" id="{6226D975-C9D7-46A0-9488-8842905C6340}">
            <xm:f>OR(Cal!$E$7=6,Cal!$E$9=6,Cal!$E$11=6,Cal!$D$13=6,Cal!$E$15=6,Cal!$B$16=6,Cal!$C$17=6,Cal!$E$19=6,Cal!$C$20=6,Cal!$B$21=6,Cal!$E$23=6,Cal!$D$24=6,Cal!$B$26=6,Cal!$C$26=6,Cal!$D$26=6,Cal!$E$26=6,Cal!$E$27=6,Cal!$E$28=6,Cal!$Z$7=6,Cal!$Z$9=6,Cal!$Z$11=6,Cal!$Y$13=6,Cal!$Z$15=6,Cal!$W$16=6,Cal!$X$17=6,Cal!$Z$19=6,Cal!$X$20=6,Cal!$W$21=6,Cal!$Z$23=6,Cal!$Y$24=6,Cal!$W$26=6,Cal!$X$26=6,Cal!$Y$26=6,Cal!$Z$26=6,Cal!$Z$27=6,Cal!$Z$28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S16</xm:sqref>
        </x14:conditionalFormatting>
        <x14:conditionalFormatting xmlns:xm="http://schemas.microsoft.com/office/excel/2006/main">
          <x14:cfRule type="expression" priority="48" id="{EEE3613D-F306-46DE-ADFA-1EE5319B661C}">
            <xm:f>OR(Cal!$E$31=6,Cal!$E$33=6,Cal!$E$35=6,Cal!$D$37=6,Cal!$E$39=6,Cal!$B$40=6,Cal!$C$41=6,Cal!$E$43=6,Cal!$C$44=6,Cal!$B$45=6,Cal!$E$47=6,Cal!$D$48=6,Cal!$B$50=6,Cal!$C$50=6,Cal!$D$50=6,Cal!$E$50=6,Cal!$E$51=6,Cal!$E$52=6,Cal!$Z$31=6,Cal!$Z$33=6,Cal!$Z$35=6,Cal!$Y$37=6,Cal!$Z$39=6,Cal!$W$40=6,Cal!$X$41=6,Cal!$Z$43=6,Cal!$X$44=6,Cal!$W$45=6,Cal!$Z$47=6,Cal!$Y$48=6,Cal!$W$50=6,Cal!$X$50=6,Cal!$Y$50=6,Cal!$Z$50=6,Cal!$Z$51=6,Cal!$Z$52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S28</xm:sqref>
        </x14:conditionalFormatting>
        <x14:conditionalFormatting xmlns:xm="http://schemas.microsoft.com/office/excel/2006/main">
          <x14:cfRule type="expression" priority="47" id="{F5CC4DD7-F7C8-42E1-85C3-9E475D8AB7AB}">
            <xm:f>OR(Cal!$E$35=6,Cal!$E$37=6,Cal!$E$39=6,Cal!$D$41=6,Cal!$E$43=6,Cal!$B$44=6,Cal!$C$45=6,Cal!$E$47=6,Cal!$C$48=6,Cal!$B$49=6,Cal!$E$51=6,Cal!$D$52=6,Cal!$B$54=6,Cal!$C$54=6,Cal!$D$54=6,Cal!$E$54=6,Cal!$E$55=6,Cal!$E$56=6,Cal!$Z$35=6,Cal!$Z$37=6,Cal!$Z$39=6,Cal!$Y$41=6,Cal!$Z$43=6,Cal!$W$44=6,Cal!$X$45=6,Cal!$Z$47=6,Cal!$X$48=6,Cal!$W$49=6,Cal!$Z$51=6,Cal!$Y$52=6,Cal!$W$54=6,Cal!$X$54=6,Cal!$Y$54=6,Cal!$Z$54=6,Cal!$Z$55=6,Cal!$Z$56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S30</xm:sqref>
        </x14:conditionalFormatting>
        <x14:conditionalFormatting xmlns:xm="http://schemas.microsoft.com/office/excel/2006/main">
          <x14:cfRule type="expression" priority="46" id="{F9BC4330-0789-45BB-9BB8-973930771B71}">
            <xm:f>OR(Cal!$E$39=6,Cal!$E$41=6,Cal!$E$43=6,Cal!$D$45=6,Cal!$E$47=6,Cal!$B$48=6,Cal!$C$49=6,Cal!$E$51=6,Cal!$C$52=6,Cal!$B$53=6,Cal!$E$55=6,Cal!$D$56=6,Cal!$B$58=6,Cal!$C$58=6,Cal!$D$58=6,Cal!$E$58=6,Cal!$Z$39=6,Cal!$Z$41=6,Cal!$Z$43=6,Cal!$Y$45=6,Cal!$Z$47=6,Cal!$W$48=6,Cal!$X$49=6,Cal!$Z$51=6,Cal!$X$52=6,Cal!$W$53=6,Cal!$Z$55=6,Cal!$Y$56=6,Cal!$W$58=6,Cal!$X$58=6,Cal!$Y$58=6,Cal!$Z$58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S32</xm:sqref>
        </x14:conditionalFormatting>
        <x14:conditionalFormatting xmlns:xm="http://schemas.microsoft.com/office/excel/2006/main">
          <x14:cfRule type="expression" priority="45" id="{E6B4769E-F615-44B2-9E1A-1FCBCB474A18}">
            <xm:f>OR(Cal!$F$43=6,Cal!$F$45=6,Cal!$F$47=6,Cal!$B$48=6,Cal!$E$49=6,Cal!$F$51=6,Cal!$C$52=6,Cal!$D$53=6,Cal!$F$55=6,Cal!$D$56=6,Cal!$C$57=6,Cal!$B$59=6,Cal!$C$59=6,Cal!$D$59=6,Cal!$E$59=6,Cal!$F$59=6,Cal!$AA$43=6,Cal!$AA$45=6,Cal!$AA$47=6,Cal!$W$48=6,Cal!$Z$49=6,Cal!$AA$51=6,Cal!$X$52=6,Cal!$Y$53=6,Cal!$AA$55=6,Cal!$Y$56=6,Cal!$X$57=6,Cal!$W$59=6,Cal!$X$59=6,Cal!$Y$59=6,Cal!$Z$59=6,Cal!$AA$59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U34</xm:sqref>
        </x14:conditionalFormatting>
        <x14:conditionalFormatting xmlns:xm="http://schemas.microsoft.com/office/excel/2006/main">
          <x14:cfRule type="expression" priority="43" id="{A3133FC3-7186-48DA-97B8-915BB437E389}">
            <xm:f>OR(Cal!$G$43=6,Cal!$B$44=6,Cal!$G$45=6,Cal!$G$47=6,Cal!$C$48=6,Cal!$F$49=6,Cal!$G$51=6,Cal!$D$52=6,Cal!$E$53=6,Cal!$G$55=6,Cal!$E$56=6,Cal!$D$57=6,Cal!$B$59=6,Cal!$C$59=6,Cal!$D$59=6,Cal!$E$59=6,Cal!$F$59=6,Cal!$G$59=6,Cal!$AB$43=6,Cal!$W$44=6,Cal!$AB$45=6,Cal!$AB$47=6,Cal!$X$48=6,Cal!$AA$49=6,Cal!$AB$51=6,Cal!$Y$52=6,Cal!$Z$53=6,Cal!$AB$55=6,Cal!$Z$56=6,Cal!$Y$57=6,Cal!$W$59=6,Cal!$X$59=6,Cal!$Y$59=6,Cal!$Z$59=6,Cal!$AA$59=6,Cal!$AB$59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W34</xm:sqref>
        </x14:conditionalFormatting>
        <x14:conditionalFormatting xmlns:xm="http://schemas.microsoft.com/office/excel/2006/main">
          <x14:cfRule type="expression" priority="42" id="{2877C362-EBB6-4A36-9B59-B0329EA54D94}">
            <xm:f>OR(Cal!$H$43=6,Cal!$H$45=6,Cal!$H$47=6,Cal!$G$49=6,Cal!$H$51=6,Cal!$H$55=6,Cal!$C$44=6,Cal!$D$48=6,Cal!$E$52=6,Cal!$F$53=6,Cal!$F$56=6,Cal!$E$57=6,Cal!$C$59=6,Cal!$D$59=6,Cal!$E$59=6,Cal!$F$59=6,Cal!$G$59=6,Cal!$H$59=6,Cal!$AC$43=6,Cal!$AC$45=6,Cal!$AC$47=6,Cal!$AB$49=6,Cal!$AC$51=6,Cal!$AC$55=6,Cal!$Z$57=6,Cal!$AA$56=6,Cal!$AA$53=6,Cal!$Z$52=6,Cal!$Y$48=6,Cal!$X$44=6,Cal!$X$59=6,Cal!$Y$59=6,Cal!$Z$59=6,Cal!$AA$59=6,Cal!$AB$59=6,Cal!$AC$59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Y34</xm:sqref>
        </x14:conditionalFormatting>
        <x14:conditionalFormatting xmlns:xm="http://schemas.microsoft.com/office/excel/2006/main">
          <x14:cfRule type="expression" priority="41" id="{AABF1433-953A-4081-9CA1-5BB1259333F0}">
            <xm:f>OR(Cal!$N$43=6,Cal!$N$45=6,Cal!$N$47=6,Cal!$I$44=6,Cal!$J$48=6,Cal!$M$49=6,Cal!$N$51=6,Cal!$K$52=6,Cal!$L$53=6,Cal!$N$55=6,Cal!$L$56=6,Cal!$K$57=6,Cal!$I$59=6,Cal!$J$59=6,Cal!$K$59=6,Cal!$L$59=6,Cal!$M$59=6,Cal!$N$59=6,Cal!$AI$43=6,Cal!$AD$44=6,Cal!$AI$45=6,Cal!$AI$47=6,Cal!$AE$48=6,Cal!$AH$49=6,Cal!$AI$51=6,Cal!$AF$52=6,Cal!$AG$53=6,Cal!$AI$55=6,Cal!$AG$56=6,Cal!$AF$57=6,Cal!$AD$59=6,Cal!$AE$59=6,Cal!$AF$59=6,Cal!$AG$59=6,Cal!$AH$59=6,Cal!$AI$59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AK34</xm:sqref>
        </x14:conditionalFormatting>
        <x14:conditionalFormatting xmlns:xm="http://schemas.microsoft.com/office/excel/2006/main">
          <x14:cfRule type="expression" priority="40" id="{D8A5FB65-B7B1-4A2E-B3F3-DA0633400286}">
            <xm:f>OR(Cal!$O$43=6,Cal!$J$44=6,Cal!$O$45=6,Cal!$O$47=6,Cal!$K$48=6,Cal!$N$49=6,Cal!$O$51=6,Cal!$L$52=6,Cal!$M$53=6,Cal!$O$55=6,Cal!$M$56=6,Cal!$L$57=6,Cal!$J$59=6,Cal!$K$59=6,Cal!$L$59=6,Cal!$M$59=6,Cal!$N$59=6,Cal!$O$59=6,Cal!$AJ$43=6,Cal!$AE$44=6,Cal!$AJ$45=6,Cal!$AJ$47=6,Cal!$AF$48=6,Cal!$AI$49=6,Cal!$AJ$51=6,Cal!$AG$52=6,Cal!$AH$53=6,Cal!$AJ$55=6,Cal!$AH$56=6,Cal!$AG$57=6,Cal!$AE$59=6,Cal!$AF$59=6,Cal!$AG$59=6,Cal!$AH$59=6,Cal!$AI$59=6,Cal!$AJ$59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AM34</xm:sqref>
        </x14:conditionalFormatting>
        <x14:conditionalFormatting xmlns:xm="http://schemas.microsoft.com/office/excel/2006/main">
          <x14:cfRule type="expression" priority="39" id="{1A461EF9-F3BF-405A-A91E-83E1C81EFDA4}">
            <xm:f>OR(Cal!$P$43=6,Cal!$K$44=6,Cal!$P$47=6,Cal!$L$48=6,Cal!$O$49=6,Cal!$P$51=6,Cal!$M$52=6,Cal!$N$53=6,Cal!$P$55=6,Cal!$N$56=6,Cal!$M$57=6,Cal!$K$59=6,Cal!$L$59=6,Cal!$M$59=6,Cal!$N$59=6,Cal!$O$59=6,Cal!$AK$43=6,Cal!$AF$44=6,Cal!$AK$47=6,Cal!$AG$48=6,Cal!$AJ$49=6,Cal!$AK$51=6,Cal!$AH$52=6,Cal!$AI$53=6,Cal!$AK$55=6,Cal!$AI$56=6,Cal!$AH$57=6,Cal!$AF$59=6,Cal!$AG$59=6,Cal!$AH$59=6,Cal!$AI$59=6,Cal!$AJ$59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AO34</xm:sqref>
        </x14:conditionalFormatting>
        <x14:conditionalFormatting xmlns:xm="http://schemas.microsoft.com/office/excel/2006/main">
          <x14:cfRule type="expression" priority="38" id="{2F2F8BC5-67B1-4B8D-92AC-C1731862B2A3}">
            <xm:f>OR(Cal!$Q$3=6,Cal!$Q$7=6,Cal!$Q$11=6,Cal!$Q$15=6,Cal!$Q$19=6,Cal!$M$4=6,Cal!$N$8=6,Cal!$O$9=6,Cal!$O$12=6,Cal!$N$13=6,Cal!$M$17=6,Cal!$L$18=6,Cal!$M$18=6,Cal!$N$18=6,Cal!$O$18=6,Cal!$L$21=6,Cal!$AL$3=6,Cal!$AL$7=6,Cal!$AL$11=6,Cal!$AL$15=6,Cal!$AL$19=6,Cal!$AH$4=6,Cal!$AI$8=6,Cal!$AJ$9=6,Cal!$AJ$12=6,Cal!$AI$13=6,Cal!$AH$17=6,Cal!$AG$18=6,Cal!$AH$18=6,Cal!$AI$18=6,Cal!$AJ$18=6,Cal!$AG$21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AQ12</xm:sqref>
        </x14:conditionalFormatting>
        <x14:conditionalFormatting xmlns:xm="http://schemas.microsoft.com/office/excel/2006/main">
          <x14:cfRule type="expression" priority="37" id="{5D0E5031-EBFE-45FF-A426-FF4B00F55370}">
            <xm:f>OR(Cal!$Q$3=6,Cal!$Q$7=6,Cal!$Q$11=6,Cal!$Q$15=6,Cal!$Q$19=6,Cal!$Q$23=6,Cal!$L$4=6,Cal!$M$8=6,Cal!$N$12=6,Cal!$O$13=6,Cal!$O$16=6,Cal!$N$17=6,Cal!$M$21=6,Cal!$L$22=6,Cal!$M$22=6,Cal!$N$22=6,Cal!$O$22=6,Cal!$L$25=6,Cal!$AL$3=6,Cal!$AL$7=6,Cal!$AL$11=6,Cal!$AL$15=6,Cal!$AL$19=6,Cal!$AL$23=6,Cal!$AG$4=6,Cal!$AH$8=6,Cal!$AI$12=6,Cal!$AJ$13=6,Cal!$AJ$16=6,Cal!$AI$17=6,Cal!$AH$21=6,Cal!$AG$22=6,Cal!$AH$22=6,Cal!$AI$22=6,Cal!$AJ$22=6,Cal!$AG$25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AQ14</xm:sqref>
        </x14:conditionalFormatting>
        <x14:conditionalFormatting xmlns:xm="http://schemas.microsoft.com/office/excel/2006/main">
          <x14:cfRule type="expression" priority="36" id="{2DBE4025-FA2B-494C-B24F-9540CD4FA910}">
            <xm:f>OR(Cal!$Q$7=6,Cal!$Q$11=6,Cal!$Q$15=6,Cal!$Q$19=6,Cal!$Q$23=6,Cal!$Q$27=6,Cal!$L$8=6,Cal!$M$12=6,Cal!$N$16=6,Cal!$O$17=6,Cal!$O$20=6,Cal!$N$21=6,Cal!$M$25=6,Cal!$L$26=6,Cal!$M$26=6,Cal!$N$26=6,Cal!$O$26=6,Cal!$L$29=6,Cal!$AL$7=6,Cal!$AL$11=6,Cal!$AL$15=6,Cal!$AL$19=6,Cal!$AL$23=6,Cal!$AL$27=6,Cal!$AG$8=6,Cal!$AH$12=6,Cal!$AI$16=6,Cal!$AJ$17=6,Cal!$AJ$20=6,Cal!$AI$21=6,Cal!$AH$25=6,Cal!$AG$26=6,Cal!$AH$26=6,Cal!$AI$26=6,Cal!$AJ$26=6,Cal!$AG$29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AQ16</xm:sqref>
        </x14:conditionalFormatting>
        <x14:conditionalFormatting xmlns:xm="http://schemas.microsoft.com/office/excel/2006/main">
          <x14:cfRule type="expression" priority="35" id="{F951A31F-1369-4076-BF88-17E10186F406}">
            <xm:f>OR(Cal!$Q$31=6,Cal!$Q$35=6,Cal!$Q$39=6,Cal!$Q$43=6,Cal!$Q$47=6,Cal!$Q$51=6,Cal!$L$32=6,Cal!$M$36=6,Cal!$N$40=6,Cal!$O$41=6,Cal!$O$44=6,Cal!$N$45=6,Cal!$M$49=6,Cal!$L$50=6,Cal!$M$50=6,Cal!$N$50=6,Cal!$O$50=6,Cal!$L$53=6,Cal!$AL$31=6,Cal!$AL$35=6,Cal!$AL$39=6,Cal!$AL$43=6,Cal!$AL$47=6,Cal!$AL$51=6,Cal!$AG$32=6,Cal!$AH$36=6,Cal!$AI$40=6,Cal!$AJ$41=6,Cal!$AJ$44=6,Cal!$AI$45=6,Cal!$AH$49=6,Cal!$AG$50=6,Cal!$AH$50=6,Cal!$AI$50=6,Cal!$AJ$50=6,Cal!$AG$53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AQ28</xm:sqref>
        </x14:conditionalFormatting>
        <x14:conditionalFormatting xmlns:xm="http://schemas.microsoft.com/office/excel/2006/main">
          <x14:cfRule type="expression" priority="34" id="{FFD8A9F9-3E9E-4811-92DF-8FDAEF4B5A0B}">
            <xm:f>OR(Cal!$Q$35=6,Cal!$Q$39=6,Cal!$Q$43=6,Cal!$Q$47=6,Cal!$Q$51=6,Cal!$Q$55=6,Cal!$L$36=6,Cal!$M$40=6,Cal!$N$44=6,Cal!$O$45=6,Cal!$O$48=6,Cal!$N$49=6,Cal!$M$53=6,Cal!$L$54=6,Cal!$M$54=6,Cal!$N$54=6,Cal!$O$54=6,Cal!$L$57=6,Cal!$AL$35=6,Cal!$AL$39=6,Cal!$AL$43=6,Cal!$AL$47=6,Cal!$AL$51=6,Cal!$AL$55=6,Cal!$AG$36=6,Cal!$AH$40=6,Cal!$AI$44=6,Cal!$AJ$45=6,Cal!$AJ$48=6,Cal!$AI$49=6,Cal!$AH$53=6,Cal!$AG$54=6,Cal!$AH$54=6,Cal!$AI$54=6,Cal!$AJ$54=6,Cal!$AG$57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AQ30</xm:sqref>
        </x14:conditionalFormatting>
        <x14:conditionalFormatting xmlns:xm="http://schemas.microsoft.com/office/excel/2006/main">
          <x14:cfRule type="expression" priority="33" id="{2AB8254B-4105-4FFA-9E67-07119F136B93}">
            <xm:f>OR(Cal!$Q$39=6,Cal!$Q$43=6,Cal!$Q$47=6,Cal!$Q$51=6,Cal!$Q$55=6,Cal!$L$40=6,Cal!$M$44=6,Cal!$N$48=6,Cal!$O$49=6,Cal!$O$52=6,Cal!$N$53=6,Cal!$M$57=6,Cal!$L$58=6,Cal!$M$58=6,Cal!$N$58=6,Cal!$O$58=6,Cal!$AL$39=6,Cal!$AL$43=6,Cal!$AL$47=6,Cal!$AL$51=6,Cal!$AL$55=6,Cal!$AG$40=6,Cal!$AH$44=6,Cal!$AI$48=6,Cal!$AJ$49=6,Cal!$AJ$52=6,Cal!$AI$53=6,Cal!$AH$57=6,Cal!$AG$58=6,Cal!$AH$58=6,Cal!$AI$58=6,Cal!$AJ$58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AQ32</xm:sqref>
        </x14:conditionalFormatting>
        <x14:conditionalFormatting xmlns:xm="http://schemas.microsoft.com/office/excel/2006/main">
          <x14:cfRule type="expression" priority="32" id="{62715AB1-0FB8-499C-9C0C-C522D99BBD02}">
            <xm:f>OR(Cal!$H$3=6,Cal!$C$4=6,Cal!$H$5=6,Cal!$H$7=6,Cal!$D$8=6,Cal!$G$9=6,Cal!$H$11=6,Cal!$E$12=6,Cal!$F$13=6,Cal!$H$15=6,Cal!$F$16=6,Cal!$E$17=6,Cal!$H$19=6,Cal!$G$20=6,Cal!$D$21=6,Cal!$C$22=6,Cal!$D$22=6,Cal!$E$22=6,Cal!$F$22=6,Cal!$G$22=6,Cal!$H$22=6,Cal!$H$23=6,Cal!$H$24=6,Cal!$C$25=6,Cal!$AC$3=6,Cal!$X$4=6,Cal!$AC$5=6,Cal!$AC$7=6,Cal!$Y$8=6,Cal!$AB$9=6,Cal!$AC$11=6,Cal!$Z$12=6,Cal!$AA$13=6,Cal!$AC$15=6,Cal!$AA$16=6,Cal!$Z$17=6,Cal!$AC$19=6,Cal!$AB$20=6,Cal!$Y$21=6,Cal!$X$22=6,Cal!$Y$22=6,Cal!$Z$22=6,Cal!$AA$22=6,Cal!$AB$22=6,Cal!$AC$22=6,Cal!$AC$23=6,Cal!$AC$24=6,Cal!$X$25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Y14</xm:sqref>
        </x14:conditionalFormatting>
        <x14:conditionalFormatting xmlns:xm="http://schemas.microsoft.com/office/excel/2006/main">
          <x14:cfRule type="expression" priority="31" id="{06998263-69F2-4B21-B7AB-98DF2440BCAB}">
            <xm:f>OR(Cal!$I$3=6,Cal!$D$4=6,Cal!$I$5=6,Cal!$I$7=6,Cal!$E$8=6,Cal!$H$9=6,Cal!$I$11=6,Cal!$F$12=6,Cal!$G$13=6,Cal!$I$15=6,Cal!$G$16=6,Cal!$F$17=6,Cal!$I$19=6,Cal!$H$20=6,Cal!$E$21=6,Cal!$D$22=6,Cal!$E$22=6,Cal!$F$22=6,Cal!$G$22=6,Cal!$H$22=6,Cal!$I$22=6,Cal!$I$23=6,Cal!$I$24=6,Cal!$D$25=6,Cal!$AD$3=6,Cal!$Y$4=6,Cal!$AD$5=6,Cal!$AD$7=6,Cal!$Z$8=6,Cal!$AC$9=6,Cal!$AD$11=6,Cal!$AA$12=6,Cal!$AB$13=6,Cal!$AD$15=6,Cal!$AB$16=6,Cal!$AA$17=6,Cal!$AD$19=6,Cal!$AC$20=6,Cal!$Z$21=6,Cal!$Y$22=6,Cal!$Z$22=6,Cal!$AA$22=6,Cal!$AB$22=6,Cal!$AC$22=6,Cal!$AD$22=6,Cal!$AD$23=6,Cal!$AD$24=6,Cal!$Y$25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AA14</xm:sqref>
        </x14:conditionalFormatting>
        <x14:conditionalFormatting xmlns:xm="http://schemas.microsoft.com/office/excel/2006/main">
          <x14:cfRule type="expression" priority="30" id="{4632D3BA-4E6E-49BC-AD85-AAA49B36E84A}">
            <xm:f>OR(Cal!$M$3=6,Cal!$H$4=6,Cal!$M$5=6,Cal!$M$7=6,Cal!$I$8=6,Cal!$L$9=6,Cal!$M$11=6,Cal!$J$12=6,Cal!$K$13=6,Cal!$M$15=6,Cal!$K$16=6,Cal!$J$17=6,Cal!$M$19=6,Cal!$L$20=6,Cal!$I$21=6,Cal!$H$22=6,Cal!$I$22=6,Cal!$J$22=6,Cal!$K$22=6,Cal!$L$22=6,Cal!$M$22=6,Cal!$M$23=6,Cal!$M$24=6,Cal!$H$25=6,Cal!$AH$3=6,Cal!$AC$4=6,Cal!$AH$5=6,Cal!$AH$7=6,Cal!$AD$8=6,Cal!$AG$9=6,Cal!$AH$11=6,Cal!$AE$12=6,Cal!$AF$13=6,Cal!$AH$15=6,Cal!$AF$16=6,Cal!$AE$17=6,Cal!$AH$19=6,Cal!$AG$20=6,Cal!$AD$21=6,Cal!$AC$22=6,Cal!$AD$22=6,Cal!$AE$22=6,Cal!$AF$22=6,Cal!$AG$22=6,Cal!$AH$22=6,Cal!$AH$23=6,Cal!$AH$24=6,Cal!$AC$25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AI14</xm:sqref>
        </x14:conditionalFormatting>
        <x14:conditionalFormatting xmlns:xm="http://schemas.microsoft.com/office/excel/2006/main">
          <x14:cfRule type="expression" priority="29" id="{87A230AE-7EEA-4F06-BA26-9C14ED1FDC9B}">
            <xm:f>OR(Cal!$N$3=6,Cal!$I$4=6,Cal!$N$5=6,Cal!$N$7=6,Cal!$J$8=6,Cal!$M$9=6,Cal!$N$11=6,Cal!$K$12=6,Cal!$L$13=6,Cal!$N$15=6,Cal!$L$16=6,Cal!$K$17=6,Cal!$N$19=6,Cal!$M$20=6,Cal!$J$21=6,Cal!$I$22=6,Cal!$J$22=6,Cal!$K$22=6,Cal!$L$22=6,Cal!$M$22=6,Cal!$N$22=6,Cal!$N$23=6,Cal!$N$24=6,Cal!$I$25=6,Cal!$AI$3=6,Cal!$AD$4=6,Cal!$AI$5=6,Cal!$AI$7=6,Cal!$AE$8=6,Cal!$AH$9=6,Cal!$AI$11=6,Cal!$AF$12=6,Cal!$AG$13=6,Cal!$AI$15=6,Cal!$AG$16=6,Cal!$AF$17=6,Cal!$AI$19=6,Cal!$AH$20=6,Cal!$AE$21=6,Cal!$AD$22=6,Cal!$AE$22=6,Cal!$AF$22=6,Cal!$AG$22=6,Cal!$AH$22=6,Cal!$AI$22=6,Cal!$AI$23=6,Cal!$AI$23=6,Cal!$AD$25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AK14</xm:sqref>
        </x14:conditionalFormatting>
        <x14:conditionalFormatting xmlns:xm="http://schemas.microsoft.com/office/excel/2006/main">
          <x14:cfRule type="expression" priority="28" id="{E0954AC4-15FE-41F5-B794-B68562014E32}">
            <xm:f>OR(Cal!$H$35=6,Cal!$C$36=6,Cal!$H$37=6,Cal!$H$39=6,Cal!$D$40=6,Cal!$G$41=6,Cal!$H$43=6,Cal!$E$44=6,Cal!$F$45=6,Cal!$H$47=6,Cal!$F$48=6,Cal!$E$49=6,Cal!$H$51=6,Cal!$G$52=6,Cal!$D$53=6,Cal!$C$54=6,Cal!$D$54=6,Cal!$E$54=6,Cal!$F$54=6,Cal!$G$54=6,Cal!$H$54=6,Cal!$H$55=6,Cal!$H$56=6,Cal!$C$57=6,Cal!$AC$35=6,Cal!$X$36=6,Cal!$AC$37=6,Cal!$AC$39=6,Cal!$Y$40=6,Cal!$AB$41=6,Cal!$AC$43=6,Cal!$Z$44=6,Cal!$AA$45=6,Cal!$AC$47=6,Cal!$AA$48=6,Cal!$Z$49=6,Cal!$AC$51=6,Cal!$AB$52=6,Cal!$Y$53=6,Cal!$X$54=6,Cal!$Y$54=6,Cal!$Z$54=6,Cal!$AA$54=6,Cal!$AB$54=6,Cal!$AC$54=6,Cal!$AC$55=6,Cal!$AC$56=6,Cal!$X$57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Y30</xm:sqref>
        </x14:conditionalFormatting>
        <x14:conditionalFormatting xmlns:xm="http://schemas.microsoft.com/office/excel/2006/main">
          <x14:cfRule type="expression" priority="27" id="{6B218FAF-74F0-4E5A-A34D-A329B5DE0A28}">
            <xm:f>OR(Cal!$I$35=6,Cal!$D$36=6,Cal!$I$37=6,Cal!$I$39=6,Cal!$E$40=6,Cal!$H$41=6,Cal!$I$43=6,Cal!$F$44=6,Cal!$G$45=6,Cal!$I$47=6,Cal!$G$48=6,Cal!$F$49=6,Cal!$I$51=6,Cal!$H$52=6,Cal!$E$53=6,Cal!$D$54=6,Cal!$E$54=6,Cal!$F$54=6,Cal!$G$54=6,Cal!$H$54=6,Cal!$I$54=6,Cal!$I$55=6,Cal!$I$56=6,Cal!$D$57=6,Cal!$AD$35=6,Cal!$Y$36=6,Cal!$AD$37=6,Cal!$AD$39=6,Cal!$Z$40=6,Cal!$AC$41=6,Cal!$AD$43=6,Cal!$AA$44=6,Cal!$AB$45=6,Cal!$AD$47=6,Cal!$AB$48=6,Cal!$AA$49=6,Cal!$AD$51=6,Cal!$AC$52=6,Cal!$Z$53=6,Cal!$Y$54=6,Cal!$Z$54=6,Cal!$AA$54=6,Cal!$AB$54=6,Cal!$AC$54=6,Cal!$AD$54=6,Cal!$AD$55=6,Cal!$AD$56=6,Cal!$Y$57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AA30</xm:sqref>
        </x14:conditionalFormatting>
        <x14:conditionalFormatting xmlns:xm="http://schemas.microsoft.com/office/excel/2006/main">
          <x14:cfRule type="expression" priority="26" id="{D0760261-F7AC-4645-942B-5ED904C58C42}">
            <xm:f>OR(Cal!$M$35=6,Cal!$H$36=6,Cal!$M$37=6,Cal!$M$39=6,Cal!$I$40=6,Cal!$L$41=6,Cal!$M$43=6,Cal!$J$44=6,Cal!$K$45=6,Cal!$M$47=6,Cal!$K$48=6,Cal!$J$49=6,Cal!$M$51=6,Cal!$L$52=6,Cal!$I$53=6,Cal!$H$54=6,Cal!$I$54=6,Cal!$J$54=6,Cal!$K$54=6,Cal!$L$54=6,Cal!$M$54=6,Cal!$M$55=6,Cal!$M$56=6,Cal!$H$57=6,Cal!$AH$35=6,Cal!$AC$36=6,Cal!$AH$37=6,Cal!$AH$39=6,Cal!$AD$40=6,Cal!$AG$41=6,Cal!$AH$43=6,Cal!$AE$44=6,Cal!$AF$45=6,Cal!$AH$47=6,Cal!$AF$48=6,Cal!$AE$49=6,Cal!$AH$51=6,Cal!$AG$52=6,Cal!$AD$53=6,Cal!$AC$54=6,Cal!$AD$54=6,Cal!$AE$54=6,Cal!$AF$54=6,Cal!$AG$54=6,Cal!$AH$54=6,Cal!$AH$55=6,Cal!$AH$56=6,Cal!$AC$57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AI30</xm:sqref>
        </x14:conditionalFormatting>
        <x14:conditionalFormatting xmlns:xm="http://schemas.microsoft.com/office/excel/2006/main">
          <x14:cfRule type="expression" priority="25" id="{75C2F346-3C42-43DF-8830-133826D33FE2}">
            <xm:f>OR(Cal!$N$35=6,Cal!$I$36=6,Cal!$N$37=6,Cal!$N$39=6,Cal!$J$40=6,Cal!$M$41=6,Cal!$N$43=6,Cal!$K$44=6,Cal!$L$45=6,Cal!$N$47=6,Cal!$L$48=6,Cal!$K$49=6,Cal!$N$51=6,Cal!$M$52=6,Cal!$J$53=6,Cal!$I$54=6,Cal!$J$54=6,Cal!$K$54=6,Cal!$L$54=6,Cal!$M$54=6,Cal!$N$54=6,Cal!$N$55=6,Cal!$N$56=6,Cal!$I$57=6,Cal!$AI$35=6,Cal!$AD$36=6,Cal!$AI$37=6,Cal!$AI$39=6,Cal!$AE$40=6,Cal!$AH$41=6,Cal!$AI$43=6,Cal!$AF$44=6,Cal!$AG$45=6,Cal!$AI$47=6,Cal!$AG$48=6,Cal!$AF$49=6,Cal!$AI$51=6,Cal!$AH$52=6,Cal!$AE$53=6,Cal!$AD$54=6,Cal!$AE$54=6,Cal!$AF$54=6,Cal!$AG$54=6,Cal!$AH$54=6,Cal!$AI$54=6,Cal!$AI$55=6,Cal!$AI$56=6,Cal!$AD$57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AK30</xm:sqref>
        </x14:conditionalFormatting>
        <x14:conditionalFormatting xmlns:xm="http://schemas.microsoft.com/office/excel/2006/main">
          <x14:cfRule type="expression" priority="24" id="{92705E07-CA84-4216-B054-6FCCFF602D30}">
            <xm:f>OR(Cal!$G$7=6,Cal!$B$8=6,Cal!$G$9=6,Cal!$G$11=6,Cal!$C$12=6,Cal!$F$13=6,Cal!$G$15=6,Cal!$D$16=6,Cal!$E$17=6,Cal!$G$19=6,Cal!$E$20=6,Cal!$D$21=6,Cal!$G$23=6,Cal!$F$24=6,Cal!$C$25=6,Cal!$B$26=6,Cal!$C$26=6,Cal!$D$26=6,Cal!$E$26=6,Cal!$F$26=6,Cal!$G$26=6,Cal!$G$27=6,Cal!$G$28=6,Cal!$B$29=6,Cal!$AB$7=6,Cal!$W$8=6,Cal!$AB$9=6,Cal!$AB$11=6,Cal!$X$12=6,Cal!$AA$13=6,Cal!$AB$15=6,Cal!$Y$16=6,Cal!$Z$17=6,Cal!$AB$19=6,Cal!$Z$20=6,Cal!$Y$21=6,Cal!$AB$23=6,Cal!$AA$24=6,Cal!$X$25=6,Cal!$W$26=6,Cal!$X$26=6,Cal!$Y$26=6,Cal!$Z$26=6,Cal!$AA$26=6,Cal!$AB$26=6,Cal!$AB$27=6,Cal!$AB$28=6,Cal!$W$29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W16</xm:sqref>
        </x14:conditionalFormatting>
        <x14:conditionalFormatting xmlns:xm="http://schemas.microsoft.com/office/excel/2006/main">
          <x14:cfRule type="expression" priority="23" id="{AD4A14EA-BAE5-46CD-91C2-8107D5E1383A}">
            <xm:f>OR(Cal!$G$11=6,Cal!$B$12=6,Cal!$G$13=6,Cal!$G$15=6,Cal!$C$16=6,Cal!$F$17=6,Cal!$G$19=6,Cal!$D$20=6,Cal!$E$21=6,Cal!$G$23=6,Cal!$E$24=6,Cal!$D$25=6,Cal!$G$27=6,Cal!$F$28=6,Cal!$C$29=6,Cal!$B$30=6,Cal!$C$30=6,Cal!$D$30=6,Cal!$E$30=6,Cal!$F$30=6,Cal!$G$30=6,Cal!$G$31=6,Cal!$G$32=6,Cal!$B$33=6,Cal!$AB$11=6,Cal!$W$12=6,Cal!$AB$13=6,Cal!$AB$15=6,Cal!$X$16=6,Cal!$AA$17=6,Cal!$AB$19=6,Cal!$Y$20=6,Cal!$Z$21=6,Cal!$AB$23=6,Cal!$Z$24=6,Cal!$Y$25=6,Cal!$AB$27=6,Cal!$AA$28=6,Cal!$X$29=6,Cal!$W$30=6,Cal!$X$30=6,Cal!$Y$30=6,Cal!$Z$30=6,Cal!$AA$30=6,Cal!$AB$30=6,Cal!$AB$31=6,Cal!$AB$32=6,Cal!$W$33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W18</xm:sqref>
        </x14:conditionalFormatting>
        <x14:conditionalFormatting xmlns:xm="http://schemas.microsoft.com/office/excel/2006/main">
          <x14:cfRule type="expression" priority="22" id="{2F01492F-25B5-4881-B8C6-6E543B7E2102}">
            <xm:f>OR(Cal!$G$27=6,Cal!$B$28=6,Cal!$G$29=6,Cal!$G$31=6,Cal!$C$32=6,Cal!$F$33=6,Cal!$G$35=6,Cal!$D$36=6,Cal!$E$37=6,Cal!$G$39=6,Cal!$E$40=6,Cal!$D$41=6,Cal!$G$43=6,Cal!$F$44=6,Cal!$C$45=6,Cal!$B$46=6,Cal!$C$46=6,Cal!$D$46=6,Cal!$E$46=6,Cal!$F$46=6,Cal!$G$46=6,Cal!$G$47=6,Cal!$G$48=6,Cal!$B$49=6,Cal!$AB$27=6,Cal!$W$28=6,Cal!$AB$29=6,Cal!$AB$31=6,Cal!$X$32=6,Cal!$AA$33=6,Cal!$AB$35=6,Cal!$Y$36=6,Cal!$Z$37=6,Cal!$AB$39=6,Cal!$Z$40=6,Cal!$Y$41=6,Cal!$AB$43=6,Cal!$AA$44=6,Cal!$X$45=6,Cal!$W$46=6,Cal!$X$46=6,Cal!$Y$46=6,Cal!$Z$46=6,Cal!$AA$46=6,Cal!$AB$46=6,Cal!$AB$47=6,Cal!$AB$48=6,Cal!$W$49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W26</xm:sqref>
        </x14:conditionalFormatting>
        <x14:conditionalFormatting xmlns:xm="http://schemas.microsoft.com/office/excel/2006/main">
          <x14:cfRule type="expression" priority="21" id="{A19ADE08-3B1D-43BC-98DD-2F825B12A7CF}">
            <xm:f>OR(Cal!$G$31=6,Cal!$B$32=6,Cal!$G$33=6,Cal!$G$35=6,Cal!$C$36=6,Cal!$F$37=6,Cal!$G$39=6,Cal!$D$40=6,Cal!$E$41=6,Cal!$G$43=6,Cal!$E$44=6,Cal!$D$45=6,Cal!$G$47=6,Cal!$F$48=6,Cal!$C$49=6,Cal!$B$50=6,Cal!$C$50=6,Cal!$D$50=6,Cal!$E$50=6,Cal!$F$50=6,Cal!$G$50=6,Cal!$G$51=6,Cal!$G$52=6,Cal!$B$53=6,Cal!$AB$31=6,Cal!$W$32=6,Cal!$AB$33=6,Cal!$AB$35=6,Cal!$X$36=6,Cal!$AA$37=6,Cal!$AB$39=6,Cal!$Y$40=6,Cal!$Z$41=6,Cal!$AB$43=6,Cal!$Z$44=6,Cal!$Y$45=6,Cal!$AB$47=6,Cal!$AA$48=6,Cal!$X$49=6,Cal!$W$50=6,Cal!$X$50=6,Cal!$Y$50=6,Cal!$Z$50=6,Cal!$AA$50=6,Cal!$AB$50=6,Cal!$AB$51=6,Cal!$AB$52=6,Cal!$W$53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W28</xm:sqref>
        </x14:conditionalFormatting>
        <x14:conditionalFormatting xmlns:xm="http://schemas.microsoft.com/office/excel/2006/main">
          <x14:cfRule type="expression" priority="20" id="{463E8AB3-41A2-4D12-80E5-64B75EF76E35}">
            <xm:f>OR(Cal!$O$7=6,Cal!$J$8=6,Cal!$O$9=6,Cal!$O$11=6,Cal!$K$12=6,Cal!$N$13=6,Cal!$O$15=6,Cal!$L$16=6,Cal!$M$17=6,Cal!$O$19=6,Cal!$M$20=6,Cal!$L$21=6,Cal!$O$23=6,Cal!$N$24=6,Cal!$K$25=6,Cal!$J$26=6,Cal!$K$26=6,Cal!$L$26=6,Cal!$M$26=6,Cal!$N$26=6,Cal!$O$26=6,Cal!$O$27=6,Cal!$O$28=6,Cal!$J$29=6,Cal!$AJ$7=6,Cal!$AE$8=6,Cal!$AJ$9=6,Cal!$AJ$11=6,Cal!$AF$12=6,Cal!$AI$13=6,Cal!$AJ$15=6,Cal!$AG$16=6,Cal!$AH$17=6,Cal!$AJ$19=6,Cal!$AH$20=6,Cal!$AG$21=6,Cal!$AJ$23=6,Cal!$AI$24=6,Cal!$AF$25=6,Cal!$AE$26=6,Cal!$AF$26=6,Cal!$AG$26=6,Cal!$AH$26=6,Cal!$AI$26=6,Cal!$AJ$26=6,Cal!$AJ$27=6,Cal!$AJ$28=6,Cal!$AE$29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AM16</xm:sqref>
        </x14:conditionalFormatting>
        <x14:conditionalFormatting xmlns:xm="http://schemas.microsoft.com/office/excel/2006/main">
          <x14:cfRule type="expression" priority="19" id="{A1806A1A-6177-4AD7-A8ED-3F17E41602A1}">
            <xm:f>OR(Cal!$O$11=6,Cal!$J$12=6,Cal!$O$13=6,Cal!$O$15=6,Cal!$K$16=6,Cal!$N$17=6,Cal!$O$19=6,Cal!$L$20=6,Cal!$M$21=6,Cal!$O$23=6,Cal!$M$24=6,Cal!$L$25=6,Cal!$O$27=6,Cal!$N$28=6,Cal!$K$29=6,Cal!$J$30=6,Cal!$K$30=6,Cal!$L$30=6,Cal!$M$30=6,Cal!$N$30=6,Cal!$O$30=6,Cal!$O$31=6,Cal!$O$32=6,Cal!$J$33=6,Cal!$AJ$11=6,Cal!$AE$12=6,Cal!$AJ$13=6,Cal!$AJ$15=6,Cal!$AF$16=6,Cal!$AI$17=6,Cal!$AJ$19=6,Cal!$AG$20=6,Cal!$AH$21=6,Cal!$AJ$23=6,Cal!$AH$24=6,Cal!$AG$25=6,Cal!$AJ$27=6,Cal!$AI$28=6,Cal!$AF$29=6,Cal!$AE$30=6,Cal!$AF$30=6,Cal!$AG$30=6,Cal!$AH$30=6,Cal!$AI$30=6,Cal!$AJ$30=6,Cal!$AJ$31=6,Cal!$AJ$32=6,Cal!$AE$33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AM18</xm:sqref>
        </x14:conditionalFormatting>
        <x14:conditionalFormatting xmlns:xm="http://schemas.microsoft.com/office/excel/2006/main">
          <x14:cfRule type="expression" priority="18" id="{739ABF50-071A-4DBA-B4B8-BBE645DF5B48}">
            <xm:f>OR(Cal!$O$27=6,Cal!$J$28=6,Cal!$O$29=6,Cal!$O$31=6,Cal!$K$32=6,Cal!$N$33=6,Cal!$O$35=6,Cal!$L$36=6,Cal!$M$37=6,Cal!$O$39=6,Cal!$M$40=6,Cal!$L$41=6,Cal!$O$43=6,Cal!$N$44=6,Cal!$K$45=6,Cal!$J$46=6,Cal!$K$46=6,Cal!$L$46=6,Cal!$M$46=6,Cal!$N$46=6,Cal!$O$46=6,Cal!$O$47=6,Cal!$O$48=6,Cal!$J$49=6,Cal!$AJ$27=6,Cal!$AE$28=6,Cal!$AJ$29=6,Cal!$AJ$31=6,Cal!$AF$32=6,Cal!$AI$33=6,Cal!$AJ$35=6,Cal!$AG$36=6,Cal!$AH$37=6,Cal!$AJ$39=6,Cal!$AH$40=6,Cal!$AG$41=6,Cal!$AJ$43=6,Cal!$AI$44=6,Cal!$AF$45=6,Cal!$AE$46=6,Cal!$AF$46=6,Cal!$AG$46=6,Cal!$AH$46=6,Cal!$AI$46=6,Cal!$AJ$46=6,Cal!$AJ$47=6,Cal!$AJ$48=6,Cal!$AE$49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AM26</xm:sqref>
        </x14:conditionalFormatting>
        <x14:conditionalFormatting xmlns:xm="http://schemas.microsoft.com/office/excel/2006/main">
          <x14:cfRule type="expression" priority="17" id="{50BE77E9-B455-468D-B4E3-079DC5B824E9}">
            <xm:f>OR(Cal!$O$31=6,Cal!$J$32=6,Cal!$O$33=6,Cal!$O$35=6,Cal!$K$36=6,Cal!$N$37=6,Cal!$O$39=6,Cal!$L$40=6,Cal!$M$41=6,Cal!$O$43=6,Cal!$M$44=6,Cal!$L$45=6,Cal!$O$47=6,Cal!$N$48=6,Cal!$K$49=6,Cal!$J$50=6,Cal!$K$50=6,Cal!$L$50=6,Cal!$M$50=6,Cal!$N$50=6,Cal!$O$50=6,Cal!$O$51=6,Cal!$O$52=6,Cal!$J$53=6,Cal!$AJ$31=6,Cal!$AE$32=6,Cal!$AJ$33=6,Cal!$AJ$35=6,Cal!$AF$36=6,Cal!$AI$37=6,Cal!$AJ$39=6,Cal!$AG$40=6,Cal!$AH$41=6,Cal!$AJ$43=6,Cal!$AH$44=6,Cal!$AG$45=6,Cal!$AJ$47=6,Cal!$AI$48=6,Cal!$AF$49=6,Cal!$AE$50=6,Cal!$AF$50=6,Cal!$AG$50=6,Cal!$AH$50=6,Cal!$AI$50=6,Cal!$AJ$50=6,Cal!$AJ$51=6,Cal!$AJ$52=6,Cal!$AE$53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AM28</xm:sqref>
        </x14:conditionalFormatting>
        <x14:conditionalFormatting xmlns:xm="http://schemas.microsoft.com/office/excel/2006/main">
          <x14:cfRule type="expression" priority="16" id="{7C599B6B-AB63-46D1-9067-194A09623821}">
            <xm:f>OR(Cal!$G$3=6,Cal!$C$4=6,Cal!$F$5=6,Cal!$G$7=6,Cal!$D$8=6,Cal!$E$9=6,Cal!$G$11=6,Cal!$E$12=6,Cal!$D$13=6,Cal!$G$15=6,Cal!$F$16=6,Cal!$C$17=6,Cal!$B$18=6,Cal!$C$18=6,Cal!$D$18=6,Cal!$E$18=6,Cal!$F$18=6,Cal!$G$18=6,Cal!$G$19=6,Cal!$G$20=6,Cal!$B$21=6,Cal!$AB$3=6,Cal!$X$4=6,Cal!$AA$5=6,Cal!$AB$7=6,Cal!$Y$8=6,Cal!$Z$9=6,Cal!$AB$11=6,Cal!$Z$12=6,Cal!$Y$13=6,Cal!$AB$15=6,Cal!$AA$16=6,Cal!$X$17=6,Cal!$W$18=6,Cal!$X$18=6,Cal!$Y$18=6,Cal!$Z$18=6,Cal!$AA$18=6,Cal!$AB$18=6,Cal!$AB$19=6,Cal!$AB$20=6,Cal!$W$21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W12</xm:sqref>
        </x14:conditionalFormatting>
        <x14:conditionalFormatting xmlns:xm="http://schemas.microsoft.com/office/excel/2006/main">
          <x14:cfRule type="expression" priority="15" id="{17A8C38D-6284-4272-9D71-BA20C398F625}">
            <xm:f>OR(Cal!$I$3=6,Cal!$E$4=6,Cal!$H$5=6,Cal!$I$7=6,Cal!$F$8=6,Cal!$G$9=6,Cal!$I$11=6,Cal!$G$12=6,Cal!$F$13=6,Cal!$I$15=6,Cal!$H$16=6,Cal!$E$17=6,Cal!$D$18=6,Cal!$E$18=6,Cal!$F$18=6,Cal!$G$18=6,Cal!$H$18=6,Cal!$I$18=6,Cal!$I$19=6,Cal!$I$20=6,Cal!$D$21=6,Cal!$AD$3=6,Cal!$Z$4=6,Cal!$AC$5=6,Cal!$AD$7=6,Cal!$AA$8=6,Cal!$AB$9=6,Cal!$AD$11=6,Cal!$AB$12=6,Cal!$AA$13=6,Cal!$AD$15=6,Cal!$AC$16=6,Cal!$Z$17=6,Cal!$Y$18=6,Cal!$Z$18=6,Cal!$AA$18=6,Cal!$AB$18=6,Cal!$AC$18=6,Cal!$AD$18=6,Cal!$AD$19=6,Cal!$AD$20=6,Cal!$Y$21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AA12</xm:sqref>
        </x14:conditionalFormatting>
        <x14:conditionalFormatting xmlns:xm="http://schemas.microsoft.com/office/excel/2006/main">
          <x14:cfRule type="expression" priority="14" id="{6033DABF-0D06-4D13-B4B2-155CF71BEADD}">
            <xm:f>OR(Cal!$M$3=6,Cal!$I$4=6,Cal!$L$5=6,Cal!$M$7=6,Cal!$J$8=6,Cal!$K$9=6,Cal!$M$11=6,Cal!$K$12=6,Cal!$J$13=6,Cal!$M$15=6,Cal!$L$16=6,Cal!$I$17=6,Cal!$H$18=6,Cal!$I$18=6,Cal!$J$18=6,Cal!$K$18=6,Cal!$L$18=6,Cal!$M$18=6,Cal!$M$19=6,Cal!$M$20=6,Cal!$H$21=6,Cal!$AH$3=6,Cal!$AD$4=6,Cal!$AG$5=6,Cal!$AH$7=6,Cal!$AE$8=6,Cal!$AF$9=6,Cal!$AH$11=6,Cal!$AF$12=6,Cal!$AE$13=6,Cal!$AH$15=6,Cal!$AG$16=6,Cal!$AD$17=6,Cal!$AC$18=6,Cal!$AD$18=6,Cal!$AE$18=6,Cal!$AF$18=6,Cal!$AG$18=6,Cal!$AH$18=6,Cal!$AH$19=6,Cal!$AH$20=6,Cal!$AC$21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AI12</xm:sqref>
        </x14:conditionalFormatting>
        <x14:conditionalFormatting xmlns:xm="http://schemas.microsoft.com/office/excel/2006/main">
          <x14:cfRule type="expression" priority="13" id="{EE86DE35-862A-4A75-A36F-04F9DC852800}">
            <xm:f>OR(Cal!$O$3=6,Cal!$K$4=6,Cal!$N$5=6,Cal!$O$7=6,Cal!$L$8=6,Cal!$M$9=6,Cal!$O$11=6,Cal!$M$12=6,Cal!$L$13=6,Cal!$O$15=6,Cal!$N$16=6,Cal!$K$17=6,Cal!$J$18=6,Cal!$K$18=6,Cal!$L$18=6,Cal!$M$18=6,Cal!$N$18=6,Cal!$O$18=6,Cal!$O$19=6,Cal!$O$20=6,Cal!$J$21=6,Cal!$AJ$3=6,Cal!$AF$4=6,Cal!$AI$5=6,Cal!$AJ$7=6,Cal!$AG$8=6,Cal!$AH$9=6,Cal!$AJ$11=6,Cal!$AH$12=6,Cal!$AG$13=6,Cal!$AJ$15=6,Cal!$AI$16=6,Cal!$AF$17=6,Cal!$AE$18=6,Cal!$AF$18=6,Cal!$AG$18=6,Cal!$AH$18=6,Cal!$AI$18=6,Cal!$AJ$18=6,Cal!$AJ$19=6,Cal!$AJ$20=6,Cal!$AE$21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AM12</xm:sqref>
        </x14:conditionalFormatting>
        <x14:conditionalFormatting xmlns:xm="http://schemas.microsoft.com/office/excel/2006/main">
          <x14:cfRule type="expression" priority="12" id="{BD839293-148D-42C6-99D3-8189E62D4E06}">
            <xm:f>OR(Cal!$P$3=6,Cal!$K$4=6,Cal!$P$7=6,Cal!$L$8=6,Cal!$O$9=6,Cal!$P$11=6,Cal!$M$12=6,Cal!$N$13=6,Cal!$P$15=6,Cal!$N$16=6,Cal!$M$17=6,Cal!$P$19=6,Cal!$O$20=6,Cal!$L$21=6,Cal!$K$22=6,Cal!$L$22=6,Cal!$M$22=6,Cal!$N$22=6,Cal!$O$22=6,Cal!$P$23=6,Cal!$K$25=6,Cal!$AK$3=6,Cal!$AF$4=6,Cal!$AK$7=6,Cal!$AG$8=6,Cal!$AJ$9=6,Cal!$AK$11=6,Cal!$AH$12=6,Cal!$AI$13=6,Cal!$AK$15=6,Cal!$AI$16=6,Cal!$AH$17=6,Cal!$AK$19=6,Cal!$AJ$20=6,Cal!$AG$21=6,Cal!$AF$22=6,Cal!$AG$22=6,Cal!$AH$22=6,Cal!$AI$22=6,Cal!$AJ$22=6,Cal!$AK$23=6,Cal!$AF$25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AO14</xm:sqref>
        </x14:conditionalFormatting>
        <x14:conditionalFormatting xmlns:xm="http://schemas.microsoft.com/office/excel/2006/main">
          <x14:cfRule type="expression" priority="11" id="{6CA3067B-D9E0-4BB6-ACF0-5D31D92C61AC}">
            <xm:f>OR(Cal!$P$11=6,Cal!$P$15=6,Cal!$P$19=6,Cal!$P$23=6,Cal!$P$27=6,Cal!$P$31=6,Cal!$K$12=6,Cal!$O$17=6,Cal!$L$16=6,Cal!$M$20=6,Cal!$N$21=6,Cal!$N$24=6,Cal!$M$25=6,Cal!$O$28=6,Cal!$O$30=6,Cal!$N$30=6,Cal!$M$30=6,Cal!$L$29=6,Cal!$L$30=6,Cal!$K$30=6,Cal!$K$33=6,Cal!$AK$11=6,Cal!$AK$15=6,Cal!$AK$19=6,Cal!$AK$23=6,Cal!$AK$27=6,Cal!$AK$31=6,Cal!$AF$33=6,Cal!$AJ$17=6,Cal!$AJ$28=6,Cal!$AJ$30=6,Cal!$AI$30=6,Cal!$AH$30=6,Cal!$AG$30=6,Cal!$AF$30=6,Cal!$AG$29=6,Cal!$AH$25=6,Cal!$AH$20=6,Cal!$AG$16=6,Cal!$AF$12=6,Cal!$AI$21=6,Cal!$AI$24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AO18</xm:sqref>
        </x14:conditionalFormatting>
        <x14:conditionalFormatting xmlns:xm="http://schemas.microsoft.com/office/excel/2006/main">
          <x14:cfRule type="expression" priority="10" id="{0A6D4A1A-76B0-49E7-ADEB-CBFF58A4B91F}">
            <xm:f>OR(Cal!$P$27=6,Cal!$K$28=6,Cal!$P$31=6,Cal!$L$32=6,Cal!$O$33=6,Cal!$P$35=6,Cal!$M$36=6,Cal!$N$37=6,Cal!$P$39=6,Cal!$N$40=6,Cal!$M$41=6,Cal!$P$43=6,Cal!$O$44=6,Cal!$L$45=6,Cal!$K$46=6,Cal!$L$46=6,Cal!$M$46=6,Cal!$N$46=6,Cal!$O$46=6,Cal!$P$47=6,Cal!$K$49=6,Cal!$AK$27=6,Cal!$AF$28=6,Cal!$AK$31=6,Cal!$AG$32=6,Cal!$AJ$33=6,Cal!$AK$35=6,Cal!$AH$36=6,Cal!$AI$37=6,Cal!$AK$39=6,Cal!$AI$40=6,Cal!$AH$41=6,Cal!$AK$43=6,Cal!$AJ$44=6,Cal!$AG$45=6,Cal!$AF$46=6,Cal!$AG$46=6,Cal!$AH$46=6,Cal!$AI$46=6,Cal!$AJ$46=6,Cal!$AK$47=6,Cal!$AF$49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AO26</xm:sqref>
        </x14:conditionalFormatting>
        <x14:conditionalFormatting xmlns:xm="http://schemas.microsoft.com/office/excel/2006/main">
          <x14:cfRule type="expression" priority="9" id="{564DFA9E-0D5E-4744-9B7F-E74A68001EFD}">
            <xm:f>OR(Cal!$P$35=6,Cal!$K$36=6,Cal!$P$39=6,Cal!$L$40=6,Cal!$O$41=6,Cal!$P$43=6,Cal!$M$44=6,Cal!$N$45=6,Cal!$P$47=6,Cal!$N$48=6,Cal!$M$49=6,Cal!$P$51=6,Cal!$O$52=6,Cal!$L$53=6,Cal!$K$54=6,Cal!$L$54=6,Cal!$M$54=6,Cal!$N$54=6,Cal!$O$54=6,Cal!$P$55=6,Cal!$K$57=6,Cal!$AK$35=6,Cal!$AF$36=6,Cal!$AK$39=6,Cal!$AG$40=6,Cal!$AJ$41=6,Cal!$AK$43=6,Cal!$AH$44=6,Cal!$AI$45=6,Cal!$AK$47=6,Cal!$AI$48=6,Cal!$AH$49=6,Cal!$AK$51=6,Cal!$AJ$52=6,Cal!$AG$53=6,Cal!$AF$54=6,Cal!$AG$54=6,Cal!$AH$54=6,Cal!$AI$54=6,Cal!$AJ$54=6,Cal!$AK$55=6,Cal!$AF$57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AO30</xm:sqref>
        </x14:conditionalFormatting>
        <x14:conditionalFormatting xmlns:xm="http://schemas.microsoft.com/office/excel/2006/main">
          <x14:cfRule type="expression" priority="8" id="{0B764A56-5ED9-453C-9F28-7EF08BAA5799}">
            <xm:f>OR(Cal!$O$39=6,Cal!$J$40=6,Cal!$O$41=6,Cal!$O$43=6,Cal!$K$44=6,Cal!$N$45=6,Cal!$O$47=6,Cal!$L$48=6,Cal!$M$49=6,Cal!$O$51=6,Cal!$M$52=6,Cal!$L$53=6,Cal!$O$55=6,Cal!$N$56=6,Cal!$K$57=6,Cal!$J$58=6,Cal!$K$58=6,Cal!$L$58=6,Cal!$M$58=6,Cal!$N$58=6,Cal!$O$58=6,Cal!$AJ$39=6,Cal!$AE$40=6,Cal!$AJ$41=6,Cal!$AJ$43=6,Cal!$AF$44=6,Cal!$AI$45=6,Cal!$AJ$47=6,Cal!$AG$48=6,Cal!$AH$49=6,Cal!$AJ$51=6,Cal!$AH$52=6,Cal!$AG$53=6,Cal!$AJ$55=6,Cal!$AI$56=6,Cal!$AF$57=6,Cal!$AE$58=6,Cal!$AF$58=6,Cal!$AG$58=6,Cal!$AH$58=6,Cal!$AI$58=6,Cal!$AJ$58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AM32</xm:sqref>
        </x14:conditionalFormatting>
        <x14:conditionalFormatting xmlns:xm="http://schemas.microsoft.com/office/excel/2006/main">
          <x14:cfRule type="expression" priority="7" id="{B88A7E8E-EA4E-498B-80FA-D1A7E2FC685C}">
            <xm:f>OR(Cal!$M$39=6,Cal!$H$40=6,Cal!$M$41=6,Cal!$M$43=6,Cal!$I$44=6,Cal!$L$45=6,Cal!$M$47=6,Cal!$J$48=6,Cal!$K$49=6,Cal!$M$51=6,Cal!$K$52=6,Cal!$J$53=6,Cal!$M$55=6,Cal!$L$56=6,Cal!$I$57=6,Cal!$H$58=6,Cal!$I$58=6,Cal!$J$58=6,Cal!$K$58=6,Cal!$L$58=6,Cal!$M$58=6,Cal!$AH$39=6,Cal!$AC$40=6,Cal!$AH$41=6,Cal!$AH$43=6,Cal!$AD$44=6,Cal!$AG$45=6,Cal!$AH$47=6,Cal!$AE$48=6,Cal!$AF$49=6,Cal!$AH$51=6,Cal!$AF$52=6,Cal!$AE$53=6,Cal!$AH$55=6,Cal!$AG$56=6,Cal!$AD$57=6,Cal!$AC$58=6,Cal!$AD$58=6,Cal!$AE$58=6,Cal!$AF$58=6,Cal!$AG$58=6,Cal!$AH$58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AI32</xm:sqref>
        </x14:conditionalFormatting>
        <x14:conditionalFormatting xmlns:xm="http://schemas.microsoft.com/office/excel/2006/main">
          <x14:cfRule type="expression" priority="6" id="{E5C1E390-E00A-49AD-8CD9-75872480B882}">
            <xm:f>OR(Cal!$I$39=6,Cal!$D$40=6,Cal!$I$41=6,Cal!$I$43=6,Cal!$E$44=6,Cal!$H$45=6,Cal!$I$47=6,Cal!$F$48=6,Cal!$G$49=6,Cal!$I$51=6,Cal!$G$52=6,Cal!$F$53=6,Cal!$I$55=6,Cal!$H$56=6,Cal!$E$57=6,Cal!$D$58=6,Cal!$E$58=6,Cal!$F$58=6,Cal!$G$58=6,Cal!$H$58=6,Cal!$I$58=6,Cal!$AD$39=6,Cal!$Y$40=6,Cal!$AD$41=6,Cal!$AD$43=6,Cal!$Z$44=6,Cal!$AC$45=6,Cal!$AD$47=6,Cal!$AA$48=6,Cal!$AB$49=6,Cal!$AD$51=6,Cal!$AB$52=6,Cal!$AA$53=6,Cal!$AD$55=6,Cal!$AC$56=6,Cal!$Z$57=6,Cal!$Y$58=6,Cal!$Z$58=6,Cal!$AA$58=6,Cal!$AB$58=6,Cal!$AC$58=6,Cal!$AD$58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AA32</xm:sqref>
        </x14:conditionalFormatting>
        <x14:conditionalFormatting xmlns:xm="http://schemas.microsoft.com/office/excel/2006/main">
          <x14:cfRule type="expression" priority="5" id="{CF2DE2BB-E04E-4263-B85C-3B2A8FA35479}">
            <xm:f>OR(Cal!$G$39=6,Cal!$B$40=6,Cal!$G$41=6,Cal!$G$43=6,Cal!$C$44=6,Cal!$F$45=6,Cal!$G$47=6,Cal!$D$48=6,Cal!$E$49=6,Cal!$G$51=6,Cal!$E$52=6,Cal!$D$53=6,Cal!$G$55=6,Cal!$F$56=6,Cal!$C$57=6,Cal!$B$58=6,Cal!$C$58=6,Cal!$D$58=6,Cal!$E$58=6,Cal!$F$58=6,Cal!$G$58=6,Cal!$AB$39=6,Cal!$W$40=6,Cal!$AB$41=6,Cal!$AB$43=6,Cal!$X$44=6,Cal!$AA$45=6,Cal!$AB$47=6,Cal!$Y$48=6,Cal!$Z$49=6,Cal!$AB$51=6,Cal!$Z$52=6,Cal!$Y$53=6,Cal!$AB$55=6,Cal!$AA$56=6,Cal!$X$57=6,Cal!$W$58=6,Cal!$X$58=6,Cal!$Y$58=6,Cal!$Z$58=6,Cal!$AA$58=6,Cal!$AB$58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W32</xm:sqref>
        </x14:conditionalFormatting>
        <x14:conditionalFormatting xmlns:xm="http://schemas.microsoft.com/office/excel/2006/main">
          <x14:cfRule type="expression" priority="4" id="{CE1B4055-390A-4762-ADDD-29CC866F2A4F}">
            <xm:f>OR(Cal!$F$35=6,Cal!$F$37=6,Cal!$F$39=6,Cal!$B$40=6,Cal!$E$41=6,Cal!$F$43=6,Cal!$C$44=6,Cal!$D$45=6,Cal!$F$47=6,Cal!$D$48=6,Cal!$C$49=6,Cal!$F$51=6,Cal!$E$52=6,Cal!$B$53=6,Cal!$B$54=6,Cal!$C$54=6,Cal!$D$54=6,Cal!$E$54=6,Cal!$F$54=6,Cal!$F$55=6,Cal!$F$56=6,Cal!$AA$35=6,Cal!$AA$37=6,Cal!$AA$39=6,Cal!$W$40=6,Cal!$Z$41=6,Cal!$AA$43=6,Cal!$X$44=6,Cal!$Y$45=6,Cal!$AA$47=6,Cal!$Y$48=6,Cal!$X$49=6,Cal!$AA$51=6,Cal!$Z$52=6,Cal!$W$53=6,Cal!$W$54=6,Cal!$X$54=6,Cal!$Y$54=6,Cal!$Z$54=6,Cal!$AA$54=6,Cal!$AA$55=6,Cal!$AA$56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U30</xm:sqref>
        </x14:conditionalFormatting>
        <x14:conditionalFormatting xmlns:xm="http://schemas.microsoft.com/office/excel/2006/main">
          <x14:cfRule type="expression" priority="3" id="{9586237B-AE26-4C77-AFD6-0B3654D14066}">
            <xm:f>OR(Cal!$F$27=6,Cal!$F$29=6,Cal!$F$31=6,Cal!$B$32=6,Cal!$E$33=6,Cal!$F$35=6,Cal!$C$36=6,Cal!$D$37=6,Cal!$F$39=6,Cal!$D$40=6,Cal!$C$41=6,Cal!$F$43=6,Cal!$E$44=6,Cal!$B$45=6,Cal!$B$46=6,Cal!$C$46=6,Cal!$D$46=6,Cal!$E$46=6,Cal!$F$46=6,Cal!$F$47=6,Cal!$F$48=6,Cal!$AA$27=6,Cal!$AA$29=6,Cal!$AA$31=6,Cal!$W$32=6,Cal!$Z$33=6,Cal!$AA$35=6,Cal!$X$36=6,Cal!$Y$37=6,Cal!$AA$39=6,Cal!$Y$40=6,Cal!$X$41=6,Cal!$AA$43=6,Cal!$Z$44=6,Cal!$W$45=6,Cal!$W$46=6,Cal!$X$46=6,Cal!$Y$46=6,Cal!$Z$46=6,Cal!$AA$46=6,Cal!$AA$47=6,Cal!$AA$48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U26</xm:sqref>
        </x14:conditionalFormatting>
        <x14:conditionalFormatting xmlns:xm="http://schemas.microsoft.com/office/excel/2006/main">
          <x14:cfRule type="expression" priority="2" id="{B777E1EE-944F-4B31-BF7C-1CEF6CF84F9D}">
            <xm:f>OR(Cal!$F$11=6,Cal!$F$13=6,Cal!$F$15=6,Cal!$B$16=6,Cal!$E$17=6,Cal!$F$19=6,Cal!$C$20=6,Cal!$D$21=6,Cal!$F$23=6,Cal!$D$24=6,Cal!$C$25=6,Cal!$F$27=6,Cal!$E$28=6,Cal!$B$29=6,Cal!$B$30=6,Cal!$C$30=6,Cal!$D$30=6,Cal!$E$30=6,Cal!$F$30=6,Cal!$F$31=6,Cal!$F$32=6,Cal!$AA$11=6,Cal!$AA$13=6,Cal!$AA$15=6,Cal!$Z$17=6,Cal!$W$16=6,Cal!$AA$19=6,Cal!$X$20=6,Cal!$Y$21=6,Cal!$AA$23=6,Cal!$Y$24=6,Cal!$X$25=6,Cal!$AA$27=6,Cal!$Z$28=6,Cal!$W$29=6,Cal!$W$30=6,Cal!$X$30=6,Cal!$Y$30=6,Cal!$Z$30=6,Cal!$AA$30=6,Cal!$AA$31=6,Cal!$AA$32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U18</xm:sqref>
        </x14:conditionalFormatting>
        <x14:conditionalFormatting xmlns:xm="http://schemas.microsoft.com/office/excel/2006/main">
          <x14:cfRule type="expression" priority="1" id="{0F4C716D-FCD2-4323-83D6-AF3997057906}">
            <xm:f>OR(Cal!$F$3=6,Cal!$F$5=6,Cal!$F$7=6,Cal!$B$8=6,Cal!$E$9=6,Cal!$F$11=6,Cal!$C$12=6,Cal!$D$13=6,Cal!$F$15=6,Cal!$D$16=6,Cal!$C$17=6,Cal!$F$19=6,Cal!$E$20=6,Cal!$B$21=6,Cal!$B$22=6,Cal!$C$22=6,Cal!$D$22=6,Cal!$E$22=6,Cal!$F$22=6,Cal!$F$23=6,Cal!$F$24=6,Cal!$AA$3=6,Cal!$AA$5=6,Cal!$AA$7=6,Cal!$W$8=6,Cal!$Z$9=6,Cal!$AA$11=6,Cal!$X$12=6,Cal!$Y$13=6,Cal!$AA$15=6,Cal!$Y$16=6,Cal!$X$17=6,Cal!$AA$19=6,Cal!$Z$20=6,Cal!$W$21=6,Cal!$W$22=6,Cal!$X$22=6,Cal!$Y$22=6,Cal!$Z$22=6,Cal!$AA$22=6,Cal!$AA$23=6,Cal!$AA$24=6)</xm:f>
            <x14:dxf>
              <font>
                <b/>
                <i val="0"/>
                <color rgb="FFFFFF00"/>
              </font>
              <fill>
                <patternFill>
                  <bgColor rgb="FFFF0000"/>
                </patternFill>
              </fill>
            </x14:dxf>
          </x14:cfRule>
          <xm:sqref>U14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 enableFormatConditionsCalculation="0"/>
  <dimension ref="A1:M102"/>
  <sheetViews>
    <sheetView zoomScale="70" zoomScaleNormal="70" zoomScalePageLayoutView="70" workbookViewId="0">
      <selection activeCell="B3" sqref="B3"/>
    </sheetView>
  </sheetViews>
  <sheetFormatPr baseColWidth="10" defaultColWidth="6.5" defaultRowHeight="15" x14ac:dyDescent="0"/>
  <cols>
    <col min="1" max="1" width="8.6640625" style="1" bestFit="1" customWidth="1"/>
    <col min="2" max="2" width="10.5" bestFit="1" customWidth="1"/>
    <col min="3" max="3" width="8.6640625" customWidth="1"/>
    <col min="4" max="9" width="9.5" customWidth="1"/>
    <col min="10" max="10" width="7.6640625" bestFit="1" customWidth="1"/>
    <col min="11" max="11" width="8.33203125" hidden="1" customWidth="1"/>
    <col min="12" max="12" width="8" hidden="1" customWidth="1"/>
    <col min="13" max="13" width="8.33203125" bestFit="1" customWidth="1"/>
    <col min="14" max="29" width="5.6640625" customWidth="1"/>
  </cols>
  <sheetData>
    <row r="1" spans="1:13">
      <c r="A1" s="112"/>
      <c r="B1" s="114" t="s">
        <v>42</v>
      </c>
      <c r="C1" s="116" t="s">
        <v>43</v>
      </c>
      <c r="D1" s="116" t="s">
        <v>38</v>
      </c>
      <c r="E1" s="116"/>
      <c r="F1" s="116" t="s">
        <v>39</v>
      </c>
      <c r="G1" s="116"/>
      <c r="H1" s="116" t="s">
        <v>44</v>
      </c>
      <c r="I1" s="116" t="s">
        <v>45</v>
      </c>
      <c r="J1" s="118" t="s">
        <v>126</v>
      </c>
      <c r="K1" s="110">
        <f>Play!DE2</f>
        <v>1</v>
      </c>
      <c r="L1" s="111" t="str">
        <f>"Game "&amp;K1</f>
        <v>Game 1</v>
      </c>
    </row>
    <row r="2" spans="1:13">
      <c r="A2" s="113"/>
      <c r="B2" s="115"/>
      <c r="C2" s="117"/>
      <c r="D2" s="54" t="s">
        <v>40</v>
      </c>
      <c r="E2" s="54" t="s">
        <v>41</v>
      </c>
      <c r="F2" s="54" t="s">
        <v>40</v>
      </c>
      <c r="G2" s="54" t="s">
        <v>41</v>
      </c>
      <c r="H2" s="117"/>
      <c r="I2" s="117"/>
      <c r="J2" s="119"/>
      <c r="K2" s="110"/>
      <c r="L2" s="111"/>
    </row>
    <row r="3" spans="1:13">
      <c r="A3" s="48" t="s">
        <v>18</v>
      </c>
      <c r="B3" s="30"/>
      <c r="C3" s="31"/>
      <c r="D3" s="32"/>
      <c r="E3" s="33"/>
      <c r="F3" s="40"/>
      <c r="G3" s="40"/>
      <c r="H3" s="40"/>
      <c r="I3" s="90"/>
      <c r="J3" s="41"/>
    </row>
    <row r="4" spans="1:13">
      <c r="A4" s="28" t="s">
        <v>19</v>
      </c>
      <c r="B4" s="34"/>
      <c r="C4" s="35"/>
      <c r="D4" s="36"/>
      <c r="E4" s="37"/>
      <c r="F4" s="38"/>
      <c r="G4" s="38"/>
      <c r="H4" s="38"/>
      <c r="I4" s="38"/>
      <c r="J4" s="39"/>
    </row>
    <row r="5" spans="1:13">
      <c r="A5" s="28" t="s">
        <v>20</v>
      </c>
      <c r="B5" s="34"/>
      <c r="C5" s="35"/>
      <c r="D5" s="36"/>
      <c r="E5" s="37"/>
      <c r="F5" s="38"/>
      <c r="G5" s="38"/>
      <c r="H5" s="38"/>
      <c r="I5" s="38"/>
      <c r="J5" s="39"/>
      <c r="M5" s="95"/>
    </row>
    <row r="6" spans="1:13">
      <c r="A6" s="28" t="s">
        <v>21</v>
      </c>
      <c r="B6" s="34"/>
      <c r="C6" s="35"/>
      <c r="D6" s="36"/>
      <c r="E6" s="37"/>
      <c r="F6" s="38"/>
      <c r="G6" s="38"/>
      <c r="H6" s="38"/>
      <c r="I6" s="38"/>
      <c r="J6" s="39"/>
    </row>
    <row r="7" spans="1:13">
      <c r="A7" s="28" t="s">
        <v>22</v>
      </c>
      <c r="B7" s="34"/>
      <c r="C7" s="35"/>
      <c r="D7" s="36"/>
      <c r="E7" s="37"/>
      <c r="F7" s="38"/>
      <c r="G7" s="38"/>
      <c r="H7" s="38"/>
      <c r="I7" s="38"/>
      <c r="J7" s="39"/>
    </row>
    <row r="8" spans="1:13">
      <c r="A8" s="28" t="s">
        <v>23</v>
      </c>
      <c r="B8" s="34"/>
      <c r="C8" s="35"/>
      <c r="D8" s="36"/>
      <c r="E8" s="37"/>
      <c r="F8" s="38"/>
      <c r="G8" s="38"/>
      <c r="H8" s="38"/>
      <c r="I8" s="38"/>
      <c r="J8" s="39"/>
    </row>
    <row r="9" spans="1:13">
      <c r="A9" s="28" t="s">
        <v>24</v>
      </c>
      <c r="B9" s="34"/>
      <c r="C9" s="35"/>
      <c r="D9" s="36"/>
      <c r="E9" s="37"/>
      <c r="F9" s="38"/>
      <c r="G9" s="38"/>
      <c r="H9" s="38"/>
      <c r="I9" s="38"/>
      <c r="J9" s="39"/>
    </row>
    <row r="10" spans="1:13">
      <c r="A10" s="28" t="s">
        <v>25</v>
      </c>
      <c r="B10" s="34"/>
      <c r="C10" s="35"/>
      <c r="D10" s="36"/>
      <c r="E10" s="37"/>
      <c r="F10" s="38"/>
      <c r="G10" s="38"/>
      <c r="H10" s="38"/>
      <c r="I10" s="38"/>
      <c r="J10" s="39"/>
    </row>
    <row r="11" spans="1:13">
      <c r="A11" s="28" t="s">
        <v>26</v>
      </c>
      <c r="B11" s="34"/>
      <c r="C11" s="35"/>
      <c r="D11" s="36"/>
      <c r="E11" s="37"/>
      <c r="F11" s="38"/>
      <c r="G11" s="38"/>
      <c r="H11" s="38"/>
      <c r="I11" s="38"/>
      <c r="J11" s="39"/>
    </row>
    <row r="12" spans="1:13">
      <c r="A12" s="28" t="s">
        <v>27</v>
      </c>
      <c r="B12" s="34"/>
      <c r="C12" s="35"/>
      <c r="D12" s="36"/>
      <c r="E12" s="37"/>
      <c r="F12" s="38"/>
      <c r="G12" s="38"/>
      <c r="H12" s="38"/>
      <c r="I12" s="38"/>
      <c r="J12" s="39"/>
    </row>
    <row r="13" spans="1:13">
      <c r="A13" s="28" t="s">
        <v>28</v>
      </c>
      <c r="B13" s="34"/>
      <c r="C13" s="35"/>
      <c r="D13" s="36"/>
      <c r="E13" s="37"/>
      <c r="F13" s="38"/>
      <c r="G13" s="38"/>
      <c r="H13" s="38"/>
      <c r="I13" s="38"/>
      <c r="J13" s="39"/>
    </row>
    <row r="14" spans="1:13">
      <c r="A14" s="28" t="s">
        <v>29</v>
      </c>
      <c r="B14" s="34"/>
      <c r="C14" s="35"/>
      <c r="D14" s="36"/>
      <c r="E14" s="37"/>
      <c r="F14" s="38"/>
      <c r="G14" s="38"/>
      <c r="H14" s="38"/>
      <c r="I14" s="38"/>
      <c r="J14" s="39"/>
    </row>
    <row r="15" spans="1:13">
      <c r="A15" s="28" t="s">
        <v>30</v>
      </c>
      <c r="B15" s="34"/>
      <c r="C15" s="35"/>
      <c r="D15" s="36"/>
      <c r="E15" s="37"/>
      <c r="F15" s="38"/>
      <c r="G15" s="38"/>
      <c r="H15" s="38"/>
      <c r="I15" s="38"/>
      <c r="J15" s="39"/>
    </row>
    <row r="16" spans="1:13">
      <c r="A16" s="28" t="s">
        <v>31</v>
      </c>
      <c r="B16" s="34"/>
      <c r="C16" s="35"/>
      <c r="D16" s="36"/>
      <c r="E16" s="37"/>
      <c r="F16" s="38"/>
      <c r="G16" s="38"/>
      <c r="H16" s="38"/>
      <c r="I16" s="38"/>
      <c r="J16" s="39"/>
    </row>
    <row r="17" spans="1:10">
      <c r="A17" s="28" t="s">
        <v>32</v>
      </c>
      <c r="B17" s="34"/>
      <c r="C17" s="35"/>
      <c r="D17" s="36"/>
      <c r="E17" s="37"/>
      <c r="F17" s="38"/>
      <c r="G17" s="38"/>
      <c r="H17" s="38"/>
      <c r="I17" s="38"/>
      <c r="J17" s="39"/>
    </row>
    <row r="18" spans="1:10">
      <c r="A18" s="28" t="s">
        <v>33</v>
      </c>
      <c r="B18" s="34"/>
      <c r="C18" s="35"/>
      <c r="D18" s="36"/>
      <c r="E18" s="37"/>
      <c r="F18" s="38"/>
      <c r="G18" s="38"/>
      <c r="H18" s="38"/>
      <c r="I18" s="38"/>
      <c r="J18" s="39"/>
    </row>
    <row r="19" spans="1:10">
      <c r="A19" s="28" t="s">
        <v>34</v>
      </c>
      <c r="B19" s="34"/>
      <c r="C19" s="35"/>
      <c r="D19" s="36"/>
      <c r="E19" s="37"/>
      <c r="F19" s="38"/>
      <c r="G19" s="38"/>
      <c r="H19" s="38"/>
      <c r="I19" s="38"/>
      <c r="J19" s="39"/>
    </row>
    <row r="20" spans="1:10">
      <c r="A20" s="28" t="s">
        <v>35</v>
      </c>
      <c r="B20" s="34"/>
      <c r="C20" s="35"/>
      <c r="D20" s="36"/>
      <c r="E20" s="37"/>
      <c r="F20" s="38"/>
      <c r="G20" s="38"/>
      <c r="H20" s="38"/>
      <c r="I20" s="38"/>
      <c r="J20" s="39"/>
    </row>
    <row r="21" spans="1:10">
      <c r="A21" s="28" t="s">
        <v>36</v>
      </c>
      <c r="B21" s="34"/>
      <c r="C21" s="35"/>
      <c r="D21" s="36"/>
      <c r="E21" s="37"/>
      <c r="F21" s="38"/>
      <c r="G21" s="38"/>
      <c r="H21" s="38"/>
      <c r="I21" s="38"/>
      <c r="J21" s="39"/>
    </row>
    <row r="22" spans="1:10">
      <c r="A22" s="28" t="s">
        <v>37</v>
      </c>
      <c r="B22" s="34"/>
      <c r="C22" s="35"/>
      <c r="D22" s="36"/>
      <c r="E22" s="37"/>
      <c r="F22" s="38"/>
      <c r="G22" s="38"/>
      <c r="H22" s="38"/>
      <c r="I22" s="38"/>
      <c r="J22" s="39"/>
    </row>
    <row r="23" spans="1:10">
      <c r="A23" s="28" t="s">
        <v>46</v>
      </c>
      <c r="B23" s="34"/>
      <c r="C23" s="35"/>
      <c r="D23" s="36"/>
      <c r="E23" s="37"/>
      <c r="F23" s="38"/>
      <c r="G23" s="38"/>
      <c r="H23" s="38"/>
      <c r="I23" s="38"/>
      <c r="J23" s="51"/>
    </row>
    <row r="24" spans="1:10">
      <c r="A24" s="28" t="s">
        <v>47</v>
      </c>
      <c r="B24" s="34"/>
      <c r="C24" s="35"/>
      <c r="D24" s="36"/>
      <c r="E24" s="37"/>
      <c r="F24" s="38"/>
      <c r="G24" s="38"/>
      <c r="H24" s="38"/>
      <c r="I24" s="38"/>
      <c r="J24" s="51"/>
    </row>
    <row r="25" spans="1:10">
      <c r="A25" s="28" t="s">
        <v>48</v>
      </c>
      <c r="B25" s="34"/>
      <c r="C25" s="35"/>
      <c r="D25" s="36"/>
      <c r="E25" s="37"/>
      <c r="F25" s="38"/>
      <c r="G25" s="38"/>
      <c r="H25" s="38"/>
      <c r="I25" s="38"/>
      <c r="J25" s="51"/>
    </row>
    <row r="26" spans="1:10">
      <c r="A26" s="28" t="s">
        <v>49</v>
      </c>
      <c r="B26" s="34"/>
      <c r="C26" s="35"/>
      <c r="D26" s="36"/>
      <c r="E26" s="37"/>
      <c r="F26" s="38"/>
      <c r="G26" s="38"/>
      <c r="H26" s="38"/>
      <c r="I26" s="38"/>
      <c r="J26" s="51"/>
    </row>
    <row r="27" spans="1:10">
      <c r="A27" s="28" t="s">
        <v>50</v>
      </c>
      <c r="B27" s="34"/>
      <c r="C27" s="35"/>
      <c r="D27" s="36"/>
      <c r="E27" s="37"/>
      <c r="F27" s="38"/>
      <c r="G27" s="38"/>
      <c r="H27" s="38"/>
      <c r="I27" s="38"/>
      <c r="J27" s="51"/>
    </row>
    <row r="28" spans="1:10">
      <c r="A28" s="28" t="s">
        <v>51</v>
      </c>
      <c r="B28" s="34"/>
      <c r="C28" s="35"/>
      <c r="D28" s="36"/>
      <c r="E28" s="37"/>
      <c r="F28" s="38"/>
      <c r="G28" s="38"/>
      <c r="H28" s="38"/>
      <c r="I28" s="38"/>
      <c r="J28" s="51"/>
    </row>
    <row r="29" spans="1:10">
      <c r="A29" s="28" t="s">
        <v>52</v>
      </c>
      <c r="B29" s="34"/>
      <c r="C29" s="35"/>
      <c r="D29" s="36"/>
      <c r="E29" s="37"/>
      <c r="F29" s="38"/>
      <c r="G29" s="38"/>
      <c r="H29" s="38"/>
      <c r="I29" s="38"/>
      <c r="J29" s="51"/>
    </row>
    <row r="30" spans="1:10">
      <c r="A30" s="28" t="s">
        <v>53</v>
      </c>
      <c r="B30" s="34"/>
      <c r="C30" s="35"/>
      <c r="D30" s="36"/>
      <c r="E30" s="37"/>
      <c r="F30" s="38"/>
      <c r="G30" s="38"/>
      <c r="H30" s="38"/>
      <c r="I30" s="38"/>
      <c r="J30" s="51"/>
    </row>
    <row r="31" spans="1:10">
      <c r="A31" s="28" t="s">
        <v>54</v>
      </c>
      <c r="B31" s="34"/>
      <c r="C31" s="35"/>
      <c r="D31" s="36"/>
      <c r="E31" s="37"/>
      <c r="F31" s="38"/>
      <c r="G31" s="38"/>
      <c r="H31" s="38"/>
      <c r="I31" s="38"/>
      <c r="J31" s="51"/>
    </row>
    <row r="32" spans="1:10">
      <c r="A32" s="28" t="s">
        <v>55</v>
      </c>
      <c r="B32" s="34"/>
      <c r="C32" s="35"/>
      <c r="D32" s="36"/>
      <c r="E32" s="37"/>
      <c r="F32" s="38"/>
      <c r="G32" s="38"/>
      <c r="H32" s="38"/>
      <c r="I32" s="38"/>
      <c r="J32" s="51"/>
    </row>
    <row r="33" spans="1:10">
      <c r="A33" s="28" t="s">
        <v>56</v>
      </c>
      <c r="B33" s="34"/>
      <c r="C33" s="35"/>
      <c r="D33" s="36"/>
      <c r="E33" s="37"/>
      <c r="F33" s="38"/>
      <c r="G33" s="38"/>
      <c r="H33" s="38"/>
      <c r="I33" s="38"/>
      <c r="J33" s="51"/>
    </row>
    <row r="34" spans="1:10">
      <c r="A34" s="28" t="s">
        <v>57</v>
      </c>
      <c r="B34" s="34"/>
      <c r="C34" s="35"/>
      <c r="D34" s="36"/>
      <c r="E34" s="37"/>
      <c r="F34" s="38"/>
      <c r="G34" s="38"/>
      <c r="H34" s="38"/>
      <c r="I34" s="38"/>
      <c r="J34" s="51"/>
    </row>
    <row r="35" spans="1:10">
      <c r="A35" s="28" t="s">
        <v>58</v>
      </c>
      <c r="B35" s="49"/>
      <c r="C35" s="50"/>
      <c r="D35" s="50"/>
      <c r="E35" s="50"/>
      <c r="F35" s="50"/>
      <c r="G35" s="50"/>
      <c r="H35" s="50"/>
      <c r="I35" s="50"/>
      <c r="J35" s="51"/>
    </row>
    <row r="36" spans="1:10">
      <c r="A36" s="28" t="s">
        <v>59</v>
      </c>
      <c r="B36" s="49"/>
      <c r="C36" s="50"/>
      <c r="D36" s="50"/>
      <c r="E36" s="50"/>
      <c r="F36" s="50"/>
      <c r="G36" s="50"/>
      <c r="H36" s="50"/>
      <c r="I36" s="50"/>
      <c r="J36" s="51"/>
    </row>
    <row r="37" spans="1:10">
      <c r="A37" s="28" t="s">
        <v>60</v>
      </c>
      <c r="B37" s="49"/>
      <c r="C37" s="50"/>
      <c r="D37" s="50"/>
      <c r="E37" s="50"/>
      <c r="F37" s="50"/>
      <c r="G37" s="50"/>
      <c r="H37" s="50"/>
      <c r="I37" s="50"/>
      <c r="J37" s="51"/>
    </row>
    <row r="38" spans="1:10">
      <c r="A38" s="28" t="s">
        <v>61</v>
      </c>
      <c r="B38" s="49"/>
      <c r="C38" s="50"/>
      <c r="D38" s="50"/>
      <c r="E38" s="50"/>
      <c r="F38" s="50"/>
      <c r="G38" s="50"/>
      <c r="H38" s="50"/>
      <c r="I38" s="50"/>
      <c r="J38" s="51"/>
    </row>
    <row r="39" spans="1:10">
      <c r="A39" s="28" t="s">
        <v>62</v>
      </c>
      <c r="B39" s="49"/>
      <c r="C39" s="50"/>
      <c r="D39" s="50"/>
      <c r="E39" s="50"/>
      <c r="F39" s="50"/>
      <c r="G39" s="50"/>
      <c r="H39" s="50"/>
      <c r="I39" s="50"/>
      <c r="J39" s="51"/>
    </row>
    <row r="40" spans="1:10">
      <c r="A40" s="28" t="s">
        <v>63</v>
      </c>
      <c r="B40" s="49"/>
      <c r="C40" s="50"/>
      <c r="D40" s="50"/>
      <c r="E40" s="50"/>
      <c r="F40" s="50"/>
      <c r="G40" s="50"/>
      <c r="H40" s="50"/>
      <c r="I40" s="50"/>
      <c r="J40" s="51"/>
    </row>
    <row r="41" spans="1:10">
      <c r="A41" s="28" t="s">
        <v>64</v>
      </c>
      <c r="B41" s="49"/>
      <c r="C41" s="50"/>
      <c r="D41" s="50"/>
      <c r="E41" s="50"/>
      <c r="F41" s="50"/>
      <c r="G41" s="50"/>
      <c r="H41" s="50"/>
      <c r="I41" s="50"/>
      <c r="J41" s="51"/>
    </row>
    <row r="42" spans="1:10">
      <c r="A42" s="28" t="s">
        <v>65</v>
      </c>
      <c r="B42" s="49"/>
      <c r="C42" s="50"/>
      <c r="D42" s="50"/>
      <c r="E42" s="50"/>
      <c r="F42" s="50"/>
      <c r="G42" s="50"/>
      <c r="H42" s="50"/>
      <c r="I42" s="50"/>
      <c r="J42" s="51"/>
    </row>
    <row r="43" spans="1:10">
      <c r="A43" s="28" t="s">
        <v>66</v>
      </c>
      <c r="B43" s="49"/>
      <c r="C43" s="50"/>
      <c r="D43" s="50"/>
      <c r="E43" s="50"/>
      <c r="F43" s="50"/>
      <c r="G43" s="50"/>
      <c r="H43" s="50"/>
      <c r="I43" s="50"/>
      <c r="J43" s="51"/>
    </row>
    <row r="44" spans="1:10">
      <c r="A44" s="28" t="s">
        <v>67</v>
      </c>
      <c r="B44" s="49"/>
      <c r="C44" s="50"/>
      <c r="D44" s="50"/>
      <c r="E44" s="50"/>
      <c r="F44" s="50"/>
      <c r="G44" s="50"/>
      <c r="H44" s="50"/>
      <c r="I44" s="50"/>
      <c r="J44" s="51"/>
    </row>
    <row r="45" spans="1:10">
      <c r="A45" s="28" t="s">
        <v>68</v>
      </c>
      <c r="B45" s="49"/>
      <c r="C45" s="50"/>
      <c r="D45" s="50"/>
      <c r="E45" s="50"/>
      <c r="F45" s="50"/>
      <c r="G45" s="50"/>
      <c r="H45" s="50"/>
      <c r="I45" s="50"/>
      <c r="J45" s="51"/>
    </row>
    <row r="46" spans="1:10">
      <c r="A46" s="28" t="s">
        <v>69</v>
      </c>
      <c r="B46" s="49"/>
      <c r="C46" s="50"/>
      <c r="D46" s="50"/>
      <c r="E46" s="50"/>
      <c r="F46" s="50"/>
      <c r="G46" s="50"/>
      <c r="H46" s="50"/>
      <c r="I46" s="50"/>
      <c r="J46" s="51"/>
    </row>
    <row r="47" spans="1:10">
      <c r="A47" s="28" t="s">
        <v>70</v>
      </c>
      <c r="B47" s="49"/>
      <c r="C47" s="50"/>
      <c r="D47" s="50"/>
      <c r="E47" s="50"/>
      <c r="F47" s="50"/>
      <c r="G47" s="50"/>
      <c r="H47" s="50"/>
      <c r="I47" s="50"/>
      <c r="J47" s="51"/>
    </row>
    <row r="48" spans="1:10">
      <c r="A48" s="28" t="s">
        <v>71</v>
      </c>
      <c r="B48" s="49"/>
      <c r="C48" s="50"/>
      <c r="D48" s="50"/>
      <c r="E48" s="50"/>
      <c r="F48" s="50"/>
      <c r="G48" s="50"/>
      <c r="H48" s="50"/>
      <c r="I48" s="50"/>
      <c r="J48" s="51"/>
    </row>
    <row r="49" spans="1:10">
      <c r="A49" s="28" t="s">
        <v>72</v>
      </c>
      <c r="B49" s="49"/>
      <c r="C49" s="50"/>
      <c r="D49" s="50"/>
      <c r="E49" s="50"/>
      <c r="F49" s="50"/>
      <c r="G49" s="50"/>
      <c r="H49" s="50"/>
      <c r="I49" s="50"/>
      <c r="J49" s="51"/>
    </row>
    <row r="50" spans="1:10">
      <c r="A50" s="28" t="s">
        <v>73</v>
      </c>
      <c r="B50" s="49"/>
      <c r="C50" s="50"/>
      <c r="D50" s="50"/>
      <c r="E50" s="50"/>
      <c r="F50" s="50"/>
      <c r="G50" s="50"/>
      <c r="H50" s="50"/>
      <c r="I50" s="50"/>
      <c r="J50" s="51"/>
    </row>
    <row r="51" spans="1:10">
      <c r="A51" s="28" t="s">
        <v>74</v>
      </c>
      <c r="B51" s="49"/>
      <c r="C51" s="50"/>
      <c r="D51" s="50"/>
      <c r="E51" s="50"/>
      <c r="F51" s="50"/>
      <c r="G51" s="50"/>
      <c r="H51" s="50"/>
      <c r="I51" s="50"/>
      <c r="J51" s="51"/>
    </row>
    <row r="52" spans="1:10">
      <c r="A52" s="28" t="s">
        <v>75</v>
      </c>
      <c r="B52" s="49"/>
      <c r="C52" s="50"/>
      <c r="D52" s="50"/>
      <c r="E52" s="50"/>
      <c r="F52" s="50"/>
      <c r="G52" s="50"/>
      <c r="H52" s="50"/>
      <c r="I52" s="50"/>
      <c r="J52" s="51"/>
    </row>
    <row r="53" spans="1:10">
      <c r="A53" s="28" t="s">
        <v>76</v>
      </c>
      <c r="B53" s="49"/>
      <c r="C53" s="50"/>
      <c r="D53" s="50"/>
      <c r="E53" s="50"/>
      <c r="F53" s="50"/>
      <c r="G53" s="50"/>
      <c r="H53" s="50"/>
      <c r="I53" s="50"/>
      <c r="J53" s="51"/>
    </row>
    <row r="54" spans="1:10">
      <c r="A54" s="28" t="s">
        <v>77</v>
      </c>
      <c r="B54" s="49"/>
      <c r="C54" s="50"/>
      <c r="D54" s="50"/>
      <c r="E54" s="50"/>
      <c r="F54" s="50"/>
      <c r="G54" s="50"/>
      <c r="H54" s="50"/>
      <c r="I54" s="50"/>
      <c r="J54" s="51"/>
    </row>
    <row r="55" spans="1:10">
      <c r="A55" s="28" t="s">
        <v>78</v>
      </c>
      <c r="B55" s="49"/>
      <c r="C55" s="50"/>
      <c r="D55" s="50"/>
      <c r="E55" s="50"/>
      <c r="F55" s="50"/>
      <c r="G55" s="50"/>
      <c r="H55" s="50"/>
      <c r="I55" s="50"/>
      <c r="J55" s="51"/>
    </row>
    <row r="56" spans="1:10">
      <c r="A56" s="28" t="s">
        <v>79</v>
      </c>
      <c r="B56" s="49"/>
      <c r="C56" s="50"/>
      <c r="D56" s="50"/>
      <c r="E56" s="50"/>
      <c r="F56" s="50"/>
      <c r="G56" s="50"/>
      <c r="H56" s="50"/>
      <c r="I56" s="50"/>
      <c r="J56" s="51"/>
    </row>
    <row r="57" spans="1:10">
      <c r="A57" s="28" t="s">
        <v>80</v>
      </c>
      <c r="B57" s="49"/>
      <c r="C57" s="50"/>
      <c r="D57" s="50"/>
      <c r="E57" s="50"/>
      <c r="F57" s="50"/>
      <c r="G57" s="50"/>
      <c r="H57" s="50"/>
      <c r="I57" s="50"/>
      <c r="J57" s="51"/>
    </row>
    <row r="58" spans="1:10">
      <c r="A58" s="28" t="s">
        <v>81</v>
      </c>
      <c r="B58" s="49"/>
      <c r="C58" s="50"/>
      <c r="D58" s="50"/>
      <c r="E58" s="50"/>
      <c r="F58" s="50"/>
      <c r="G58" s="50"/>
      <c r="H58" s="50"/>
      <c r="I58" s="50"/>
      <c r="J58" s="51"/>
    </row>
    <row r="59" spans="1:10">
      <c r="A59" s="28" t="s">
        <v>82</v>
      </c>
      <c r="B59" s="49"/>
      <c r="C59" s="50"/>
      <c r="D59" s="50"/>
      <c r="E59" s="50"/>
      <c r="F59" s="50"/>
      <c r="G59" s="50"/>
      <c r="H59" s="50"/>
      <c r="I59" s="50"/>
      <c r="J59" s="51"/>
    </row>
    <row r="60" spans="1:10">
      <c r="A60" s="28" t="s">
        <v>83</v>
      </c>
      <c r="B60" s="49"/>
      <c r="C60" s="50"/>
      <c r="D60" s="50"/>
      <c r="E60" s="50"/>
      <c r="F60" s="50"/>
      <c r="G60" s="50"/>
      <c r="H60" s="50"/>
      <c r="I60" s="50"/>
      <c r="J60" s="51"/>
    </row>
    <row r="61" spans="1:10">
      <c r="A61" s="28" t="s">
        <v>84</v>
      </c>
      <c r="B61" s="49"/>
      <c r="C61" s="50"/>
      <c r="D61" s="50"/>
      <c r="E61" s="50"/>
      <c r="F61" s="50"/>
      <c r="G61" s="50"/>
      <c r="H61" s="50"/>
      <c r="I61" s="50"/>
      <c r="J61" s="51"/>
    </row>
    <row r="62" spans="1:10">
      <c r="A62" s="28" t="s">
        <v>85</v>
      </c>
      <c r="B62" s="49"/>
      <c r="C62" s="50"/>
      <c r="D62" s="50"/>
      <c r="E62" s="50"/>
      <c r="F62" s="50"/>
      <c r="G62" s="50"/>
      <c r="H62" s="50"/>
      <c r="I62" s="50"/>
      <c r="J62" s="51"/>
    </row>
    <row r="63" spans="1:10">
      <c r="A63" s="28" t="s">
        <v>86</v>
      </c>
      <c r="B63" s="49"/>
      <c r="C63" s="50"/>
      <c r="D63" s="50"/>
      <c r="E63" s="50"/>
      <c r="F63" s="50"/>
      <c r="G63" s="50"/>
      <c r="H63" s="50"/>
      <c r="I63" s="50"/>
      <c r="J63" s="51"/>
    </row>
    <row r="64" spans="1:10">
      <c r="A64" s="28" t="s">
        <v>87</v>
      </c>
      <c r="B64" s="49"/>
      <c r="C64" s="50"/>
      <c r="D64" s="50"/>
      <c r="E64" s="50"/>
      <c r="F64" s="50"/>
      <c r="G64" s="50"/>
      <c r="H64" s="50"/>
      <c r="I64" s="50"/>
      <c r="J64" s="51"/>
    </row>
    <row r="65" spans="1:10">
      <c r="A65" s="28" t="s">
        <v>88</v>
      </c>
      <c r="B65" s="49"/>
      <c r="C65" s="50"/>
      <c r="D65" s="50"/>
      <c r="E65" s="50"/>
      <c r="F65" s="50"/>
      <c r="G65" s="50"/>
      <c r="H65" s="50"/>
      <c r="I65" s="50"/>
      <c r="J65" s="51"/>
    </row>
    <row r="66" spans="1:10">
      <c r="A66" s="28" t="s">
        <v>89</v>
      </c>
      <c r="B66" s="49"/>
      <c r="C66" s="50"/>
      <c r="D66" s="50"/>
      <c r="E66" s="50"/>
      <c r="F66" s="50"/>
      <c r="G66" s="50"/>
      <c r="H66" s="50"/>
      <c r="I66" s="50"/>
      <c r="J66" s="51"/>
    </row>
    <row r="67" spans="1:10">
      <c r="A67" s="28" t="s">
        <v>90</v>
      </c>
      <c r="B67" s="49"/>
      <c r="C67" s="50"/>
      <c r="D67" s="50"/>
      <c r="E67" s="50"/>
      <c r="F67" s="50"/>
      <c r="G67" s="50"/>
      <c r="H67" s="50"/>
      <c r="I67" s="50"/>
      <c r="J67" s="51"/>
    </row>
    <row r="68" spans="1:10">
      <c r="A68" s="28" t="s">
        <v>91</v>
      </c>
      <c r="B68" s="49"/>
      <c r="C68" s="50"/>
      <c r="D68" s="50"/>
      <c r="E68" s="50"/>
      <c r="F68" s="50"/>
      <c r="G68" s="50"/>
      <c r="H68" s="50"/>
      <c r="I68" s="50"/>
      <c r="J68" s="51"/>
    </row>
    <row r="69" spans="1:10">
      <c r="A69" s="28" t="s">
        <v>92</v>
      </c>
      <c r="B69" s="49"/>
      <c r="C69" s="50"/>
      <c r="D69" s="50"/>
      <c r="E69" s="50"/>
      <c r="F69" s="50"/>
      <c r="G69" s="50"/>
      <c r="H69" s="50"/>
      <c r="I69" s="50"/>
      <c r="J69" s="51"/>
    </row>
    <row r="70" spans="1:10">
      <c r="A70" s="28" t="s">
        <v>93</v>
      </c>
      <c r="B70" s="49"/>
      <c r="C70" s="50"/>
      <c r="D70" s="50"/>
      <c r="E70" s="50"/>
      <c r="F70" s="50"/>
      <c r="G70" s="50"/>
      <c r="H70" s="50"/>
      <c r="I70" s="50"/>
      <c r="J70" s="51"/>
    </row>
    <row r="71" spans="1:10">
      <c r="A71" s="28" t="s">
        <v>94</v>
      </c>
      <c r="B71" s="49"/>
      <c r="C71" s="50"/>
      <c r="D71" s="50"/>
      <c r="E71" s="50"/>
      <c r="F71" s="50"/>
      <c r="G71" s="50"/>
      <c r="H71" s="50"/>
      <c r="I71" s="50"/>
      <c r="J71" s="51"/>
    </row>
    <row r="72" spans="1:10">
      <c r="A72" s="28" t="s">
        <v>95</v>
      </c>
      <c r="B72" s="49"/>
      <c r="C72" s="50"/>
      <c r="D72" s="50"/>
      <c r="E72" s="50"/>
      <c r="F72" s="50"/>
      <c r="G72" s="50"/>
      <c r="H72" s="50"/>
      <c r="I72" s="50"/>
      <c r="J72" s="51"/>
    </row>
    <row r="73" spans="1:10">
      <c r="A73" s="28" t="s">
        <v>96</v>
      </c>
      <c r="B73" s="49"/>
      <c r="C73" s="50"/>
      <c r="D73" s="50"/>
      <c r="E73" s="50"/>
      <c r="F73" s="50"/>
      <c r="G73" s="50"/>
      <c r="H73" s="50"/>
      <c r="I73" s="50"/>
      <c r="J73" s="51"/>
    </row>
    <row r="74" spans="1:10">
      <c r="A74" s="28" t="s">
        <v>97</v>
      </c>
      <c r="B74" s="49"/>
      <c r="C74" s="50"/>
      <c r="D74" s="50"/>
      <c r="E74" s="50"/>
      <c r="F74" s="50"/>
      <c r="G74" s="50"/>
      <c r="H74" s="50"/>
      <c r="I74" s="50"/>
      <c r="J74" s="51"/>
    </row>
    <row r="75" spans="1:10">
      <c r="A75" s="28" t="s">
        <v>98</v>
      </c>
      <c r="B75" s="49"/>
      <c r="C75" s="50"/>
      <c r="D75" s="50"/>
      <c r="E75" s="50"/>
      <c r="F75" s="50"/>
      <c r="G75" s="50"/>
      <c r="H75" s="50"/>
      <c r="I75" s="50"/>
      <c r="J75" s="51"/>
    </row>
    <row r="76" spans="1:10">
      <c r="A76" s="28" t="s">
        <v>99</v>
      </c>
      <c r="B76" s="49"/>
      <c r="C76" s="50"/>
      <c r="D76" s="50"/>
      <c r="E76" s="50"/>
      <c r="F76" s="50"/>
      <c r="G76" s="50"/>
      <c r="H76" s="50"/>
      <c r="I76" s="50"/>
      <c r="J76" s="51"/>
    </row>
    <row r="77" spans="1:10">
      <c r="A77" s="28" t="s">
        <v>100</v>
      </c>
      <c r="B77" s="49"/>
      <c r="C77" s="50"/>
      <c r="D77" s="50"/>
      <c r="E77" s="50"/>
      <c r="F77" s="50"/>
      <c r="G77" s="50"/>
      <c r="H77" s="50"/>
      <c r="I77" s="50"/>
      <c r="J77" s="51"/>
    </row>
    <row r="78" spans="1:10">
      <c r="A78" s="28" t="s">
        <v>101</v>
      </c>
      <c r="B78" s="49"/>
      <c r="C78" s="50"/>
      <c r="D78" s="50"/>
      <c r="E78" s="50"/>
      <c r="F78" s="50"/>
      <c r="G78" s="50"/>
      <c r="H78" s="50"/>
      <c r="I78" s="50"/>
      <c r="J78" s="51"/>
    </row>
    <row r="79" spans="1:10">
      <c r="A79" s="28" t="s">
        <v>102</v>
      </c>
      <c r="B79" s="49"/>
      <c r="C79" s="50"/>
      <c r="D79" s="50"/>
      <c r="E79" s="50"/>
      <c r="F79" s="50"/>
      <c r="G79" s="50"/>
      <c r="H79" s="50"/>
      <c r="I79" s="50"/>
      <c r="J79" s="51"/>
    </row>
    <row r="80" spans="1:10">
      <c r="A80" s="28" t="s">
        <v>103</v>
      </c>
      <c r="B80" s="49"/>
      <c r="C80" s="50"/>
      <c r="D80" s="50"/>
      <c r="E80" s="50"/>
      <c r="F80" s="50"/>
      <c r="G80" s="50"/>
      <c r="H80" s="50"/>
      <c r="I80" s="50"/>
      <c r="J80" s="51"/>
    </row>
    <row r="81" spans="1:10">
      <c r="A81" s="28" t="s">
        <v>104</v>
      </c>
      <c r="B81" s="49"/>
      <c r="C81" s="50"/>
      <c r="D81" s="50"/>
      <c r="E81" s="50"/>
      <c r="F81" s="50"/>
      <c r="G81" s="50"/>
      <c r="H81" s="50"/>
      <c r="I81" s="50"/>
      <c r="J81" s="51"/>
    </row>
    <row r="82" spans="1:10">
      <c r="A82" s="28" t="s">
        <v>105</v>
      </c>
      <c r="B82" s="49"/>
      <c r="C82" s="50"/>
      <c r="D82" s="50"/>
      <c r="E82" s="50"/>
      <c r="F82" s="50"/>
      <c r="G82" s="50"/>
      <c r="H82" s="50"/>
      <c r="I82" s="50"/>
      <c r="J82" s="51"/>
    </row>
    <row r="83" spans="1:10">
      <c r="A83" s="28" t="s">
        <v>106</v>
      </c>
      <c r="B83" s="49"/>
      <c r="C83" s="50"/>
      <c r="D83" s="50"/>
      <c r="E83" s="50"/>
      <c r="F83" s="50"/>
      <c r="G83" s="50"/>
      <c r="H83" s="50"/>
      <c r="I83" s="50"/>
      <c r="J83" s="51"/>
    </row>
    <row r="84" spans="1:10">
      <c r="A84" s="28" t="s">
        <v>107</v>
      </c>
      <c r="B84" s="49"/>
      <c r="C84" s="50"/>
      <c r="D84" s="50"/>
      <c r="E84" s="50"/>
      <c r="F84" s="50"/>
      <c r="G84" s="50"/>
      <c r="H84" s="50"/>
      <c r="I84" s="50"/>
      <c r="J84" s="51"/>
    </row>
    <row r="85" spans="1:10">
      <c r="A85" s="28" t="s">
        <v>108</v>
      </c>
      <c r="B85" s="49"/>
      <c r="C85" s="50"/>
      <c r="D85" s="50"/>
      <c r="E85" s="50"/>
      <c r="F85" s="50"/>
      <c r="G85" s="50"/>
      <c r="H85" s="50"/>
      <c r="I85" s="50"/>
      <c r="J85" s="51"/>
    </row>
    <row r="86" spans="1:10">
      <c r="A86" s="28" t="s">
        <v>109</v>
      </c>
      <c r="B86" s="49"/>
      <c r="C86" s="50"/>
      <c r="D86" s="50"/>
      <c r="E86" s="50"/>
      <c r="F86" s="50"/>
      <c r="G86" s="50"/>
      <c r="H86" s="50"/>
      <c r="I86" s="50"/>
      <c r="J86" s="51"/>
    </row>
    <row r="87" spans="1:10">
      <c r="A87" s="28" t="s">
        <v>110</v>
      </c>
      <c r="B87" s="49"/>
      <c r="C87" s="50"/>
      <c r="D87" s="50"/>
      <c r="E87" s="50"/>
      <c r="F87" s="50"/>
      <c r="G87" s="50"/>
      <c r="H87" s="50"/>
      <c r="I87" s="50"/>
      <c r="J87" s="51"/>
    </row>
    <row r="88" spans="1:10">
      <c r="A88" s="28" t="s">
        <v>111</v>
      </c>
      <c r="B88" s="49"/>
      <c r="C88" s="50"/>
      <c r="D88" s="50"/>
      <c r="E88" s="50"/>
      <c r="F88" s="50"/>
      <c r="G88" s="50"/>
      <c r="H88" s="50"/>
      <c r="I88" s="50"/>
      <c r="J88" s="51"/>
    </row>
    <row r="89" spans="1:10">
      <c r="A89" s="28" t="s">
        <v>112</v>
      </c>
      <c r="B89" s="49"/>
      <c r="C89" s="50"/>
      <c r="D89" s="50"/>
      <c r="E89" s="50"/>
      <c r="F89" s="50"/>
      <c r="G89" s="50"/>
      <c r="H89" s="50"/>
      <c r="I89" s="50"/>
      <c r="J89" s="51"/>
    </row>
    <row r="90" spans="1:10">
      <c r="A90" s="28" t="s">
        <v>113</v>
      </c>
      <c r="B90" s="49"/>
      <c r="C90" s="50"/>
      <c r="D90" s="50"/>
      <c r="E90" s="50"/>
      <c r="F90" s="50"/>
      <c r="G90" s="50"/>
      <c r="H90" s="50"/>
      <c r="I90" s="50"/>
      <c r="J90" s="51"/>
    </row>
    <row r="91" spans="1:10">
      <c r="A91" s="28" t="s">
        <v>114</v>
      </c>
      <c r="B91" s="49"/>
      <c r="C91" s="50"/>
      <c r="D91" s="50"/>
      <c r="E91" s="50"/>
      <c r="F91" s="50"/>
      <c r="G91" s="50"/>
      <c r="H91" s="50"/>
      <c r="I91" s="50"/>
      <c r="J91" s="51"/>
    </row>
    <row r="92" spans="1:10">
      <c r="A92" s="28" t="s">
        <v>115</v>
      </c>
      <c r="B92" s="49"/>
      <c r="C92" s="50"/>
      <c r="D92" s="50"/>
      <c r="E92" s="50"/>
      <c r="F92" s="50"/>
      <c r="G92" s="50"/>
      <c r="H92" s="50"/>
      <c r="I92" s="50"/>
      <c r="J92" s="51"/>
    </row>
    <row r="93" spans="1:10">
      <c r="A93" s="28" t="s">
        <v>116</v>
      </c>
      <c r="B93" s="49"/>
      <c r="C93" s="50"/>
      <c r="D93" s="50"/>
      <c r="E93" s="50"/>
      <c r="F93" s="50"/>
      <c r="G93" s="50"/>
      <c r="H93" s="50"/>
      <c r="I93" s="50"/>
      <c r="J93" s="51"/>
    </row>
    <row r="94" spans="1:10">
      <c r="A94" s="28" t="s">
        <v>117</v>
      </c>
      <c r="B94" s="49"/>
      <c r="C94" s="50"/>
      <c r="D94" s="50"/>
      <c r="E94" s="50"/>
      <c r="F94" s="50"/>
      <c r="G94" s="50"/>
      <c r="H94" s="50"/>
      <c r="I94" s="50"/>
      <c r="J94" s="51"/>
    </row>
    <row r="95" spans="1:10">
      <c r="A95" s="28" t="s">
        <v>118</v>
      </c>
      <c r="B95" s="49"/>
      <c r="C95" s="50"/>
      <c r="D95" s="50"/>
      <c r="E95" s="50"/>
      <c r="F95" s="50"/>
      <c r="G95" s="50"/>
      <c r="H95" s="50"/>
      <c r="I95" s="50"/>
      <c r="J95" s="51"/>
    </row>
    <row r="96" spans="1:10">
      <c r="A96" s="28" t="s">
        <v>119</v>
      </c>
      <c r="B96" s="49"/>
      <c r="C96" s="50"/>
      <c r="D96" s="50"/>
      <c r="E96" s="50"/>
      <c r="F96" s="50"/>
      <c r="G96" s="50"/>
      <c r="H96" s="50"/>
      <c r="I96" s="50"/>
      <c r="J96" s="51"/>
    </row>
    <row r="97" spans="1:10">
      <c r="A97" s="28" t="s">
        <v>120</v>
      </c>
      <c r="B97" s="49"/>
      <c r="C97" s="50"/>
      <c r="D97" s="50"/>
      <c r="E97" s="50"/>
      <c r="F97" s="50"/>
      <c r="G97" s="50"/>
      <c r="H97" s="50"/>
      <c r="I97" s="50"/>
      <c r="J97" s="51"/>
    </row>
    <row r="98" spans="1:10">
      <c r="A98" s="28" t="s">
        <v>121</v>
      </c>
      <c r="B98" s="49"/>
      <c r="C98" s="50"/>
      <c r="D98" s="50"/>
      <c r="E98" s="50"/>
      <c r="F98" s="50"/>
      <c r="G98" s="50"/>
      <c r="H98" s="50"/>
      <c r="I98" s="50"/>
      <c r="J98" s="51"/>
    </row>
    <row r="99" spans="1:10">
      <c r="A99" s="28" t="s">
        <v>122</v>
      </c>
      <c r="B99" s="49"/>
      <c r="C99" s="50"/>
      <c r="D99" s="50"/>
      <c r="E99" s="50"/>
      <c r="F99" s="50"/>
      <c r="G99" s="50"/>
      <c r="H99" s="50"/>
      <c r="I99" s="50"/>
      <c r="J99" s="51"/>
    </row>
    <row r="100" spans="1:10">
      <c r="A100" s="28" t="s">
        <v>123</v>
      </c>
      <c r="B100" s="91"/>
      <c r="C100" s="92"/>
      <c r="D100" s="50"/>
      <c r="E100" s="50"/>
      <c r="F100" s="50"/>
      <c r="G100" s="50"/>
      <c r="H100" s="50"/>
      <c r="I100" s="50"/>
      <c r="J100" s="51"/>
    </row>
    <row r="101" spans="1:10">
      <c r="A101" s="28" t="s">
        <v>124</v>
      </c>
      <c r="B101" s="91"/>
      <c r="C101" s="92"/>
      <c r="D101" s="50"/>
      <c r="E101" s="50"/>
      <c r="F101" s="50"/>
      <c r="G101" s="50"/>
      <c r="H101" s="50"/>
      <c r="I101" s="50"/>
      <c r="J101" s="51"/>
    </row>
    <row r="102" spans="1:10">
      <c r="A102" s="29" t="s">
        <v>125</v>
      </c>
      <c r="B102" s="93"/>
      <c r="C102" s="94"/>
      <c r="D102" s="52"/>
      <c r="E102" s="52"/>
      <c r="F102" s="52"/>
      <c r="G102" s="52"/>
      <c r="H102" s="52"/>
      <c r="I102" s="52"/>
      <c r="J102" s="53"/>
    </row>
  </sheetData>
  <mergeCells count="10">
    <mergeCell ref="K1:K2"/>
    <mergeCell ref="L1:L2"/>
    <mergeCell ref="A1:A2"/>
    <mergeCell ref="B1:B2"/>
    <mergeCell ref="C1:C2"/>
    <mergeCell ref="D1:E1"/>
    <mergeCell ref="F1:G1"/>
    <mergeCell ref="H1:H2"/>
    <mergeCell ref="J1:J2"/>
    <mergeCell ref="I1:I2"/>
  </mergeCells>
  <phoneticPr fontId="1" type="noConversion"/>
  <conditionalFormatting sqref="D3:D7 D35:D102 F3:F102">
    <cfRule type="expression" dxfId="15" priority="16">
      <formula>AND(NOT(D3=""),D3=$J3)</formula>
    </cfRule>
  </conditionalFormatting>
  <conditionalFormatting sqref="E3:E7 E35:E102 G3:G102">
    <cfRule type="expression" dxfId="14" priority="15">
      <formula>AND(NOT(D3=""),D3=$J3)</formula>
    </cfRule>
  </conditionalFormatting>
  <conditionalFormatting sqref="D8:D11">
    <cfRule type="expression" dxfId="13" priority="14">
      <formula>AND(NOT(D8=""),D8=$J8)</formula>
    </cfRule>
  </conditionalFormatting>
  <conditionalFormatting sqref="E8:E11">
    <cfRule type="expression" dxfId="12" priority="13">
      <formula>AND(NOT(D8=""),D8=$J8)</formula>
    </cfRule>
  </conditionalFormatting>
  <conditionalFormatting sqref="D12:D15">
    <cfRule type="expression" dxfId="11" priority="12">
      <formula>AND(NOT(D12=""),D12=$J12)</formula>
    </cfRule>
  </conditionalFormatting>
  <conditionalFormatting sqref="E12:E15">
    <cfRule type="expression" dxfId="10" priority="11">
      <formula>AND(NOT(D12=""),D12=$J12)</formula>
    </cfRule>
  </conditionalFormatting>
  <conditionalFormatting sqref="D16:D19">
    <cfRule type="expression" dxfId="9" priority="10">
      <formula>AND(NOT(D16=""),D16=$J16)</formula>
    </cfRule>
  </conditionalFormatting>
  <conditionalFormatting sqref="E16:E19">
    <cfRule type="expression" dxfId="8" priority="9">
      <formula>AND(NOT(D16=""),D16=$J16)</formula>
    </cfRule>
  </conditionalFormatting>
  <conditionalFormatting sqref="D20:D23">
    <cfRule type="expression" dxfId="7" priority="8">
      <formula>AND(NOT(D20=""),D20=$J20)</formula>
    </cfRule>
  </conditionalFormatting>
  <conditionalFormatting sqref="E20:E23">
    <cfRule type="expression" dxfId="6" priority="7">
      <formula>AND(NOT(D20=""),D20=$J20)</formula>
    </cfRule>
  </conditionalFormatting>
  <conditionalFormatting sqref="D24:D27">
    <cfRule type="expression" dxfId="5" priority="6">
      <formula>AND(NOT(D24=""),D24=$J24)</formula>
    </cfRule>
  </conditionalFormatting>
  <conditionalFormatting sqref="E24:E27">
    <cfRule type="expression" dxfId="4" priority="5">
      <formula>AND(NOT(D24=""),D24=$J24)</formula>
    </cfRule>
  </conditionalFormatting>
  <conditionalFormatting sqref="D28:D31">
    <cfRule type="expression" dxfId="3" priority="4">
      <formula>AND(NOT(D28=""),D28=$J28)</formula>
    </cfRule>
  </conditionalFormatting>
  <conditionalFormatting sqref="E28:E31">
    <cfRule type="expression" dxfId="2" priority="3">
      <formula>AND(NOT(D28=""),D28=$J28)</formula>
    </cfRule>
  </conditionalFormatting>
  <conditionalFormatting sqref="D32:D34">
    <cfRule type="expression" dxfId="1" priority="2">
      <formula>AND(NOT(D32=""),D32=$J32)</formula>
    </cfRule>
  </conditionalFormatting>
  <conditionalFormatting sqref="E32:E34">
    <cfRule type="expression" dxfId="0" priority="1">
      <formula>AND(NOT(D32=""),D32=$J32)</formula>
    </cfRule>
  </conditionalFormatting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 enableFormatConditionsCalculation="0"/>
  <dimension ref="B2:AS62"/>
  <sheetViews>
    <sheetView zoomScale="55" zoomScaleNormal="55" zoomScalePageLayoutView="55" workbookViewId="0">
      <selection activeCell="BA43" sqref="BA43"/>
    </sheetView>
  </sheetViews>
  <sheetFormatPr baseColWidth="10" defaultColWidth="8" defaultRowHeight="13" customHeight="1" x14ac:dyDescent="0"/>
  <cols>
    <col min="1" max="1" width="3.83203125" style="1" customWidth="1"/>
    <col min="2" max="45" width="3.83203125" style="1" hidden="1" customWidth="1"/>
    <col min="46" max="16384" width="8" style="1"/>
  </cols>
  <sheetData>
    <row r="2" spans="2:45" ht="13" customHeight="1">
      <c r="B2" s="1">
        <f>COUNTIF(Play!M4:W4,Play!$BI$17)</f>
        <v>0</v>
      </c>
      <c r="C2" s="1">
        <f>COUNTIF(Play!O4:Y4,Play!$BI$17)</f>
        <v>0</v>
      </c>
      <c r="D2" s="1">
        <f>COUNTIF(Play!Q4:AA4,Play!$BI$17)</f>
        <v>0</v>
      </c>
      <c r="E2" s="1">
        <f>COUNTIF(Play!S4:AC4,Play!$BI$17)</f>
        <v>0</v>
      </c>
      <c r="F2" s="1">
        <f>COUNTIF(Play!U4:AE4,Play!$BI$17)</f>
        <v>0</v>
      </c>
      <c r="G2" s="1">
        <f>COUNTIF(Play!W4:AG4,Play!$BI$17)</f>
        <v>0</v>
      </c>
      <c r="H2" s="1">
        <f>COUNTIF(Play!Y4:AI4,Play!$BI$17)</f>
        <v>0</v>
      </c>
      <c r="I2" s="1">
        <f>COUNTIF(Play!AA4:AK4,Play!$BI$17)</f>
        <v>0</v>
      </c>
      <c r="J2" s="1">
        <f>COUNTIF(Play!AC4:AM4,Play!$BI$17)</f>
        <v>0</v>
      </c>
      <c r="K2" s="1">
        <f>COUNTIF(Play!AE4:AO4,Play!$BI$17)</f>
        <v>0</v>
      </c>
      <c r="L2" s="1">
        <f>COUNTIF(Play!AG4:AQ4,Play!$BI$17)</f>
        <v>0</v>
      </c>
      <c r="M2" s="1">
        <f>COUNTIF(Play!AI4:AS4,Play!$BI$17)</f>
        <v>0</v>
      </c>
      <c r="N2" s="1">
        <f>COUNTIF(Play!AK4:AU4,Play!$BI$17)</f>
        <v>0</v>
      </c>
      <c r="O2" s="1">
        <f>COUNTIF(Play!AM4:AW4,Play!$BI$17)</f>
        <v>0</v>
      </c>
      <c r="W2" s="1">
        <f>COUNTIF(Play!M4:W4,Play!$CF$17)</f>
        <v>0</v>
      </c>
      <c r="X2" s="1">
        <f>COUNTIF(Play!O4:Y4,Play!$CF$17)</f>
        <v>0</v>
      </c>
      <c r="Y2" s="1">
        <f>COUNTIF(Play!Q4:AA4,Play!$CF$17)</f>
        <v>0</v>
      </c>
      <c r="Z2" s="1">
        <f>COUNTIF(Play!S4:AC4,Play!$CF$17)</f>
        <v>0</v>
      </c>
      <c r="AA2" s="1">
        <f>COUNTIF(Play!U4:AE4,Play!$CF$17)</f>
        <v>0</v>
      </c>
      <c r="AB2" s="1">
        <f>COUNTIF(Play!W4:AG4,Play!$CF$17)</f>
        <v>0</v>
      </c>
      <c r="AC2" s="1">
        <f>COUNTIF(Play!Y4:AI4,Play!$CF$17)</f>
        <v>0</v>
      </c>
      <c r="AD2" s="1">
        <f>COUNTIF(Play!AA4:AK4,Play!$CF$17)</f>
        <v>0</v>
      </c>
      <c r="AE2" s="1">
        <f>COUNTIF(Play!AC4:AM4,Play!$CF$17)</f>
        <v>0</v>
      </c>
      <c r="AF2" s="1">
        <f>COUNTIF(Play!AE4:AO4,Play!$CF$17)</f>
        <v>0</v>
      </c>
      <c r="AG2" s="1">
        <f>COUNTIF(Play!AG4:AQ4,Play!$CF$17)</f>
        <v>0</v>
      </c>
      <c r="AH2" s="1">
        <f>COUNTIF(Play!AI4:AS4,Play!$CF$17)</f>
        <v>0</v>
      </c>
      <c r="AI2" s="1">
        <f>COUNTIF(Play!AK4:AU4,Play!$CF$17)</f>
        <v>0</v>
      </c>
      <c r="AJ2" s="1">
        <f>COUNTIF(Play!AM4:AW4,Play!$CF$17)</f>
        <v>0</v>
      </c>
      <c r="AQ2" s="1">
        <v>1</v>
      </c>
      <c r="AR2" s="1">
        <f t="shared" ref="AR2:AR7" si="0">COUNTIF($B$2:$T$62,$AQ2)</f>
        <v>0</v>
      </c>
      <c r="AS2" s="1">
        <f t="shared" ref="AS2:AS7" si="1">COUNTIF($W$2:$AO$62,$AQ2)</f>
        <v>0</v>
      </c>
    </row>
    <row r="3" spans="2:45" ht="13" customHeight="1">
      <c r="B3" s="1">
        <f>COUNTIF(Play!M4:M14,Play!$BI$17)</f>
        <v>0</v>
      </c>
      <c r="C3" s="1">
        <f>COUNTIF(Play!O4:O14,Play!$BI$17)</f>
        <v>0</v>
      </c>
      <c r="D3" s="1">
        <f>COUNTIF(Play!Q4:Q14,Play!$BI$17)</f>
        <v>0</v>
      </c>
      <c r="E3" s="1">
        <f>COUNTIF(Play!S4:S14,Play!$BI$17)</f>
        <v>0</v>
      </c>
      <c r="F3" s="1">
        <f>COUNTIF(Play!U4:U14,Play!$BI$17)</f>
        <v>0</v>
      </c>
      <c r="G3" s="1">
        <f>COUNTIF(Play!W4:W14,Play!$BI$17)</f>
        <v>0</v>
      </c>
      <c r="H3" s="1">
        <f>COUNTIF(Play!Y4:Y14,Play!$BI$17)</f>
        <v>0</v>
      </c>
      <c r="I3" s="1">
        <f>COUNTIF(Play!AA4:AA14,Play!$BI$17)</f>
        <v>0</v>
      </c>
      <c r="J3" s="1">
        <f>COUNTIF(Play!AC4:AC14,Play!$BI$17)</f>
        <v>0</v>
      </c>
      <c r="K3" s="1">
        <f>COUNTIF(Play!AE4:AE14,Play!$BI$17)</f>
        <v>0</v>
      </c>
      <c r="L3" s="1">
        <f>COUNTIF(Play!AG4:AG14,Play!$BI$17)</f>
        <v>0</v>
      </c>
      <c r="M3" s="1">
        <f>COUNTIF(Play!AI4:AI14,Play!$BI$17)</f>
        <v>0</v>
      </c>
      <c r="N3" s="1">
        <f>COUNTIF(Play!AK4:AK14,Play!$BI$17)</f>
        <v>0</v>
      </c>
      <c r="O3" s="1">
        <f>COUNTIF(Play!AM4:AM14,Play!$BI$17)</f>
        <v>0</v>
      </c>
      <c r="P3" s="1">
        <f>COUNTIF(Play!AO4:AO14,Play!$BI$17)</f>
        <v>0</v>
      </c>
      <c r="Q3" s="1">
        <f>COUNTIF(Play!AQ4:AQ14,Play!$BI$17)</f>
        <v>0</v>
      </c>
      <c r="R3" s="1">
        <f>COUNTIF(Play!AS4:AS14,Play!$BI$17)</f>
        <v>0</v>
      </c>
      <c r="S3" s="1">
        <f>COUNTIF(Play!AU4:AU14,Play!$BI$17)</f>
        <v>0</v>
      </c>
      <c r="T3" s="1">
        <f>COUNTIF(Play!AW4:AW14,Play!$BI$17)</f>
        <v>0</v>
      </c>
      <c r="W3" s="1">
        <f>COUNTIF(Play!M4:M14,Play!$CF$17)</f>
        <v>0</v>
      </c>
      <c r="X3" s="1">
        <f>COUNTIF(Play!O4:O14,Play!$CF$17)</f>
        <v>0</v>
      </c>
      <c r="Y3" s="1">
        <f>COUNTIF(Play!Q4:Q14,Play!$CF$17)</f>
        <v>0</v>
      </c>
      <c r="Z3" s="1">
        <f>COUNTIF(Play!S4:S14,Play!$CF$17)</f>
        <v>0</v>
      </c>
      <c r="AA3" s="1">
        <f>COUNTIF(Play!U4:U14,Play!$CF$17)</f>
        <v>0</v>
      </c>
      <c r="AB3" s="1">
        <f>COUNTIF(Play!W4:W14,Play!$CF$17)</f>
        <v>0</v>
      </c>
      <c r="AC3" s="1">
        <f>COUNTIF(Play!Y4:Y14,Play!$CF$17)</f>
        <v>0</v>
      </c>
      <c r="AD3" s="1">
        <f>COUNTIF(Play!AA4:AA14,Play!$CF$17)</f>
        <v>0</v>
      </c>
      <c r="AE3" s="1">
        <f>COUNTIF(Play!AC4:AC14,Play!$CF$17)</f>
        <v>0</v>
      </c>
      <c r="AF3" s="1">
        <f>COUNTIF(Play!AE4:AE14,Play!$CF$17)</f>
        <v>0</v>
      </c>
      <c r="AG3" s="1">
        <f>COUNTIF(Play!AG4:AG14,Play!$CF$17)</f>
        <v>0</v>
      </c>
      <c r="AH3" s="1">
        <f>COUNTIF(Play!AI4:AI14,Play!$CF$17)</f>
        <v>0</v>
      </c>
      <c r="AI3" s="1">
        <f>COUNTIF(Play!AK4:AK14,Play!$CF$17)</f>
        <v>0</v>
      </c>
      <c r="AJ3" s="1">
        <f>COUNTIF(Play!AM4:AM14,Play!$CF$17)</f>
        <v>0</v>
      </c>
      <c r="AK3" s="1">
        <f>COUNTIF(Play!AO4:AO14,Play!$CF$17)</f>
        <v>0</v>
      </c>
      <c r="AL3" s="1">
        <f>COUNTIF(Play!AQ4:AQ14,Play!$CF$17)</f>
        <v>0</v>
      </c>
      <c r="AM3" s="1">
        <f>COUNTIF(Play!AS4:AS14,Play!$CF$17)</f>
        <v>0</v>
      </c>
      <c r="AN3" s="1">
        <f>COUNTIF(Play!AU4:AU14,Play!$CF$17)</f>
        <v>0</v>
      </c>
      <c r="AO3" s="1">
        <f>COUNTIF(Play!AW4:AW14,Play!$CF$17)</f>
        <v>0</v>
      </c>
      <c r="AQ3" s="1">
        <v>2</v>
      </c>
      <c r="AR3" s="1">
        <f t="shared" si="0"/>
        <v>0</v>
      </c>
      <c r="AS3" s="1">
        <f t="shared" si="1"/>
        <v>0</v>
      </c>
    </row>
    <row r="4" spans="2:45" ht="13" customHeight="1">
      <c r="B4" s="1">
        <f>COUNTIF(Play!M4,Play!$BI$17)+COUNTIF(Play!O6,Play!$BI$17)+COUNTIF(Play!Q8,Play!$BI$17)+COUNTIF(Play!S10,Play!$BI$17)+COUNTIF(Play!U12,Play!$BI$17)+COUNTIF(Play!W14,Play!$BI$17)</f>
        <v>0</v>
      </c>
      <c r="C4" s="1">
        <f>COUNTIF(Play!O4,Play!$BI$17)+COUNTIF(Play!Q6,Play!$BI$17)+COUNTIF(Play!S8,Play!$BI$17)+COUNTIF(Play!U10,Play!$BI$17)+COUNTIF(Play!W12,Play!$BI$17)+COUNTIF(Play!Y14,Play!$BI$17)</f>
        <v>0</v>
      </c>
      <c r="D4" s="1">
        <f>COUNTIF(Play!Q4,Play!$BI$17)+COUNTIF(Play!S6,Play!$BI$17)+COUNTIF(Play!U8,Play!$BI$17)+COUNTIF(Play!W10,Play!$BI$17)+COUNTIF(Play!Y12,Play!$BI$17)+COUNTIF(Play!AA14,Play!$BI$17)</f>
        <v>0</v>
      </c>
      <c r="E4" s="1">
        <f>COUNTIF(Play!S4,Play!$BI$17)+COUNTIF(Play!U6,Play!$BI$17)+COUNTIF(Play!W8,Play!$BI$17)+COUNTIF(Play!Y10,Play!$BI$17)+COUNTIF(Play!AA12,Play!$BI$17)+COUNTIF(Play!AC14,Play!$BI$17)</f>
        <v>0</v>
      </c>
      <c r="F4" s="1">
        <f>COUNTIF(Play!U4,Play!$BI$17)+COUNTIF(Play!W6,Play!$BI$17)+COUNTIF(Play!Y8,Play!$BI$17)+COUNTIF(Play!AA10,Play!$BI$17)+COUNTIF(Play!AC12,Play!$BI$17)+COUNTIF(Play!AE14,Play!$BI$17)</f>
        <v>0</v>
      </c>
      <c r="G4" s="1">
        <f>COUNTIF(Play!W4,Play!$BI$17)+COUNTIF(Play!Y6,Play!$BI$17)+COUNTIF(Play!AA8,Play!$BI$17)+COUNTIF(Play!AC10,Play!$BI$17)+COUNTIF(Play!AE12,Play!$BI$17)+COUNTIF(Play!AG14,Play!$BI$17)</f>
        <v>0</v>
      </c>
      <c r="H4" s="1">
        <f>COUNTIF(Play!Y4,Play!$BI$17)+COUNTIF(Play!AA6,Play!$BI$17)+COUNTIF(Play!AC8,Play!$BI$17)+COUNTIF(Play!AE10,Play!$BI$17)+COUNTIF(Play!AG12,Play!$BI$17)+COUNTIF(Play!AI14,Play!$BI$17)</f>
        <v>0</v>
      </c>
      <c r="I4" s="1">
        <f>COUNTIF(Play!AA4,Play!$BI$17)+COUNTIF(Play!AC6,Play!$BI$17)+COUNTIF(Play!AE8,Play!$BI$17)+COUNTIF(Play!AG10,Play!$BI$17)+COUNTIF(Play!AI12,Play!$BI$17)+COUNTIF(Play!AK14,Play!$BI$17)</f>
        <v>0</v>
      </c>
      <c r="J4" s="1">
        <f>COUNTIF(Play!AC4,Play!$BI$17)+COUNTIF(Play!AE6,Play!$BI$17)+COUNTIF(Play!AG8,Play!$BI$17)+COUNTIF(Play!AI10,Play!$BI$17)+COUNTIF(Play!AK12,Play!$BI$17)+COUNTIF(Play!AM14,Play!$BI$17)</f>
        <v>0</v>
      </c>
      <c r="K4" s="1">
        <f>COUNTIF(Play!AE4,Play!$BI$17)+COUNTIF(Play!AG6,Play!$BI$17)+COUNTIF(Play!AI8,Play!$BI$17)+COUNTIF(Play!AK10,Play!$BI$17)+COUNTIF(Play!AM12,Play!$BI$17)+COUNTIF(Play!AO14,Play!$BI$17)</f>
        <v>0</v>
      </c>
      <c r="L4" s="1">
        <f>COUNTIF(Play!AG4,Play!$BI$17)+COUNTIF(Play!AI6,Play!$BI$17)+COUNTIF(Play!AK8,Play!$BI$17)+COUNTIF(Play!AM10,Play!$BI$17)+COUNTIF(Play!AO12,Play!$BI$17)+COUNTIF(Play!AQ14,Play!$BI$17)</f>
        <v>0</v>
      </c>
      <c r="M4" s="1">
        <f>COUNTIF(Play!AI4,Play!$BI$17)+COUNTIF(Play!AK6,Play!$BI$17)+COUNTIF(Play!AM8,Play!$BI$17)+COUNTIF(Play!AO10,Play!$BI$17)+COUNTIF(Play!AQ12,Play!$BI$17)+COUNTIF(Play!AS14,Play!$BI$17)</f>
        <v>0</v>
      </c>
      <c r="N4" s="1">
        <f>COUNTIF(Play!AK4,Play!$BI$17)+COUNTIF(Play!AM6,Play!$BI$17)+COUNTIF(Play!AO8,Play!$BI$17)+COUNTIF(Play!AQ10,Play!$BI$17)+COUNTIF(Play!AS12,Play!$BI$17)+COUNTIF(Play!AU14,Play!$BI$17)</f>
        <v>0</v>
      </c>
      <c r="O4" s="1">
        <f>COUNTIF(Play!AM4,Play!$BI$17)+COUNTIF(Play!AO6,Play!$BI$17)+COUNTIF(Play!AQ8,Play!$BI$17)+COUNTIF(Play!AS10,Play!$BI$17)+COUNTIF(Play!AU12,Play!$BI$17)+COUNTIF(Play!AW14,Play!$BI$17)</f>
        <v>0</v>
      </c>
      <c r="W4" s="1">
        <f>COUNTIF(Play!M4,Play!$CF$17)+COUNTIF(Play!O6,Play!$CF$17)+COUNTIF(Play!Q8,Play!$CF$17)+COUNTIF(Play!S10,Play!$CF$17)+COUNTIF(Play!U12,Play!$CF$17)+COUNTIF(Play!W14,Play!$CF$17)</f>
        <v>0</v>
      </c>
      <c r="X4" s="1">
        <f>COUNTIF(Play!O4,Play!$CF$17)+COUNTIF(Play!Q6,Play!$CF$17)+COUNTIF(Play!S8,Play!$CF$17)+COUNTIF(Play!U10,Play!$CF$17)+COUNTIF(Play!W12,Play!$CF$17)+COUNTIF(Play!Y14,Play!$CF$17)</f>
        <v>0</v>
      </c>
      <c r="Y4" s="1">
        <f>COUNTIF(Play!Q4,Play!$CF$17)+COUNTIF(Play!S6,Play!$CF$17)+COUNTIF(Play!U8,Play!$CF$17)+COUNTIF(Play!W10,Play!$CF$17)+COUNTIF(Play!Y12,Play!$CF$17)+COUNTIF(Play!AA14,Play!$CF$17)</f>
        <v>0</v>
      </c>
      <c r="Z4" s="1">
        <f>COUNTIF(Play!S4,Play!$CF$17)+COUNTIF(Play!U6,Play!$CF$17)+COUNTIF(Play!W8,Play!$CF$17)+COUNTIF(Play!Y10,Play!$CF$17)+COUNTIF(Play!AA12,Play!$CF$17)+COUNTIF(Play!AC14,Play!$CF$17)</f>
        <v>0</v>
      </c>
      <c r="AA4" s="1">
        <f>COUNTIF(Play!U4,Play!$CF$17)+COUNTIF(Play!W6,Play!$CF$17)+COUNTIF(Play!Y8,Play!$CF$17)+COUNTIF(Play!AA10,Play!$CF$17)+COUNTIF(Play!AC12,Play!$CF$17)+COUNTIF(Play!AE14,Play!$CF$17)</f>
        <v>0</v>
      </c>
      <c r="AB4" s="1">
        <f>COUNTIF(Play!W4,Play!$CF$17)+COUNTIF(Play!Y6,Play!$CF$17)+COUNTIF(Play!AA8,Play!$CF$17)+COUNTIF(Play!AC10,Play!$CF$17)+COUNTIF(Play!AE12,Play!$CF$17)+COUNTIF(Play!AG14,Play!$CF$17)</f>
        <v>0</v>
      </c>
      <c r="AC4" s="1">
        <f>COUNTIF(Play!Y4,Play!$CF$17)+COUNTIF(Play!AA6,Play!$CF$17)+COUNTIF(Play!AC8,Play!$CF$17)+COUNTIF(Play!AE10,Play!$CF$17)+COUNTIF(Play!AG12,Play!$CF$17)+COUNTIF(Play!AI14,Play!$CF$17)</f>
        <v>0</v>
      </c>
      <c r="AD4" s="1">
        <f>COUNTIF(Play!AA4,Play!$CF$17)+COUNTIF(Play!AC6,Play!$CF$17)+COUNTIF(Play!AE8,Play!$CF$17)+COUNTIF(Play!AG10,Play!$CF$17)+COUNTIF(Play!AI12,Play!$CF$17)+COUNTIF(Play!AK14,Play!$CF$17)</f>
        <v>0</v>
      </c>
      <c r="AE4" s="1">
        <f>COUNTIF(Play!AC4,Play!$CF$17)+COUNTIF(Play!AE6,Play!$CF$17)+COUNTIF(Play!AG8,Play!$CF$17)+COUNTIF(Play!AI10,Play!$CF$17)+COUNTIF(Play!AK12,Play!$CF$17)+COUNTIF(Play!AM14,Play!$CF$17)</f>
        <v>0</v>
      </c>
      <c r="AF4" s="1">
        <f>COUNTIF(Play!AE4,Play!$CF$17)+COUNTIF(Play!AG6,Play!$CF$17)+COUNTIF(Play!AI8,Play!$CF$17)+COUNTIF(Play!AK10,Play!$CF$17)+COUNTIF(Play!AM12,Play!$CF$17)+COUNTIF(Play!AO14,Play!$CF$17)</f>
        <v>0</v>
      </c>
      <c r="AG4" s="1">
        <f>COUNTIF(Play!AG4,Play!$CF$17)+COUNTIF(Play!AI6,Play!$CF$17)+COUNTIF(Play!AK8,Play!$CF$17)+COUNTIF(Play!AM10,Play!$CF$17)+COUNTIF(Play!AO12,Play!$CF$17)+COUNTIF(Play!AQ14,Play!$CF$17)</f>
        <v>0</v>
      </c>
      <c r="AH4" s="1">
        <f>COUNTIF(Play!AI4,Play!$CF$17)+COUNTIF(Play!AK6,Play!$CF$17)+COUNTIF(Play!AM8,Play!$CF$17)+COUNTIF(Play!AO10,Play!$CF$17)+COUNTIF(Play!AQ12,Play!$CF$17)+COUNTIF(Play!AS14,Play!$CF$17)</f>
        <v>0</v>
      </c>
      <c r="AI4" s="1">
        <f>COUNTIF(Play!AK4,Play!$CF$17)+COUNTIF(Play!AM6,Play!$CF$17)+COUNTIF(Play!AO8,Play!$CF$17)+COUNTIF(Play!AQ10,Play!$CF$17)+COUNTIF(Play!AS12,Play!$CF$17)+COUNTIF(Play!AU14,Play!$CF$17)</f>
        <v>0</v>
      </c>
      <c r="AJ4" s="1">
        <f>COUNTIF(Play!AM4,Play!$CF$17)+COUNTIF(Play!AO6,Play!$CF$17)+COUNTIF(Play!AQ8,Play!$CF$17)+COUNTIF(Play!AS10,Play!$CF$17)+COUNTIF(Play!AU12,Play!$CF$17)+COUNTIF(Play!AW14,Play!$CF$17)</f>
        <v>0</v>
      </c>
      <c r="AQ4" s="1">
        <v>3</v>
      </c>
      <c r="AR4" s="1">
        <f t="shared" si="0"/>
        <v>0</v>
      </c>
      <c r="AS4" s="1">
        <f t="shared" si="1"/>
        <v>0</v>
      </c>
    </row>
    <row r="5" spans="2:45" ht="13" customHeight="1">
      <c r="B5" s="1">
        <f>COUNTIF(Play!M14,Play!$BI$17)+COUNTIF(Play!O12,Play!$BI$17)+COUNTIF(Play!Q10,Play!$BI$17)+COUNTIF(Play!S8,Play!$BI$17)+COUNTIF(Play!U6,Play!$BI$17)+COUNTIF(Play!W4,Play!$BI$17)</f>
        <v>0</v>
      </c>
      <c r="C5" s="1">
        <f>COUNTIF(Play!O14,Play!$BI$17)+COUNTIF(Play!Q12,Play!$BI$17)+COUNTIF(Play!S10,Play!$BI$17)+COUNTIF(Play!U8,Play!$BI$17)+COUNTIF(Play!W6,Play!$BI$17)+COUNTIF(Play!Y4,Play!$BI$17)</f>
        <v>0</v>
      </c>
      <c r="D5" s="1">
        <f>COUNTIF(Play!Q14,Play!$BI$17)+COUNTIF(Play!S12,Play!$BI$17)+COUNTIF(Play!U10,Play!$BI$17)+COUNTIF(Play!W8,Play!$BI$17)+COUNTIF(Play!Y6,Play!$BI$17)+COUNTIF(Play!AA4,Play!$BI$17)</f>
        <v>0</v>
      </c>
      <c r="E5" s="1">
        <f>COUNTIF(Play!S14,Play!$BI$17)+COUNTIF(Play!U12,Play!$BI$17)+COUNTIF(Play!W10,Play!$BI$17)+COUNTIF(Play!Y8,Play!$BI$17)+COUNTIF(Play!AA6,Play!$BI$17)+COUNTIF(Play!AC4,Play!$BI$17)</f>
        <v>0</v>
      </c>
      <c r="F5" s="1">
        <f>COUNTIF(Play!U14,Play!$BI$17)+COUNTIF(Play!W12,Play!$BI$17)+COUNTIF(Play!Y10,Play!$BI$17)+COUNTIF(Play!AA8,Play!$BI$17)+COUNTIF(Play!AC6,Play!$BI$17)+COUNTIF(Play!AE4,Play!$BI$17)</f>
        <v>0</v>
      </c>
      <c r="G5" s="1">
        <f>COUNTIF(Play!W14,Play!$BI$17)+COUNTIF(Play!Y12,Play!$BI$17)+COUNTIF(Play!AA10,Play!$BI$17)+COUNTIF(Play!AC8,Play!$BI$17)+COUNTIF(Play!AE6,Play!$BI$17)+COUNTIF(Play!AG4,Play!$BI$17)</f>
        <v>0</v>
      </c>
      <c r="H5" s="1">
        <f>COUNTIF(Play!Y14,Play!$BI$17)+COUNTIF(Play!AA12,Play!$BI$17)+COUNTIF(Play!AC10,Play!$BI$17)+COUNTIF(Play!AE8,Play!$BI$17)+COUNTIF(Play!AG6,Play!$BI$17)+COUNTIF(Play!AI4,Play!$BI$17)</f>
        <v>0</v>
      </c>
      <c r="I5" s="1">
        <f>COUNTIF(Play!AA14,Play!$BI$17)+COUNTIF(Play!AC12,Play!$BI$17)+COUNTIF(Play!AE10,Play!$BI$17)+COUNTIF(Play!AG8,Play!$BI$17)+COUNTIF(Play!AI6,Play!$BI$17)+COUNTIF(Play!AK4,Play!$BI$17)</f>
        <v>0</v>
      </c>
      <c r="J5" s="1">
        <f>COUNTIF(Play!AC14,Play!$BI$17)+COUNTIF(Play!AE12,Play!$BI$17)+COUNTIF(Play!AG10,Play!$BI$17)+COUNTIF(Play!AI8,Play!$BI$17)+COUNTIF(Play!AK6,Play!$BI$17)+COUNTIF(Play!AM4,Play!$BI$17)</f>
        <v>0</v>
      </c>
      <c r="K5" s="1">
        <f>COUNTIF(Play!AE14,Play!$BI$17)+COUNTIF(Play!AG12,Play!$BI$17)+COUNTIF(Play!AI10,Play!$BI$17)+COUNTIF(Play!AK8,Play!$BI$17)+COUNTIF(Play!AM6,Play!$BI$17)+COUNTIF(Play!AO4,Play!$BI$17)</f>
        <v>0</v>
      </c>
      <c r="L5" s="1">
        <f>COUNTIF(Play!AG14,Play!$BI$17)+COUNTIF(Play!AI12,Play!$BI$17)+COUNTIF(Play!AK10,Play!$BI$17)+COUNTIF(Play!AM8,Play!$BI$17)+COUNTIF(Play!AO6,Play!$BI$17)+COUNTIF(Play!AQ4,Play!$BI$17)</f>
        <v>0</v>
      </c>
      <c r="M5" s="1">
        <f>COUNTIF(Play!AI14,Play!$BI$17)+COUNTIF(Play!AK12,Play!$BI$17)+COUNTIF(Play!AM10,Play!$BI$17)+COUNTIF(Play!AO8,Play!$BI$17)+COUNTIF(Play!AQ6,Play!$BI$17)+COUNTIF(Play!AS4,Play!$BI$17)</f>
        <v>0</v>
      </c>
      <c r="N5" s="1">
        <f>COUNTIF(Play!AK14,Play!$BI$17)+COUNTIF(Play!AM12,Play!$BI$17)+COUNTIF(Play!AO10,Play!$BI$17)+COUNTIF(Play!AQ8,Play!$BI$17)+COUNTIF(Play!AS6,Play!$BI$17)+COUNTIF(Play!AU4,Play!$BI$17)</f>
        <v>0</v>
      </c>
      <c r="O5" s="1">
        <f>COUNTIF(Play!AM14,Play!$BI$17)+COUNTIF(Play!AO12,Play!$BI$17)+COUNTIF(Play!AQ10,Play!$BI$17)+COUNTIF(Play!AS8,Play!$BI$17)+COUNTIF(Play!AU6,Play!$BI$17)+COUNTIF(Play!AW4,Play!$BI$17)</f>
        <v>0</v>
      </c>
      <c r="W5" s="1">
        <f>COUNTIF(Play!M14,Play!$CF$17)+COUNTIF(Play!O12,Play!$CF$17)+COUNTIF(Play!Q10,Play!$CF$17)+COUNTIF(Play!S8,Play!$CF$17)+COUNTIF(Play!U6,Play!$CF$17)+COUNTIF(Play!W4,Play!$CF$17)</f>
        <v>0</v>
      </c>
      <c r="X5" s="1">
        <f>COUNTIF(Play!O14,Play!$CF$17)+COUNTIF(Play!Q12,Play!$CF$17)+COUNTIF(Play!S10,Play!$CF$17)+COUNTIF(Play!U8,Play!$CF$17)+COUNTIF(Play!W6,Play!$CF$17)+COUNTIF(Play!Y4,Play!$CF$17)</f>
        <v>0</v>
      </c>
      <c r="Y5" s="1">
        <f>COUNTIF(Play!Q14,Play!$CF$17)+COUNTIF(Play!S12,Play!$CF$17)+COUNTIF(Play!U10,Play!$CF$17)+COUNTIF(Play!W8,Play!$CF$17)+COUNTIF(Play!Y6,Play!$CF$17)+COUNTIF(Play!AA4,Play!$CF$17)</f>
        <v>0</v>
      </c>
      <c r="Z5" s="1">
        <f>COUNTIF(Play!S14,Play!$CF$17)+COUNTIF(Play!U12,Play!$CF$17)+COUNTIF(Play!W10,Play!$CF$17)+COUNTIF(Play!Y8,Play!$CF$17)+COUNTIF(Play!AA6,Play!$CF$17)+COUNTIF(Play!AC4,Play!$CF$17)</f>
        <v>0</v>
      </c>
      <c r="AA5" s="1">
        <f>COUNTIF(Play!U14,Play!$CF$17)+COUNTIF(Play!W12,Play!$CF$17)+COUNTIF(Play!Y10,Play!$CF$17)+COUNTIF(Play!AA8,Play!$CF$17)+COUNTIF(Play!AC6,Play!$CF$17)+COUNTIF(Play!AE4,Play!$CF$17)</f>
        <v>0</v>
      </c>
      <c r="AB5" s="1">
        <f>COUNTIF(Play!W14,Play!$CF$17)+COUNTIF(Play!Y12,Play!$CF$17)+COUNTIF(Play!AA10,Play!$CF$17)+COUNTIF(Play!AC8,Play!$CF$17)+COUNTIF(Play!AE6,Play!$CF$17)+COUNTIF(Play!AG4,Play!$CF$17)</f>
        <v>0</v>
      </c>
      <c r="AC5" s="1">
        <f>COUNTIF(Play!Y14,Play!$CF$17)+COUNTIF(Play!AA12,Play!$CF$17)+COUNTIF(Play!AC10,Play!$CF$17)+COUNTIF(Play!AE8,Play!$CF$17)+COUNTIF(Play!AG6,Play!$CF$17)+COUNTIF(Play!AI4,Play!$CF$17)</f>
        <v>0</v>
      </c>
      <c r="AD5" s="1">
        <f>COUNTIF(Play!AA14,Play!$CF$17)+COUNTIF(Play!AC12,Play!$CF$17)+COUNTIF(Play!AE10,Play!$CF$17)+COUNTIF(Play!AG8,Play!$CF$17)+COUNTIF(Play!AI6,Play!$CF$17)+COUNTIF(Play!AK4,Play!$CF$17)</f>
        <v>0</v>
      </c>
      <c r="AE5" s="1">
        <f>COUNTIF(Play!AC14,Play!$CF$17)+COUNTIF(Play!AE12,Play!$CF$17)+COUNTIF(Play!AG10,Play!$CF$17)+COUNTIF(Play!AI8,Play!$CF$17)+COUNTIF(Play!AK6,Play!$CF$17)+COUNTIF(Play!AM4,Play!$CF$17)</f>
        <v>0</v>
      </c>
      <c r="AF5" s="1">
        <f>COUNTIF(Play!AE14,Play!$CF$17)+COUNTIF(Play!AG12,Play!$CF$17)+COUNTIF(Play!AI10,Play!$CF$17)+COUNTIF(Play!AK8,Play!$CF$17)+COUNTIF(Play!AM6,Play!$CF$17)+COUNTIF(Play!AO4,Play!$CF$17)</f>
        <v>0</v>
      </c>
      <c r="AG5" s="1">
        <f>COUNTIF(Play!AG14,Play!$CF$17)+COUNTIF(Play!AI12,Play!$CF$17)+COUNTIF(Play!AK10,Play!$CF$17)+COUNTIF(Play!AM8,Play!$CF$17)+COUNTIF(Play!AO6,Play!$CF$17)+COUNTIF(Play!AQ4,Play!$CF$17)</f>
        <v>0</v>
      </c>
      <c r="AH5" s="1">
        <f>COUNTIF(Play!AI14,Play!$CF$17)+COUNTIF(Play!AK12,Play!$CF$17)+COUNTIF(Play!AM10,Play!$CF$17)+COUNTIF(Play!AO8,Play!$CF$17)+COUNTIF(Play!AQ6,Play!$CF$17)+COUNTIF(Play!AS4,Play!$CF$17)</f>
        <v>0</v>
      </c>
      <c r="AI5" s="1">
        <f>COUNTIF(Play!AK14,Play!$CF$17)+COUNTIF(Play!AM12,Play!$CF$17)+COUNTIF(Play!AO10,Play!$CF$17)+COUNTIF(Play!AQ8,Play!$CF$17)+COUNTIF(Play!AS6,Play!$CF$17)+COUNTIF(Play!AU4,Play!$CF$17)</f>
        <v>0</v>
      </c>
      <c r="AJ5" s="1">
        <f>COUNTIF(Play!AM14,Play!$CF$17)+COUNTIF(Play!AO12,Play!$CF$17)+COUNTIF(Play!AQ10,Play!$CF$17)+COUNTIF(Play!AS8,Play!$CF$17)+COUNTIF(Play!AU6,Play!$CF$17)+COUNTIF(Play!AW4,Play!$CF$17)</f>
        <v>0</v>
      </c>
      <c r="AQ5" s="1">
        <v>4</v>
      </c>
      <c r="AR5" s="1">
        <f t="shared" si="0"/>
        <v>0</v>
      </c>
      <c r="AS5" s="1">
        <f t="shared" si="1"/>
        <v>0</v>
      </c>
    </row>
    <row r="6" spans="2:45" ht="13" customHeight="1">
      <c r="B6" s="1">
        <f>COUNTIF(Play!M6:W6,Play!$BI$17)</f>
        <v>0</v>
      </c>
      <c r="C6" s="1">
        <f>COUNTIF(Play!O6:Y6,Play!$BI$17)</f>
        <v>0</v>
      </c>
      <c r="D6" s="1">
        <f>COUNTIF(Play!Q6:AA6,Play!$BI$17)</f>
        <v>0</v>
      </c>
      <c r="E6" s="1">
        <f>COUNTIF(Play!S6:AC6,Play!$BI$17)</f>
        <v>0</v>
      </c>
      <c r="F6" s="1">
        <f>COUNTIF(Play!U6:AE6,Play!$BI$17)</f>
        <v>0</v>
      </c>
      <c r="G6" s="1">
        <f>COUNTIF(Play!W6:AG6,Play!$BI$17)</f>
        <v>0</v>
      </c>
      <c r="H6" s="1">
        <f>COUNTIF(Play!Y6:AI6,Play!$BI$17)</f>
        <v>0</v>
      </c>
      <c r="I6" s="1">
        <f>COUNTIF(Play!AA6:AK6,Play!$BI$17)</f>
        <v>0</v>
      </c>
      <c r="J6" s="1">
        <f>COUNTIF(Play!AC6:AM6,Play!$BI$17)</f>
        <v>0</v>
      </c>
      <c r="K6" s="1">
        <f>COUNTIF(Play!AE6:AO6,Play!$BI$17)</f>
        <v>0</v>
      </c>
      <c r="L6" s="1">
        <f>COUNTIF(Play!AG6:AQ6,Play!$BI$17)</f>
        <v>0</v>
      </c>
      <c r="M6" s="1">
        <f>COUNTIF(Play!AI6:AS6,Play!$BI$17)</f>
        <v>0</v>
      </c>
      <c r="N6" s="1">
        <f>COUNTIF(Play!AK6:AU6,Play!$BI$17)</f>
        <v>0</v>
      </c>
      <c r="O6" s="1">
        <f>COUNTIF(Play!AM6:AW6,Play!$BI$17)</f>
        <v>0</v>
      </c>
      <c r="W6" s="1">
        <f>COUNTIF(Play!M6:W6,Play!$CF$17)</f>
        <v>0</v>
      </c>
      <c r="X6" s="1">
        <f>COUNTIF(Play!O6:Y6,Play!$CF$17)</f>
        <v>0</v>
      </c>
      <c r="Y6" s="1">
        <f>COUNTIF(Play!Q6:AA6,Play!$CF$17)</f>
        <v>0</v>
      </c>
      <c r="Z6" s="1">
        <f>COUNTIF(Play!S6:AC6,Play!$CF$17)</f>
        <v>0</v>
      </c>
      <c r="AA6" s="1">
        <f>COUNTIF(Play!U6:AE6,Play!$CF$17)</f>
        <v>0</v>
      </c>
      <c r="AB6" s="1">
        <f>COUNTIF(Play!W6:AG6,Play!$CF$17)</f>
        <v>0</v>
      </c>
      <c r="AC6" s="1">
        <f>COUNTIF(Play!Y6:AI6,Play!$CF$17)</f>
        <v>0</v>
      </c>
      <c r="AD6" s="1">
        <f>COUNTIF(Play!AA6:AK6,Play!$CF$17)</f>
        <v>0</v>
      </c>
      <c r="AE6" s="1">
        <f>COUNTIF(Play!AC6:AM6,Play!$CF$17)</f>
        <v>0</v>
      </c>
      <c r="AF6" s="1">
        <f>COUNTIF(Play!AE6:AO6,Play!$CF$17)</f>
        <v>0</v>
      </c>
      <c r="AG6" s="1">
        <f>COUNTIF(Play!AG6:AQ6,Play!$CF$17)</f>
        <v>0</v>
      </c>
      <c r="AH6" s="1">
        <f>COUNTIF(Play!AI6:AS6,Play!$CF$17)</f>
        <v>0</v>
      </c>
      <c r="AI6" s="1">
        <f>COUNTIF(Play!AK6:AU6,Play!$CF$17)</f>
        <v>0</v>
      </c>
      <c r="AJ6" s="1">
        <f>COUNTIF(Play!AM6:AW6,Play!$CF$17)</f>
        <v>0</v>
      </c>
      <c r="AQ6" s="1">
        <v>5</v>
      </c>
      <c r="AR6" s="1">
        <f t="shared" si="0"/>
        <v>0</v>
      </c>
      <c r="AS6" s="1">
        <f t="shared" si="1"/>
        <v>0</v>
      </c>
    </row>
    <row r="7" spans="2:45" ht="13" customHeight="1">
      <c r="B7" s="1">
        <f>COUNTIF(Play!M6:M16,Play!$BI$17)</f>
        <v>0</v>
      </c>
      <c r="C7" s="1">
        <f>COUNTIF(Play!O6:O16,Play!$BI$17)</f>
        <v>0</v>
      </c>
      <c r="D7" s="1">
        <f>COUNTIF(Play!Q6:Q16,Play!$BI$17)</f>
        <v>0</v>
      </c>
      <c r="E7" s="1">
        <f>COUNTIF(Play!S6:S16,Play!$BI$17)</f>
        <v>0</v>
      </c>
      <c r="F7" s="1">
        <f>COUNTIF(Play!U6:U16,Play!$BI$17)</f>
        <v>0</v>
      </c>
      <c r="G7" s="1">
        <f>COUNTIF(Play!W6:W16,Play!$BI$17)</f>
        <v>0</v>
      </c>
      <c r="H7" s="1">
        <f>COUNTIF(Play!Y6:Y16,Play!$BI$17)</f>
        <v>0</v>
      </c>
      <c r="I7" s="1">
        <f>COUNTIF(Play!AA6:AA16,Play!$BI$17)</f>
        <v>0</v>
      </c>
      <c r="J7" s="1">
        <f>COUNTIF(Play!AC6:AC16,Play!$BI$17)</f>
        <v>0</v>
      </c>
      <c r="K7" s="1">
        <f>COUNTIF(Play!AE6:AE16,Play!$BI$17)</f>
        <v>0</v>
      </c>
      <c r="L7" s="1">
        <f>COUNTIF(Play!AG6:AG16,Play!$BI$17)</f>
        <v>0</v>
      </c>
      <c r="M7" s="1">
        <f>COUNTIF(Play!AI6:AI16,Play!$BI$17)</f>
        <v>0</v>
      </c>
      <c r="N7" s="1">
        <f>COUNTIF(Play!AK6:AK16,Play!$BI$17)</f>
        <v>0</v>
      </c>
      <c r="O7" s="1">
        <f>COUNTIF(Play!AM6:AM16,Play!$BI$17)</f>
        <v>0</v>
      </c>
      <c r="P7" s="1">
        <f>COUNTIF(Play!AO6:AO16,Play!$BI$17)</f>
        <v>0</v>
      </c>
      <c r="Q7" s="1">
        <f>COUNTIF(Play!AQ6:AQ16,Play!$BI$17)</f>
        <v>0</v>
      </c>
      <c r="R7" s="1">
        <f>COUNTIF(Play!AS6:AS16,Play!$BI$17)</f>
        <v>0</v>
      </c>
      <c r="S7" s="1">
        <f>COUNTIF(Play!AU6:AU16,Play!$BI$17)</f>
        <v>0</v>
      </c>
      <c r="T7" s="1">
        <f>COUNTIF(Play!AW6:AW16,Play!$BI$17)</f>
        <v>0</v>
      </c>
      <c r="W7" s="1">
        <f>COUNTIF(Play!M6:M16,Play!$CF$17)</f>
        <v>0</v>
      </c>
      <c r="X7" s="1">
        <f>COUNTIF(Play!O6:O16,Play!$CF$17)</f>
        <v>0</v>
      </c>
      <c r="Y7" s="1">
        <f>COUNTIF(Play!Q6:Q16,Play!$CF$17)</f>
        <v>0</v>
      </c>
      <c r="Z7" s="1">
        <f>COUNTIF(Play!S6:S16,Play!$CF$17)</f>
        <v>0</v>
      </c>
      <c r="AA7" s="1">
        <f>COUNTIF(Play!U6:U16,Play!$CF$17)</f>
        <v>0</v>
      </c>
      <c r="AB7" s="1">
        <f>COUNTIF(Play!W6:W16,Play!$CF$17)</f>
        <v>0</v>
      </c>
      <c r="AC7" s="1">
        <f>COUNTIF(Play!Y6:Y16,Play!$CF$17)</f>
        <v>0</v>
      </c>
      <c r="AD7" s="1">
        <f>COUNTIF(Play!AA6:AA16,Play!$CF$17)</f>
        <v>0</v>
      </c>
      <c r="AE7" s="1">
        <f>COUNTIF(Play!AC6:AC16,Play!$CF$17)</f>
        <v>0</v>
      </c>
      <c r="AF7" s="1">
        <f>COUNTIF(Play!AE6:AE16,Play!$CF$17)</f>
        <v>0</v>
      </c>
      <c r="AG7" s="1">
        <f>COUNTIF(Play!AG6:AG16,Play!$CF$17)</f>
        <v>0</v>
      </c>
      <c r="AH7" s="1">
        <f>COUNTIF(Play!AI6:AI16,Play!$CF$17)</f>
        <v>0</v>
      </c>
      <c r="AI7" s="1">
        <f>COUNTIF(Play!AK6:AK16,Play!$CF$17)</f>
        <v>0</v>
      </c>
      <c r="AJ7" s="1">
        <f>COUNTIF(Play!AM6:AM16,Play!$CF$17)</f>
        <v>0</v>
      </c>
      <c r="AK7" s="1">
        <f>COUNTIF(Play!AO6:AO16,Play!$CF$17)</f>
        <v>0</v>
      </c>
      <c r="AL7" s="1">
        <f>COUNTIF(Play!AQ6:AQ16,Play!$CF$17)</f>
        <v>0</v>
      </c>
      <c r="AM7" s="1">
        <f>COUNTIF(Play!AS6:AS16,Play!$CF$17)</f>
        <v>0</v>
      </c>
      <c r="AN7" s="1">
        <f>COUNTIF(Play!AU6:AU16,Play!$CF$17)</f>
        <v>0</v>
      </c>
      <c r="AO7" s="1">
        <f>COUNTIF(Play!AW6:AW16,Play!$CF$17)</f>
        <v>0</v>
      </c>
      <c r="AQ7" s="1">
        <v>6</v>
      </c>
      <c r="AR7" s="1">
        <f t="shared" si="0"/>
        <v>0</v>
      </c>
      <c r="AS7" s="1">
        <f t="shared" si="1"/>
        <v>0</v>
      </c>
    </row>
    <row r="8" spans="2:45" ht="13" customHeight="1">
      <c r="B8" s="1">
        <f>COUNTIF(Play!M6,Play!$BI$17)+COUNTIF(Play!O8,Play!$BI$17)+COUNTIF(Play!Q10,Play!$BI$17)+COUNTIF(Play!S12,Play!$BI$17)+COUNTIF(Play!U14,Play!$BI$17)+COUNTIF(Play!W16,Play!$BI$17)</f>
        <v>0</v>
      </c>
      <c r="C8" s="1">
        <f>COUNTIF(Play!O6,Play!$BI$17)+COUNTIF(Play!Q8,Play!$BI$17)+COUNTIF(Play!S10,Play!$BI$17)+COUNTIF(Play!U12,Play!$BI$17)+COUNTIF(Play!W14,Play!$BI$17)+COUNTIF(Play!Y16,Play!$BI$17)</f>
        <v>0</v>
      </c>
      <c r="D8" s="1">
        <f>COUNTIF(Play!Q6,Play!$BI$17)+COUNTIF(Play!S8,Play!$BI$17)+COUNTIF(Play!U10,Play!$BI$17)+COUNTIF(Play!W12,Play!$BI$17)+COUNTIF(Play!Y14,Play!$BI$17)+COUNTIF(Play!AA16,Play!$BI$17)</f>
        <v>0</v>
      </c>
      <c r="E8" s="1">
        <f>COUNTIF(Play!S6,Play!$BI$17)+COUNTIF(Play!U8,Play!$BI$17)+COUNTIF(Play!W10,Play!$BI$17)+COUNTIF(Play!Y12,Play!$BI$17)+COUNTIF(Play!AA14,Play!$BI$17)+COUNTIF(Play!AC16,Play!$BI$17)</f>
        <v>0</v>
      </c>
      <c r="F8" s="1">
        <f>COUNTIF(Play!U6,Play!$BI$17)+COUNTIF(Play!W8,Play!$BI$17)+COUNTIF(Play!Y10,Play!$BI$17)+COUNTIF(Play!AA12,Play!$BI$17)+COUNTIF(Play!AC14,Play!$BI$17)+COUNTIF(Play!AE16,Play!$BI$17)</f>
        <v>0</v>
      </c>
      <c r="G8" s="1">
        <f>COUNTIF(Play!W6,Play!$BI$17)+COUNTIF(Play!Y8,Play!$BI$17)+COUNTIF(Play!AA10,Play!$BI$17)+COUNTIF(Play!AC12,Play!$BI$17)+COUNTIF(Play!AE14,Play!$BI$17)+COUNTIF(Play!AG16,Play!$BI$17)</f>
        <v>0</v>
      </c>
      <c r="H8" s="1">
        <f>COUNTIF(Play!Y6,Play!$BI$17)+COUNTIF(Play!AA8,Play!$BI$17)+COUNTIF(Play!AC10,Play!$BI$17)+COUNTIF(Play!AE12,Play!$BI$17)+COUNTIF(Play!AG14,Play!$BI$17)+COUNTIF(Play!AI16,Play!$BI$17)</f>
        <v>0</v>
      </c>
      <c r="I8" s="1">
        <f>COUNTIF(Play!AA6,Play!$BI$17)+COUNTIF(Play!AC8,Play!$BI$17)+COUNTIF(Play!AE10,Play!$BI$17)+COUNTIF(Play!AG12,Play!$BI$17)+COUNTIF(Play!AI14,Play!$BI$17)+COUNTIF(Play!AK16,Play!$BI$17)</f>
        <v>0</v>
      </c>
      <c r="J8" s="1">
        <f>COUNTIF(Play!AC6,Play!$BI$17)+COUNTIF(Play!AE8,Play!$BI$17)+COUNTIF(Play!AG10,Play!$BI$17)+COUNTIF(Play!AI12,Play!$BI$17)+COUNTIF(Play!AK14,Play!$BI$17)+COUNTIF(Play!AM16,Play!$BI$17)</f>
        <v>0</v>
      </c>
      <c r="K8" s="1">
        <f>COUNTIF(Play!AE6,Play!$BI$17)+COUNTIF(Play!AG8,Play!$BI$17)+COUNTIF(Play!AI10,Play!$BI$17)+COUNTIF(Play!AK12,Play!$BI$17)+COUNTIF(Play!AM14,Play!$BI$17)+COUNTIF(Play!AO16,Play!$BI$17)</f>
        <v>0</v>
      </c>
      <c r="L8" s="1">
        <f>COUNTIF(Play!AG6,Play!$BI$17)+COUNTIF(Play!AI8,Play!$BI$17)+COUNTIF(Play!AK10,Play!$BI$17)+COUNTIF(Play!AM12,Play!$BI$17)+COUNTIF(Play!AO14,Play!$BI$17)+COUNTIF(Play!AQ16,Play!$BI$17)</f>
        <v>0</v>
      </c>
      <c r="M8" s="1">
        <f>COUNTIF(Play!AI6,Play!$BI$17)+COUNTIF(Play!AK8,Play!$BI$17)+COUNTIF(Play!AM10,Play!$BI$17)+COUNTIF(Play!AO12,Play!$BI$17)+COUNTIF(Play!AQ14,Play!$BI$17)+COUNTIF(Play!AS16,Play!$BI$17)</f>
        <v>0</v>
      </c>
      <c r="N8" s="1">
        <f>COUNTIF(Play!AK6,Play!$BI$17)+COUNTIF(Play!AM8,Play!$BI$17)+COUNTIF(Play!AO10,Play!$BI$17)+COUNTIF(Play!AQ12,Play!$BI$17)+COUNTIF(Play!AS14,Play!$BI$17)+COUNTIF(Play!AU16,Play!$BI$17)</f>
        <v>0</v>
      </c>
      <c r="O8" s="1">
        <f>COUNTIF(Play!AM6,Play!$BI$17)+COUNTIF(Play!AO8,Play!$BI$17)+COUNTIF(Play!AQ10,Play!$BI$17)+COUNTIF(Play!AS12,Play!$BI$17)+COUNTIF(Play!AU14,Play!$BI$17)+COUNTIF(Play!AW16,Play!$BI$17)</f>
        <v>0</v>
      </c>
      <c r="W8" s="1">
        <f>COUNTIF(Play!M6,Play!$CF$17)+COUNTIF(Play!O8,Play!$CF$17)+COUNTIF(Play!Q10,Play!$CF$17)+COUNTIF(Play!S12,Play!$CF$17)+COUNTIF(Play!U14,Play!$CF$17)+COUNTIF(Play!W16,Play!$CF$17)</f>
        <v>0</v>
      </c>
      <c r="X8" s="1">
        <f>COUNTIF(Play!O6,Play!$CF$17)+COUNTIF(Play!Q8,Play!$CF$17)+COUNTIF(Play!S10,Play!$CF$17)+COUNTIF(Play!U12,Play!$CF$17)+COUNTIF(Play!W14,Play!$CF$17)+COUNTIF(Play!Y16,Play!$CF$17)</f>
        <v>0</v>
      </c>
      <c r="Y8" s="1">
        <f>COUNTIF(Play!Q6,Play!$CF$17)+COUNTIF(Play!S8,Play!$CF$17)+COUNTIF(Play!U10,Play!$CF$17)+COUNTIF(Play!W12,Play!$CF$17)+COUNTIF(Play!Y14,Play!$CF$17)+COUNTIF(Play!AA16,Play!$CF$17)</f>
        <v>0</v>
      </c>
      <c r="Z8" s="1">
        <f>COUNTIF(Play!S6,Play!$CF$17)+COUNTIF(Play!U8,Play!$CF$17)+COUNTIF(Play!W10,Play!$CF$17)+COUNTIF(Play!Y12,Play!$CF$17)+COUNTIF(Play!AA14,Play!$CF$17)+COUNTIF(Play!AC16,Play!$CF$17)</f>
        <v>0</v>
      </c>
      <c r="AA8" s="1">
        <f>COUNTIF(Play!U6,Play!$CF$17)+COUNTIF(Play!W8,Play!$CF$17)+COUNTIF(Play!Y10,Play!$CF$17)+COUNTIF(Play!AA12,Play!$CF$17)+COUNTIF(Play!AC14,Play!$CF$17)+COUNTIF(Play!AE16,Play!$CF$17)</f>
        <v>0</v>
      </c>
      <c r="AB8" s="1">
        <f>COUNTIF(Play!W6,Play!$CF$17)+COUNTIF(Play!Y8,Play!$CF$17)+COUNTIF(Play!AA10,Play!$CF$17)+COUNTIF(Play!AC12,Play!$CF$17)+COUNTIF(Play!AE14,Play!$CF$17)+COUNTIF(Play!AG16,Play!$CF$17)</f>
        <v>0</v>
      </c>
      <c r="AC8" s="1">
        <f>COUNTIF(Play!Y6,Play!$CF$17)+COUNTIF(Play!AA8,Play!$CF$17)+COUNTIF(Play!AC10,Play!$CF$17)+COUNTIF(Play!AE12,Play!$CF$17)+COUNTIF(Play!AG14,Play!$CF$17)+COUNTIF(Play!AI16,Play!$CF$17)</f>
        <v>0</v>
      </c>
      <c r="AD8" s="1">
        <f>COUNTIF(Play!AA6,Play!$CF$17)+COUNTIF(Play!AC8,Play!$CF$17)+COUNTIF(Play!AE10,Play!$CF$17)+COUNTIF(Play!AG12,Play!$CF$17)+COUNTIF(Play!AI14,Play!$CF$17)+COUNTIF(Play!AK16,Play!$CF$17)</f>
        <v>0</v>
      </c>
      <c r="AE8" s="1">
        <f>COUNTIF(Play!AC6,Play!$CF$17)+COUNTIF(Play!AE8,Play!$CF$17)+COUNTIF(Play!AG10,Play!$CF$17)+COUNTIF(Play!AI12,Play!$CF$17)+COUNTIF(Play!AK14,Play!$CF$17)+COUNTIF(Play!AM16,Play!$CF$17)</f>
        <v>0</v>
      </c>
      <c r="AF8" s="1">
        <f>COUNTIF(Play!AE6,Play!$CF$17)+COUNTIF(Play!AG8,Play!$CF$17)+COUNTIF(Play!AI10,Play!$CF$17)+COUNTIF(Play!AK12,Play!$CF$17)+COUNTIF(Play!AM14,Play!$CF$17)+COUNTIF(Play!AO16,Play!$CF$17)</f>
        <v>0</v>
      </c>
      <c r="AG8" s="1">
        <f>COUNTIF(Play!AG6,Play!$CF$17)+COUNTIF(Play!AI8,Play!$CF$17)+COUNTIF(Play!AK10,Play!$CF$17)+COUNTIF(Play!AM12,Play!$CF$17)+COUNTIF(Play!AO14,Play!$CF$17)+COUNTIF(Play!AQ16,Play!$CF$17)</f>
        <v>0</v>
      </c>
      <c r="AH8" s="1">
        <f>COUNTIF(Play!AI6,Play!$CF$17)+COUNTIF(Play!AK8,Play!$CF$17)+COUNTIF(Play!AM10,Play!$CF$17)+COUNTIF(Play!AO12,Play!$CF$17)+COUNTIF(Play!AQ14,Play!$CF$17)+COUNTIF(Play!AS16,Play!$CF$17)</f>
        <v>0</v>
      </c>
      <c r="AI8" s="1">
        <f>COUNTIF(Play!AK6,Play!$CF$17)+COUNTIF(Play!AM8,Play!$CF$17)+COUNTIF(Play!AO10,Play!$CF$17)+COUNTIF(Play!AQ12,Play!$CF$17)+COUNTIF(Play!AS14,Play!$CF$17)+COUNTIF(Play!AU16,Play!$CF$17)</f>
        <v>0</v>
      </c>
      <c r="AJ8" s="1">
        <f>COUNTIF(Play!AM6,Play!$CF$17)+COUNTIF(Play!AO8,Play!$CF$17)+COUNTIF(Play!AQ10,Play!$CF$17)+COUNTIF(Play!AS12,Play!$CF$17)+COUNTIF(Play!AU14,Play!$CF$17)+COUNTIF(Play!AW16,Play!$CF$17)</f>
        <v>0</v>
      </c>
    </row>
    <row r="9" spans="2:45" ht="13" customHeight="1">
      <c r="B9" s="1">
        <f>COUNTIF(Play!M16,Play!$BI$17)+COUNTIF(Play!O14,Play!$BI$17)+COUNTIF(Play!Q12,Play!$BI$17)+COUNTIF(Play!S10,Play!$BI$17)+COUNTIF(Play!U8,Play!$BI$17)+COUNTIF(Play!W6,Play!$BI$17)</f>
        <v>0</v>
      </c>
      <c r="C9" s="1">
        <f>COUNTIF(Play!O16,Play!$BI$17)+COUNTIF(Play!Q14,Play!$BI$17)+COUNTIF(Play!S12,Play!$BI$17)+COUNTIF(Play!U10,Play!$BI$17)+COUNTIF(Play!W8,Play!$BI$17)+COUNTIF(Play!Y6,Play!$BI$17)</f>
        <v>0</v>
      </c>
      <c r="D9" s="1">
        <f>COUNTIF(Play!Q16,Play!$BI$17)+COUNTIF(Play!S14,Play!$BI$17)+COUNTIF(Play!U12,Play!$BI$17)+COUNTIF(Play!W10,Play!$BI$17)+COUNTIF(Play!Y8,Play!$BI$17)+COUNTIF(Play!AA6,Play!$BI$17)</f>
        <v>0</v>
      </c>
      <c r="E9" s="1">
        <f>COUNTIF(Play!S16,Play!$BI$17)+COUNTIF(Play!U14,Play!$BI$17)+COUNTIF(Play!W12,Play!$BI$17)+COUNTIF(Play!Y10,Play!$BI$17)+COUNTIF(Play!AA8,Play!$BI$17)+COUNTIF(Play!AC6,Play!$BI$17)</f>
        <v>0</v>
      </c>
      <c r="F9" s="1">
        <f>COUNTIF(Play!U16,Play!$BI$17)+COUNTIF(Play!W14,Play!$BI$17)+COUNTIF(Play!Y12,Play!$BI$17)+COUNTIF(Play!AA10,Play!$BI$17)+COUNTIF(Play!AC8,Play!$BI$17)+COUNTIF(Play!AE6,Play!$BI$17)</f>
        <v>0</v>
      </c>
      <c r="G9" s="1">
        <f>COUNTIF(Play!W16,Play!$BI$17)+COUNTIF(Play!Y14,Play!$BI$17)+COUNTIF(Play!AA12,Play!$BI$17)+COUNTIF(Play!AC10,Play!$BI$17)+COUNTIF(Play!AE8,Play!$BI$17)+COUNTIF(Play!AG6,Play!$BI$17)</f>
        <v>0</v>
      </c>
      <c r="H9" s="1">
        <f>COUNTIF(Play!Y16,Play!$BI$17)+COUNTIF(Play!AA14,Play!$BI$17)+COUNTIF(Play!AC12,Play!$BI$17)+COUNTIF(Play!AE10,Play!$BI$17)+COUNTIF(Play!AG8,Play!$BI$17)+COUNTIF(Play!AI6,Play!$BI$17)</f>
        <v>0</v>
      </c>
      <c r="I9" s="1">
        <f>COUNTIF(Play!AA16,Play!$BI$17)+COUNTIF(Play!AC14,Play!$BI$17)+COUNTIF(Play!AE12,Play!$BI$17)+COUNTIF(Play!AG10,Play!$BI$17)+COUNTIF(Play!AI8,Play!$BI$17)+COUNTIF(Play!AK6,Play!$BI$17)</f>
        <v>0</v>
      </c>
      <c r="J9" s="1">
        <f>COUNTIF(Play!AC16,Play!$BI$17)+COUNTIF(Play!AE14,Play!$BI$17)+COUNTIF(Play!AG12,Play!$BI$17)+COUNTIF(Play!AI10,Play!$BI$17)+COUNTIF(Play!AK8,Play!$BI$17)+COUNTIF(Play!AM6,Play!$BI$17)</f>
        <v>0</v>
      </c>
      <c r="K9" s="1">
        <f>COUNTIF(Play!AE16,Play!$BI$17)+COUNTIF(Play!AG14,Play!$BI$17)+COUNTIF(Play!AI12,Play!$BI$17)+COUNTIF(Play!AK10,Play!$BI$17)+COUNTIF(Play!AM8,Play!$BI$17)+COUNTIF(Play!AO6,Play!$BI$17)</f>
        <v>0</v>
      </c>
      <c r="L9" s="1">
        <f>COUNTIF(Play!AG16,Play!$BI$17)+COUNTIF(Play!AI14,Play!$BI$17)+COUNTIF(Play!AK12,Play!$BI$17)+COUNTIF(Play!AM10,Play!$BI$17)+COUNTIF(Play!AO8,Play!$BI$17)+COUNTIF(Play!AQ6,Play!$BI$17)</f>
        <v>0</v>
      </c>
      <c r="M9" s="1">
        <f>COUNTIF(Play!AI16,Play!$BI$17)+COUNTIF(Play!AK14,Play!$BI$17)+COUNTIF(Play!AM12,Play!$BI$17)+COUNTIF(Play!AO10,Play!$BI$17)+COUNTIF(Play!AQ8,Play!$BI$17)+COUNTIF(Play!AS6,Play!$BI$17)</f>
        <v>0</v>
      </c>
      <c r="N9" s="1">
        <f>COUNTIF(Play!AK16,Play!$BI$17)+COUNTIF(Play!AM14,Play!$BI$17)+COUNTIF(Play!AO12,Play!$BI$17)+COUNTIF(Play!AQ10,Play!$BI$17)+COUNTIF(Play!AS8,Play!$BI$17)+COUNTIF(Play!AU6,Play!$BI$17)</f>
        <v>0</v>
      </c>
      <c r="O9" s="1">
        <f>COUNTIF(Play!AM16,Play!$BI$17)+COUNTIF(Play!AO14,Play!$BI$17)+COUNTIF(Play!AQ12,Play!$BI$17)+COUNTIF(Play!AS10,Play!$BI$17)+COUNTIF(Play!AU8,Play!$BI$17)+COUNTIF(Play!AW6,Play!$BI$17)</f>
        <v>0</v>
      </c>
      <c r="W9" s="1">
        <f>COUNTIF(Play!M16,Play!$CF$17)+COUNTIF(Play!O14,Play!$CF$17)+COUNTIF(Play!Q12,Play!$CF$17)+COUNTIF(Play!S10,Play!$CF$17)+COUNTIF(Play!U8,Play!$CF$17)+COUNTIF(Play!W6,Play!$CF$17)</f>
        <v>0</v>
      </c>
      <c r="X9" s="1">
        <f>COUNTIF(Play!O16,Play!$CF$17)+COUNTIF(Play!Q14,Play!$CF$17)+COUNTIF(Play!S12,Play!$CF$17)+COUNTIF(Play!U10,Play!$CF$17)+COUNTIF(Play!W8,Play!$CF$17)+COUNTIF(Play!Y6,Play!$CF$17)</f>
        <v>0</v>
      </c>
      <c r="Y9" s="1">
        <f>COUNTIF(Play!Q16,Play!$CF$17)+COUNTIF(Play!S14,Play!$CF$17)+COUNTIF(Play!U12,Play!$CF$17)+COUNTIF(Play!W10,Play!$CF$17)+COUNTIF(Play!Y8,Play!$CF$17)+COUNTIF(Play!AA6,Play!$CF$17)</f>
        <v>0</v>
      </c>
      <c r="Z9" s="1">
        <f>COUNTIF(Play!S16,Play!$CF$17)+COUNTIF(Play!U14,Play!$CF$17)+COUNTIF(Play!W12,Play!$CF$17)+COUNTIF(Play!Y10,Play!$CF$17)+COUNTIF(Play!AA8,Play!$CF$17)+COUNTIF(Play!AC6,Play!$CF$17)</f>
        <v>0</v>
      </c>
      <c r="AA9" s="1">
        <f>COUNTIF(Play!U16,Play!$CF$17)+COUNTIF(Play!W14,Play!$CF$17)+COUNTIF(Play!Y12,Play!$CF$17)+COUNTIF(Play!AA10,Play!$CF$17)+COUNTIF(Play!AC8,Play!$CF$17)+COUNTIF(Play!AE6,Play!$CF$17)</f>
        <v>0</v>
      </c>
      <c r="AB9" s="1">
        <f>COUNTIF(Play!W16,Play!$CF$17)+COUNTIF(Play!Y14,Play!$CF$17)+COUNTIF(Play!AA12,Play!$CF$17)+COUNTIF(Play!AC10,Play!$CF$17)+COUNTIF(Play!AE8,Play!$CF$17)+COUNTIF(Play!AG6,Play!$CF$17)</f>
        <v>0</v>
      </c>
      <c r="AC9" s="1">
        <f>COUNTIF(Play!Y16,Play!$CF$17)+COUNTIF(Play!AA14,Play!$CF$17)+COUNTIF(Play!AC12,Play!$CF$17)+COUNTIF(Play!AE10,Play!$CF$17)+COUNTIF(Play!AG8,Play!$CF$17)+COUNTIF(Play!AI6,Play!$CF$17)</f>
        <v>0</v>
      </c>
      <c r="AD9" s="1">
        <f>COUNTIF(Play!AA16,Play!$CF$17)+COUNTIF(Play!AC14,Play!$CF$17)+COUNTIF(Play!AE12,Play!$CF$17)+COUNTIF(Play!AG10,Play!$CF$17)+COUNTIF(Play!AI8,Play!$CF$17)+COUNTIF(Play!AK6,Play!$CF$17)</f>
        <v>0</v>
      </c>
      <c r="AE9" s="1">
        <f>COUNTIF(Play!AC16,Play!$CF$17)+COUNTIF(Play!AE14,Play!$CF$17)+COUNTIF(Play!AG12,Play!$CF$17)+COUNTIF(Play!AI10,Play!$CF$17)+COUNTIF(Play!AK8,Play!$CF$17)+COUNTIF(Play!AM6,Play!$CF$17)</f>
        <v>0</v>
      </c>
      <c r="AF9" s="1">
        <f>COUNTIF(Play!AE16,Play!$CF$17)+COUNTIF(Play!AG14,Play!$CF$17)+COUNTIF(Play!AI12,Play!$CF$17)+COUNTIF(Play!AK10,Play!$CF$17)+COUNTIF(Play!AM8,Play!$CF$17)+COUNTIF(Play!AO6,Play!$CF$17)</f>
        <v>0</v>
      </c>
      <c r="AG9" s="1">
        <f>COUNTIF(Play!AG16,Play!$CF$17)+COUNTIF(Play!AI14,Play!$CF$17)+COUNTIF(Play!AK12,Play!$CF$17)+COUNTIF(Play!AM10,Play!$CF$17)+COUNTIF(Play!AO8,Play!$CF$17)+COUNTIF(Play!AQ6,Play!$CF$17)</f>
        <v>0</v>
      </c>
      <c r="AH9" s="1">
        <f>COUNTIF(Play!AI16,Play!$CF$17)+COUNTIF(Play!AK14,Play!$CF$17)+COUNTIF(Play!AM12,Play!$CF$17)+COUNTIF(Play!AO10,Play!$CF$17)+COUNTIF(Play!AQ8,Play!$CF$17)+COUNTIF(Play!AS6,Play!$CF$17)</f>
        <v>0</v>
      </c>
      <c r="AI9" s="1">
        <f>COUNTIF(Play!AK16,Play!$CF$17)+COUNTIF(Play!AM14,Play!$CF$17)+COUNTIF(Play!AO12,Play!$CF$17)+COUNTIF(Play!AQ10,Play!$CF$17)+COUNTIF(Play!AS8,Play!$CF$17)+COUNTIF(Play!AU6,Play!$CF$17)</f>
        <v>0</v>
      </c>
      <c r="AJ9" s="1">
        <f>COUNTIF(Play!AM16,Play!$CF$17)+COUNTIF(Play!AO14,Play!$CF$17)+COUNTIF(Play!AQ12,Play!$CF$17)+COUNTIF(Play!AS10,Play!$CF$17)+COUNTIF(Play!AU8,Play!$CF$17)+COUNTIF(Play!AW6,Play!$CF$17)</f>
        <v>0</v>
      </c>
    </row>
    <row r="10" spans="2:45" ht="13" customHeight="1">
      <c r="B10" s="1">
        <f>COUNTIF(Play!M8:W8,Play!$BI$17)</f>
        <v>0</v>
      </c>
      <c r="C10" s="1">
        <f>COUNTIF(Play!O8:Y8,Play!$BI$17)</f>
        <v>0</v>
      </c>
      <c r="D10" s="1">
        <f>COUNTIF(Play!Q8:AA8,Play!$BI$17)</f>
        <v>0</v>
      </c>
      <c r="E10" s="1">
        <f>COUNTIF(Play!S8:AC8,Play!$BI$17)</f>
        <v>0</v>
      </c>
      <c r="F10" s="1">
        <f>COUNTIF(Play!U8:AE8,Play!$BI$17)</f>
        <v>0</v>
      </c>
      <c r="G10" s="1">
        <f>COUNTIF(Play!W8:AG8,Play!$BI$17)</f>
        <v>0</v>
      </c>
      <c r="H10" s="1">
        <f>COUNTIF(Play!Y8:AI8,Play!$BI$17)</f>
        <v>0</v>
      </c>
      <c r="I10" s="1">
        <f>COUNTIF(Play!AA8:AK8,Play!$BI$17)</f>
        <v>0</v>
      </c>
      <c r="J10" s="1">
        <f>COUNTIF(Play!AC8:AM8,Play!$BI$17)</f>
        <v>0</v>
      </c>
      <c r="K10" s="1">
        <f>COUNTIF(Play!AE8:AO8,Play!$BI$17)</f>
        <v>0</v>
      </c>
      <c r="L10" s="1">
        <f>COUNTIF(Play!AG8:AQ8,Play!$BI$17)</f>
        <v>0</v>
      </c>
      <c r="M10" s="1">
        <f>COUNTIF(Play!AI8:AS8,Play!$BI$17)</f>
        <v>0</v>
      </c>
      <c r="N10" s="1">
        <f>COUNTIF(Play!AK8:AU8,Play!$BI$17)</f>
        <v>0</v>
      </c>
      <c r="O10" s="1">
        <f>COUNTIF(Play!AM8:AW8,Play!$BI$17)</f>
        <v>0</v>
      </c>
      <c r="W10" s="1">
        <f>COUNTIF(Play!M8:W8,Play!$CF$17)</f>
        <v>0</v>
      </c>
      <c r="X10" s="1">
        <f>COUNTIF(Play!O8:Y8,Play!$CF$17)</f>
        <v>0</v>
      </c>
      <c r="Y10" s="1">
        <f>COUNTIF(Play!Q8:AA8,Play!$CF$17)</f>
        <v>0</v>
      </c>
      <c r="Z10" s="1">
        <f>COUNTIF(Play!S8:AC8,Play!$CF$17)</f>
        <v>0</v>
      </c>
      <c r="AA10" s="1">
        <f>COUNTIF(Play!U8:AE8,Play!$CF$17)</f>
        <v>0</v>
      </c>
      <c r="AB10" s="1">
        <f>COUNTIF(Play!W8:AG8,Play!$CF$17)</f>
        <v>0</v>
      </c>
      <c r="AC10" s="1">
        <f>COUNTIF(Play!Y8:AI8,Play!$CF$17)</f>
        <v>0</v>
      </c>
      <c r="AD10" s="1">
        <f>COUNTIF(Play!AA8:AK8,Play!$CF$17)</f>
        <v>0</v>
      </c>
      <c r="AE10" s="1">
        <f>COUNTIF(Play!AC8:AM8,Play!$CF$17)</f>
        <v>0</v>
      </c>
      <c r="AF10" s="1">
        <f>COUNTIF(Play!AE8:AO8,Play!$CF$17)</f>
        <v>0</v>
      </c>
      <c r="AG10" s="1">
        <f>COUNTIF(Play!AG8:AQ8,Play!$CF$17)</f>
        <v>0</v>
      </c>
      <c r="AH10" s="1">
        <f>COUNTIF(Play!AI8:AS8,Play!$CF$17)</f>
        <v>0</v>
      </c>
      <c r="AI10" s="1">
        <f>COUNTIF(Play!AK8:AU8,Play!$CF$17)</f>
        <v>0</v>
      </c>
      <c r="AJ10" s="1">
        <f>COUNTIF(Play!AM8:AW8,Play!$CF$17)</f>
        <v>0</v>
      </c>
    </row>
    <row r="11" spans="2:45" ht="13" customHeight="1">
      <c r="B11" s="1">
        <f>COUNTIF(Play!M8:M18,Play!$BI$17)</f>
        <v>0</v>
      </c>
      <c r="C11" s="1">
        <f>COUNTIF(Play!O8:O18,Play!$BI$17)</f>
        <v>0</v>
      </c>
      <c r="D11" s="1">
        <f>COUNTIF(Play!Q8:Q18,Play!$BI$17)</f>
        <v>0</v>
      </c>
      <c r="E11" s="1">
        <f>COUNTIF(Play!S8:S18,Play!$BI$17)</f>
        <v>0</v>
      </c>
      <c r="F11" s="1">
        <f>COUNTIF(Play!U8:U18,Play!$BI$17)</f>
        <v>0</v>
      </c>
      <c r="G11" s="1">
        <f>COUNTIF(Play!W8:W18,Play!$BI$17)</f>
        <v>0</v>
      </c>
      <c r="H11" s="1">
        <f>COUNTIF(Play!Y8:Y18,Play!$BI$17)</f>
        <v>0</v>
      </c>
      <c r="I11" s="1">
        <f>COUNTIF(Play!AA8:AA18,Play!$BI$17)</f>
        <v>0</v>
      </c>
      <c r="J11" s="1">
        <f>COUNTIF(Play!AC8:AC18,Play!$BI$17)</f>
        <v>0</v>
      </c>
      <c r="K11" s="1">
        <f>COUNTIF(Play!AE8:AE18,Play!$BI$17)</f>
        <v>0</v>
      </c>
      <c r="L11" s="1">
        <f>COUNTIF(Play!AG8:AG18,Play!$BI$17)</f>
        <v>0</v>
      </c>
      <c r="M11" s="1">
        <f>COUNTIF(Play!AI8:AI18,Play!$BI$17)</f>
        <v>0</v>
      </c>
      <c r="N11" s="1">
        <f>COUNTIF(Play!AK8:AK18,Play!$BI$17)</f>
        <v>0</v>
      </c>
      <c r="O11" s="1">
        <f>COUNTIF(Play!AM8:AM18,Play!$BI$17)</f>
        <v>0</v>
      </c>
      <c r="P11" s="1">
        <f>COUNTIF(Play!AO8:AO18,Play!$BI$17)</f>
        <v>0</v>
      </c>
      <c r="Q11" s="1">
        <f>COUNTIF(Play!AQ8:AQ18,Play!$BI$17)</f>
        <v>0</v>
      </c>
      <c r="R11" s="1">
        <f>COUNTIF(Play!AS8:AS18,Play!$BI$17)</f>
        <v>0</v>
      </c>
      <c r="S11" s="1">
        <f>COUNTIF(Play!AU8:AU18,Play!$BI$17)</f>
        <v>0</v>
      </c>
      <c r="T11" s="1">
        <f>COUNTIF(Play!AW8:AW18,Play!$BI$17)</f>
        <v>0</v>
      </c>
      <c r="W11" s="1">
        <f>COUNTIF(Play!M8:M18,Play!$CF$17)</f>
        <v>0</v>
      </c>
      <c r="X11" s="1">
        <f>COUNTIF(Play!O8:O18,Play!$CF$17)</f>
        <v>0</v>
      </c>
      <c r="Y11" s="1">
        <f>COUNTIF(Play!Q8:Q18,Play!$CF$17)</f>
        <v>0</v>
      </c>
      <c r="Z11" s="1">
        <f>COUNTIF(Play!S8:S18,Play!$CF$17)</f>
        <v>0</v>
      </c>
      <c r="AA11" s="1">
        <f>COUNTIF(Play!U8:U18,Play!$CF$17)</f>
        <v>0</v>
      </c>
      <c r="AB11" s="1">
        <f>COUNTIF(Play!W8:W18,Play!$CF$17)</f>
        <v>0</v>
      </c>
      <c r="AC11" s="1">
        <f>COUNTIF(Play!Y8:Y18,Play!$CF$17)</f>
        <v>0</v>
      </c>
      <c r="AD11" s="1">
        <f>COUNTIF(Play!AA8:AA18,Play!$CF$17)</f>
        <v>0</v>
      </c>
      <c r="AE11" s="1">
        <f>COUNTIF(Play!AC8:AC18,Play!$CF$17)</f>
        <v>0</v>
      </c>
      <c r="AF11" s="1">
        <f>COUNTIF(Play!AE8:AE18,Play!$CF$17)</f>
        <v>0</v>
      </c>
      <c r="AG11" s="1">
        <f>COUNTIF(Play!AG8:AG18,Play!$CF$17)</f>
        <v>0</v>
      </c>
      <c r="AH11" s="1">
        <f>COUNTIF(Play!AI8:AI18,Play!$CF$17)</f>
        <v>0</v>
      </c>
      <c r="AI11" s="1">
        <f>COUNTIF(Play!AK8:AK18,Play!$CF$17)</f>
        <v>0</v>
      </c>
      <c r="AJ11" s="1">
        <f>COUNTIF(Play!AM8:AM18,Play!$CF$17)</f>
        <v>0</v>
      </c>
      <c r="AK11" s="1">
        <f>COUNTIF(Play!AO8:AO18,Play!$CF$17)</f>
        <v>0</v>
      </c>
      <c r="AL11" s="1">
        <f>COUNTIF(Play!AQ8:AQ18,Play!$CF$17)</f>
        <v>0</v>
      </c>
      <c r="AM11" s="1">
        <f>COUNTIF(Play!AS8:AS18,Play!$CF$17)</f>
        <v>0</v>
      </c>
      <c r="AN11" s="1">
        <f>COUNTIF(Play!AU8:AU18,Play!$CF$17)</f>
        <v>0</v>
      </c>
      <c r="AO11" s="1">
        <f>COUNTIF(Play!AW8:AW18,Play!$CF$17)</f>
        <v>0</v>
      </c>
    </row>
    <row r="12" spans="2:45" ht="13" customHeight="1">
      <c r="B12" s="1">
        <f>COUNTIF(Play!M8,Play!$BI$17)+COUNTIF(Play!O10,Play!$BI$17)+COUNTIF(Play!Q12,Play!$BI$17)+COUNTIF(Play!S14,Play!$BI$17)+COUNTIF(Play!U16,Play!$BI$17)+COUNTIF(Play!W18,Play!$BI$17)</f>
        <v>0</v>
      </c>
      <c r="C12" s="1">
        <f>COUNTIF(Play!O8,Play!$BI$17)+COUNTIF(Play!Q10,Play!$BI$17)+COUNTIF(Play!S12,Play!$BI$17)+COUNTIF(Play!U14,Play!$BI$17)+COUNTIF(Play!W16,Play!$BI$17)+COUNTIF(Play!Y18,Play!$BI$17)</f>
        <v>0</v>
      </c>
      <c r="D12" s="1">
        <f>COUNTIF(Play!Q8,Play!$BI$17)+COUNTIF(Play!S10,Play!$BI$17)+COUNTIF(Play!U12,Play!$BI$17)+COUNTIF(Play!W14,Play!$BI$17)+COUNTIF(Play!Y16,Play!$BI$17)+COUNTIF(Play!AA18,Play!$BI$17)</f>
        <v>0</v>
      </c>
      <c r="E12" s="1">
        <f>COUNTIF(Play!S8,Play!$BI$17)+COUNTIF(Play!U10,Play!$BI$17)+COUNTIF(Play!W12,Play!$BI$17)+COUNTIF(Play!Y14,Play!$BI$17)+COUNTIF(Play!AA16,Play!$BI$17)+COUNTIF(Play!AC18,Play!$BI$17)</f>
        <v>0</v>
      </c>
      <c r="F12" s="1">
        <f>COUNTIF(Play!U8,Play!$BI$17)+COUNTIF(Play!W10,Play!$BI$17)+COUNTIF(Play!Y12,Play!$BI$17)+COUNTIF(Play!AA14,Play!$BI$17)+COUNTIF(Play!AC16,Play!$BI$17)+COUNTIF(Play!AE18,Play!$BI$17)</f>
        <v>0</v>
      </c>
      <c r="G12" s="1">
        <f>COUNTIF(Play!W8,Play!$BI$17)+COUNTIF(Play!Y10,Play!$BI$17)+COUNTIF(Play!AA12,Play!$BI$17)+COUNTIF(Play!AC14,Play!$BI$17)+COUNTIF(Play!AE16,Play!$BI$17)+COUNTIF(Play!AG18,Play!$BI$17)</f>
        <v>0</v>
      </c>
      <c r="H12" s="1">
        <f>COUNTIF(Play!Y8,Play!$BI$17)+COUNTIF(Play!AA10,Play!$BI$17)+COUNTIF(Play!AC12,Play!$BI$17)+COUNTIF(Play!AE14,Play!$BI$17)+COUNTIF(Play!AG16,Play!$BI$17)+COUNTIF(Play!AI18,Play!$BI$17)</f>
        <v>0</v>
      </c>
      <c r="I12" s="1">
        <f>COUNTIF(Play!AA8,Play!$BI$17)+COUNTIF(Play!AC10,Play!$BI$17)+COUNTIF(Play!AE12,Play!$BI$17)+COUNTIF(Play!AG14,Play!$BI$17)+COUNTIF(Play!AI16,Play!$BI$17)+COUNTIF(Play!AK18,Play!$BI$17)</f>
        <v>0</v>
      </c>
      <c r="J12" s="1">
        <f>COUNTIF(Play!AC8,Play!$BI$17)+COUNTIF(Play!AE10,Play!$BI$17)+COUNTIF(Play!AG12,Play!$BI$17)+COUNTIF(Play!AI14,Play!$BI$17)+COUNTIF(Play!AK16,Play!$BI$17)+COUNTIF(Play!AM18,Play!$BI$17)</f>
        <v>0</v>
      </c>
      <c r="K12" s="1">
        <f>COUNTIF(Play!AE8,Play!$BI$17)+COUNTIF(Play!AG10,Play!$BI$17)+COUNTIF(Play!AI12,Play!$BI$17)+COUNTIF(Play!AK14,Play!$BI$17)+COUNTIF(Play!AM16,Play!$BI$17)+COUNTIF(Play!AO18,Play!$BI$17)</f>
        <v>0</v>
      </c>
      <c r="L12" s="1">
        <f>COUNTIF(Play!AG8,Play!$BI$17)+COUNTIF(Play!AI10,Play!$BI$17)+COUNTIF(Play!AK12,Play!$BI$17)+COUNTIF(Play!AM14,Play!$BI$17)+COUNTIF(Play!AO16,Play!$BI$17)+COUNTIF(Play!AQ18,Play!$BI$17)</f>
        <v>0</v>
      </c>
      <c r="M12" s="1">
        <f>COUNTIF(Play!AI8,Play!$BI$17)+COUNTIF(Play!AK10,Play!$BI$17)+COUNTIF(Play!AM12,Play!$BI$17)+COUNTIF(Play!AO14,Play!$BI$17)+COUNTIF(Play!AQ16,Play!$BI$17)+COUNTIF(Play!AS18,Play!$BI$17)</f>
        <v>0</v>
      </c>
      <c r="N12" s="1">
        <f>COUNTIF(Play!AK8,Play!$BI$17)+COUNTIF(Play!AM10,Play!$BI$17)+COUNTIF(Play!AO12,Play!$BI$17)+COUNTIF(Play!AQ14,Play!$BI$17)+COUNTIF(Play!AS16,Play!$BI$17)+COUNTIF(Play!AU18,Play!$BI$17)</f>
        <v>0</v>
      </c>
      <c r="O12" s="1">
        <f>COUNTIF(Play!AM8,Play!$BI$17)+COUNTIF(Play!AO10,Play!$BI$17)+COUNTIF(Play!AQ12,Play!$BI$17)+COUNTIF(Play!AS14,Play!$BI$17)+COUNTIF(Play!AU16,Play!$BI$17)+COUNTIF(Play!AW18,Play!$BI$17)</f>
        <v>0</v>
      </c>
      <c r="W12" s="1">
        <f>COUNTIF(Play!M8,Play!$CF$17)+COUNTIF(Play!O10,Play!$CF$17)+COUNTIF(Play!Q12,Play!$CF$17)+COUNTIF(Play!S14,Play!$CF$17)+COUNTIF(Play!U16,Play!$CF$17)+COUNTIF(Play!W18,Play!$CF$17)</f>
        <v>0</v>
      </c>
      <c r="X12" s="1">
        <f>COUNTIF(Play!O8,Play!$CF$17)+COUNTIF(Play!Q10,Play!$CF$17)+COUNTIF(Play!S12,Play!$CF$17)+COUNTIF(Play!U14,Play!$CF$17)+COUNTIF(Play!W16,Play!$CF$17)+COUNTIF(Play!Y18,Play!$CF$17)</f>
        <v>0</v>
      </c>
      <c r="Y12" s="1">
        <f>COUNTIF(Play!Q8,Play!$CF$17)+COUNTIF(Play!S10,Play!$CF$17)+COUNTIF(Play!U12,Play!$CF$17)+COUNTIF(Play!W14,Play!$CF$17)+COUNTIF(Play!Y16,Play!$CF$17)+COUNTIF(Play!AA18,Play!$CF$17)</f>
        <v>0</v>
      </c>
      <c r="Z12" s="1">
        <f>COUNTIF(Play!S8,Play!$CF$17)+COUNTIF(Play!U10,Play!$CF$17)+COUNTIF(Play!W12,Play!$CF$17)+COUNTIF(Play!Y14,Play!$CF$17)+COUNTIF(Play!AA16,Play!$CF$17)+COUNTIF(Play!AC18,Play!$CF$17)</f>
        <v>0</v>
      </c>
      <c r="AA12" s="1">
        <f>COUNTIF(Play!U8,Play!$CF$17)+COUNTIF(Play!W10,Play!$CF$17)+COUNTIF(Play!Y12,Play!$CF$17)+COUNTIF(Play!AA14,Play!$CF$17)+COUNTIF(Play!AC16,Play!$CF$17)+COUNTIF(Play!AE18,Play!$CF$17)</f>
        <v>0</v>
      </c>
      <c r="AB12" s="1">
        <f>COUNTIF(Play!W8,Play!$CF$17)+COUNTIF(Play!Y10,Play!$CF$17)+COUNTIF(Play!AA12,Play!$CF$17)+COUNTIF(Play!AC14,Play!$CF$17)+COUNTIF(Play!AE16,Play!$CF$17)+COUNTIF(Play!AG18,Play!$CF$17)</f>
        <v>0</v>
      </c>
      <c r="AC12" s="1">
        <f>COUNTIF(Play!Y8,Play!$CF$17)+COUNTIF(Play!AA10,Play!$CF$17)+COUNTIF(Play!AC12,Play!$CF$17)+COUNTIF(Play!AE14,Play!$CF$17)+COUNTIF(Play!AG16,Play!$CF$17)+COUNTIF(Play!AI18,Play!$CF$17)</f>
        <v>0</v>
      </c>
      <c r="AD12" s="1">
        <f>COUNTIF(Play!AA8,Play!$CF$17)+COUNTIF(Play!AC10,Play!$CF$17)+COUNTIF(Play!AE12,Play!$CF$17)+COUNTIF(Play!AG14,Play!$CF$17)+COUNTIF(Play!AI16,Play!$CF$17)+COUNTIF(Play!AK18,Play!$CF$17)</f>
        <v>0</v>
      </c>
      <c r="AE12" s="1">
        <f>COUNTIF(Play!AC8,Play!$CF$17)+COUNTIF(Play!AE10,Play!$CF$17)+COUNTIF(Play!AG12,Play!$CF$17)+COUNTIF(Play!AI14,Play!$CF$17)+COUNTIF(Play!AK16,Play!$CF$17)+COUNTIF(Play!AM18,Play!$CF$17)</f>
        <v>0</v>
      </c>
      <c r="AF12" s="1">
        <f>COUNTIF(Play!AE8,Play!$CF$17)+COUNTIF(Play!AG10,Play!$CF$17)+COUNTIF(Play!AI12,Play!$CF$17)+COUNTIF(Play!AK14,Play!$CF$17)+COUNTIF(Play!AM16,Play!$CF$17)+COUNTIF(Play!AO18,Play!$CF$17)</f>
        <v>0</v>
      </c>
      <c r="AG12" s="1">
        <f>COUNTIF(Play!AG8,Play!$CF$17)+COUNTIF(Play!AI10,Play!$CF$17)+COUNTIF(Play!AK12,Play!$CF$17)+COUNTIF(Play!AM14,Play!$CF$17)+COUNTIF(Play!AO16,Play!$CF$17)+COUNTIF(Play!AQ18,Play!$CF$17)</f>
        <v>0</v>
      </c>
      <c r="AH12" s="1">
        <f>COUNTIF(Play!AI8,Play!$CF$17)+COUNTIF(Play!AK10,Play!$CF$17)+COUNTIF(Play!AM12,Play!$CF$17)+COUNTIF(Play!AO14,Play!$CF$17)+COUNTIF(Play!AQ16,Play!$CF$17)+COUNTIF(Play!AS18,Play!$CF$17)</f>
        <v>0</v>
      </c>
      <c r="AI12" s="1">
        <f>COUNTIF(Play!AK8,Play!$CF$17)+COUNTIF(Play!AM10,Play!$CF$17)+COUNTIF(Play!AO12,Play!$CF$17)+COUNTIF(Play!AQ14,Play!$CF$17)+COUNTIF(Play!AS16,Play!$CF$17)+COUNTIF(Play!AU18,Play!$CF$17)</f>
        <v>0</v>
      </c>
      <c r="AJ12" s="1">
        <f>COUNTIF(Play!AM8,Play!$CF$17)+COUNTIF(Play!AO10,Play!$CF$17)+COUNTIF(Play!AQ12,Play!$CF$17)+COUNTIF(Play!AS14,Play!$CF$17)+COUNTIF(Play!AU16,Play!$CF$17)+COUNTIF(Play!AW18,Play!$CF$17)</f>
        <v>0</v>
      </c>
    </row>
    <row r="13" spans="2:45" ht="13" customHeight="1">
      <c r="B13" s="1">
        <f>COUNTIF(Play!M18,Play!$BI$17)+COUNTIF(Play!O16,Play!$BI$17)+COUNTIF(Play!Q14,Play!$BI$17)+COUNTIF(Play!S12,Play!$BI$17)+COUNTIF(Play!U10,Play!$BI$17)+COUNTIF(Play!W8,Play!$BI$17)</f>
        <v>0</v>
      </c>
      <c r="C13" s="1">
        <f>COUNTIF(Play!O18,Play!$BI$17)+COUNTIF(Play!Q16,Play!$BI$17)+COUNTIF(Play!S14,Play!$BI$17)+COUNTIF(Play!U12,Play!$BI$17)+COUNTIF(Play!W10,Play!$BI$17)+COUNTIF(Play!Y8,Play!$BI$17)</f>
        <v>0</v>
      </c>
      <c r="D13" s="1">
        <f>COUNTIF(Play!Q18,Play!$BI$17)+COUNTIF(Play!S16,Play!$BI$17)+COUNTIF(Play!U14,Play!$BI$17)+COUNTIF(Play!W12,Play!$BI$17)+COUNTIF(Play!Y10,Play!$BI$17)+COUNTIF(Play!AA8,Play!$BI$17)</f>
        <v>0</v>
      </c>
      <c r="E13" s="1">
        <f>COUNTIF(Play!S18,Play!$BI$17)+COUNTIF(Play!U16,Play!$BI$17)+COUNTIF(Play!W14,Play!$BI$17)+COUNTIF(Play!Y12,Play!$BI$17)+COUNTIF(Play!AA10,Play!$BI$17)+COUNTIF(Play!AC8,Play!$BI$17)</f>
        <v>0</v>
      </c>
      <c r="F13" s="1">
        <f>COUNTIF(Play!U18,Play!$BI$17)+COUNTIF(Play!W16,Play!$BI$17)+COUNTIF(Play!Y14,Play!$BI$17)+COUNTIF(Play!AA12,Play!$BI$17)+COUNTIF(Play!AC10,Play!$BI$17)+COUNTIF(Play!AE8,Play!$BI$17)</f>
        <v>0</v>
      </c>
      <c r="G13" s="1">
        <f>COUNTIF(Play!W18,Play!$BI$17)+COUNTIF(Play!Y16,Play!$BI$17)+COUNTIF(Play!AA14,Play!$BI$17)+COUNTIF(Play!AC12,Play!$BI$17)+COUNTIF(Play!AE10,Play!$BI$17)+COUNTIF(Play!AG8,Play!$BI$17)</f>
        <v>0</v>
      </c>
      <c r="H13" s="1">
        <f>COUNTIF(Play!Y18,Play!$BI$17)+COUNTIF(Play!AA16,Play!$BI$17)+COUNTIF(Play!AC14,Play!$BI$17)+COUNTIF(Play!AE12,Play!$BI$17)+COUNTIF(Play!AG10,Play!$BI$17)+COUNTIF(Play!AI8,Play!$BI$17)</f>
        <v>0</v>
      </c>
      <c r="I13" s="1">
        <f>COUNTIF(Play!AA18,Play!$BI$17)+COUNTIF(Play!AC16,Play!$BI$17)+COUNTIF(Play!AE14,Play!$BI$17)+COUNTIF(Play!AG12,Play!$BI$17)+COUNTIF(Play!AI10,Play!$BI$17)+COUNTIF(Play!AK8,Play!$BI$17)</f>
        <v>0</v>
      </c>
      <c r="J13" s="1">
        <f>COUNTIF(Play!AC18,Play!$BI$17)+COUNTIF(Play!AE16,Play!$BI$17)+COUNTIF(Play!AG14,Play!$BI$17)+COUNTIF(Play!AI12,Play!$BI$17)+COUNTIF(Play!AK10,Play!$BI$17)+COUNTIF(Play!AM8,Play!$BI$17)</f>
        <v>0</v>
      </c>
      <c r="K13" s="1">
        <f>COUNTIF(Play!AE18,Play!$BI$17)+COUNTIF(Play!AG16,Play!$BI$17)+COUNTIF(Play!AI14,Play!$BI$17)+COUNTIF(Play!AK12,Play!$BI$17)+COUNTIF(Play!AM10,Play!$BI$17)+COUNTIF(Play!AO8,Play!$BI$17)</f>
        <v>0</v>
      </c>
      <c r="L13" s="1">
        <f>COUNTIF(Play!AG18,Play!$BI$17)+COUNTIF(Play!AI16,Play!$BI$17)+COUNTIF(Play!AK14,Play!$BI$17)+COUNTIF(Play!AM12,Play!$BI$17)+COUNTIF(Play!AO10,Play!$BI$17)+COUNTIF(Play!AQ8,Play!$BI$17)</f>
        <v>0</v>
      </c>
      <c r="M13" s="1">
        <f>COUNTIF(Play!AI18,Play!$BI$17)+COUNTIF(Play!AK16,Play!$BI$17)+COUNTIF(Play!AM14,Play!$BI$17)+COUNTIF(Play!AO12,Play!$BI$17)+COUNTIF(Play!AQ10,Play!$BI$17)+COUNTIF(Play!AS8,Play!$BI$17)</f>
        <v>0</v>
      </c>
      <c r="N13" s="1">
        <f>COUNTIF(Play!AK18,Play!$BI$17)+COUNTIF(Play!AM16,Play!$BI$17)+COUNTIF(Play!AO14,Play!$BI$17)+COUNTIF(Play!AQ12,Play!$BI$17)+COUNTIF(Play!AS10,Play!$BI$17)+COUNTIF(Play!AU8,Play!$BI$17)</f>
        <v>0</v>
      </c>
      <c r="O13" s="1">
        <f>COUNTIF(Play!AM18,Play!$BI$17)+COUNTIF(Play!AO16,Play!$BI$17)+COUNTIF(Play!AQ14,Play!$BI$17)+COUNTIF(Play!AS12,Play!$BI$17)+COUNTIF(Play!AU10,Play!$BI$17)+COUNTIF(Play!AW8,Play!$BI$17)</f>
        <v>0</v>
      </c>
      <c r="W13" s="1">
        <f>COUNTIF(Play!M18,Play!$CF$17)+COUNTIF(Play!O16,Play!$CF$17)+COUNTIF(Play!Q14,Play!$CF$17)+COUNTIF(Play!S12,Play!$CF$17)+COUNTIF(Play!U10,Play!$CF$17)+COUNTIF(Play!W8,Play!$CF$17)</f>
        <v>0</v>
      </c>
      <c r="X13" s="1">
        <f>COUNTIF(Play!O18,Play!$CF$17)+COUNTIF(Play!Q16,Play!$CF$17)+COUNTIF(Play!S14,Play!$CF$17)+COUNTIF(Play!U12,Play!$CF$17)+COUNTIF(Play!W10,Play!$CF$17)+COUNTIF(Play!Y8,Play!$CF$17)</f>
        <v>0</v>
      </c>
      <c r="Y13" s="1">
        <f>COUNTIF(Play!Q18,Play!$CF$17)+COUNTIF(Play!S16,Play!$CF$17)+COUNTIF(Play!U14,Play!$CF$17)+COUNTIF(Play!W12,Play!$CF$17)+COUNTIF(Play!Y10,Play!$CF$17)+COUNTIF(Play!AA8,Play!$CF$17)</f>
        <v>0</v>
      </c>
      <c r="Z13" s="1">
        <f>COUNTIF(Play!S18,Play!$CF$17)+COUNTIF(Play!U16,Play!$CF$17)+COUNTIF(Play!W14,Play!$CF$17)+COUNTIF(Play!Y12,Play!$CF$17)+COUNTIF(Play!AA10,Play!$CF$17)+COUNTIF(Play!AC8,Play!$CF$17)</f>
        <v>0</v>
      </c>
      <c r="AA13" s="1">
        <f>COUNTIF(Play!U18,Play!$CF$17)+COUNTIF(Play!W16,Play!$CF$17)+COUNTIF(Play!Y14,Play!$CF$17)+COUNTIF(Play!AA12,Play!$CF$17)+COUNTIF(Play!AC10,Play!$CF$17)+COUNTIF(Play!AE8,Play!$CF$17)</f>
        <v>0</v>
      </c>
      <c r="AB13" s="1">
        <f>COUNTIF(Play!W18,Play!$CF$17)+COUNTIF(Play!Y16,Play!$CF$17)+COUNTIF(Play!AA14,Play!$CF$17)+COUNTIF(Play!AC12,Play!$CF$17)+COUNTIF(Play!AE10,Play!$CF$17)+COUNTIF(Play!AG8,Play!$CF$17)</f>
        <v>0</v>
      </c>
      <c r="AC13" s="1">
        <f>COUNTIF(Play!Y18,Play!$CF$17)+COUNTIF(Play!AA16,Play!$CF$17)+COUNTIF(Play!AC14,Play!$CF$17)+COUNTIF(Play!AE12,Play!$CF$17)+COUNTIF(Play!AG10,Play!$CF$17)+COUNTIF(Play!AI8,Play!$CF$17)</f>
        <v>0</v>
      </c>
      <c r="AD13" s="1">
        <f>COUNTIF(Play!AA18,Play!$CF$17)+COUNTIF(Play!AC16,Play!$CF$17)+COUNTIF(Play!AE14,Play!$CF$17)+COUNTIF(Play!AG12,Play!$CF$17)+COUNTIF(Play!AI10,Play!$CF$17)+COUNTIF(Play!AK8,Play!$CF$17)</f>
        <v>0</v>
      </c>
      <c r="AE13" s="1">
        <f>COUNTIF(Play!AC18,Play!$CF$17)+COUNTIF(Play!AE16,Play!$CF$17)+COUNTIF(Play!AG14,Play!$CF$17)+COUNTIF(Play!AI12,Play!$CF$17)+COUNTIF(Play!AK10,Play!$CF$17)+COUNTIF(Play!AM8,Play!$CF$17)</f>
        <v>0</v>
      </c>
      <c r="AF13" s="1">
        <f>COUNTIF(Play!AE18,Play!$CF$17)+COUNTIF(Play!AG16,Play!$CF$17)+COUNTIF(Play!AI14,Play!$CF$17)+COUNTIF(Play!AK12,Play!$CF$17)+COUNTIF(Play!AM10,Play!$CF$17)+COUNTIF(Play!AO8,Play!$CF$17)</f>
        <v>0</v>
      </c>
      <c r="AG13" s="1">
        <f>COUNTIF(Play!AG18,Play!$CF$17)+COUNTIF(Play!AI16,Play!$CF$17)+COUNTIF(Play!AK14,Play!$CF$17)+COUNTIF(Play!AM12,Play!$CF$17)+COUNTIF(Play!AO10,Play!$CF$17)+COUNTIF(Play!AQ8,Play!$CF$17)</f>
        <v>0</v>
      </c>
      <c r="AH13" s="1">
        <f>COUNTIF(Play!AI18,Play!$CF$17)+COUNTIF(Play!AK16,Play!$CF$17)+COUNTIF(Play!AM14,Play!$CF$17)+COUNTIF(Play!AO12,Play!$CF$17)+COUNTIF(Play!AQ10,Play!$CF$17)+COUNTIF(Play!AS8,Play!$CF$17)</f>
        <v>0</v>
      </c>
      <c r="AI13" s="1">
        <f>COUNTIF(Play!AK18,Play!$CF$17)+COUNTIF(Play!AM16,Play!$CF$17)+COUNTIF(Play!AO14,Play!$CF$17)+COUNTIF(Play!AQ12,Play!$CF$17)+COUNTIF(Play!AS10,Play!$CF$17)+COUNTIF(Play!AU8,Play!$CF$17)</f>
        <v>0</v>
      </c>
      <c r="AJ13" s="1">
        <f>COUNTIF(Play!AM18,Play!$CF$17)+COUNTIF(Play!AO16,Play!$CF$17)+COUNTIF(Play!AQ14,Play!$CF$17)+COUNTIF(Play!AS12,Play!$CF$17)+COUNTIF(Play!AU10,Play!$CF$17)+COUNTIF(Play!AW8,Play!$CF$17)</f>
        <v>0</v>
      </c>
    </row>
    <row r="14" spans="2:45" ht="13" customHeight="1">
      <c r="B14" s="1">
        <f>COUNTIF(Play!M10:W10,Play!$BI$17)</f>
        <v>0</v>
      </c>
      <c r="C14" s="1">
        <f>COUNTIF(Play!O10:Y10,Play!$BI$17)</f>
        <v>0</v>
      </c>
      <c r="D14" s="1">
        <f>COUNTIF(Play!Q10:AA10,Play!$BI$17)</f>
        <v>0</v>
      </c>
      <c r="E14" s="1">
        <f>COUNTIF(Play!S10:AC10,Play!$BI$17)</f>
        <v>0</v>
      </c>
      <c r="F14" s="1">
        <f>COUNTIF(Play!U10:AE10,Play!$BI$17)</f>
        <v>0</v>
      </c>
      <c r="G14" s="1">
        <f>COUNTIF(Play!W10:AG10,Play!$BI$17)</f>
        <v>0</v>
      </c>
      <c r="H14" s="1">
        <f>COUNTIF(Play!Y10:AI10,Play!$BI$17)</f>
        <v>0</v>
      </c>
      <c r="I14" s="1">
        <f>COUNTIF(Play!AA10:AK10,Play!$BI$17)</f>
        <v>0</v>
      </c>
      <c r="J14" s="1">
        <f>COUNTIF(Play!AC10:AM10,Play!$BI$17)</f>
        <v>0</v>
      </c>
      <c r="K14" s="1">
        <f>COUNTIF(Play!AE10:AO10,Play!$BI$17)</f>
        <v>0</v>
      </c>
      <c r="L14" s="1">
        <f>COUNTIF(Play!AG10:AQ10,Play!$BI$17)</f>
        <v>0</v>
      </c>
      <c r="M14" s="1">
        <f>COUNTIF(Play!AI10:AS10,Play!$BI$17)</f>
        <v>0</v>
      </c>
      <c r="N14" s="1">
        <f>COUNTIF(Play!AK10:AU10,Play!$BI$17)</f>
        <v>0</v>
      </c>
      <c r="O14" s="1">
        <f>COUNTIF(Play!AM10:AW10,Play!$BI$17)</f>
        <v>0</v>
      </c>
      <c r="W14" s="1">
        <f>COUNTIF(Play!M10:W10,Play!$CF$17)</f>
        <v>0</v>
      </c>
      <c r="X14" s="1">
        <f>COUNTIF(Play!O10:Y10,Play!$CF$17)</f>
        <v>0</v>
      </c>
      <c r="Y14" s="1">
        <f>COUNTIF(Play!Q10:AA10,Play!$CF$17)</f>
        <v>0</v>
      </c>
      <c r="Z14" s="1">
        <f>COUNTIF(Play!S10:AC10,Play!$CF$17)</f>
        <v>0</v>
      </c>
      <c r="AA14" s="1">
        <f>COUNTIF(Play!U10:AE10,Play!$CF$17)</f>
        <v>0</v>
      </c>
      <c r="AB14" s="1">
        <f>COUNTIF(Play!W10:AG10,Play!$CF$17)</f>
        <v>0</v>
      </c>
      <c r="AC14" s="1">
        <f>COUNTIF(Play!Y10:AI10,Play!$CF$17)</f>
        <v>0</v>
      </c>
      <c r="AD14" s="1">
        <f>COUNTIF(Play!AA10:AK10,Play!$CF$17)</f>
        <v>0</v>
      </c>
      <c r="AE14" s="1">
        <f>COUNTIF(Play!AC10:AM10,Play!$CF$17)</f>
        <v>0</v>
      </c>
      <c r="AF14" s="1">
        <f>COUNTIF(Play!AE10:AO10,Play!$CF$17)</f>
        <v>0</v>
      </c>
      <c r="AG14" s="1">
        <f>COUNTIF(Play!AG10:AQ10,Play!$CF$17)</f>
        <v>0</v>
      </c>
      <c r="AH14" s="1">
        <f>COUNTIF(Play!AI10:AS10,Play!$CF$17)</f>
        <v>0</v>
      </c>
      <c r="AI14" s="1">
        <f>COUNTIF(Play!AK10:AU10,Play!$CF$17)</f>
        <v>0</v>
      </c>
      <c r="AJ14" s="1">
        <f>COUNTIF(Play!AM10:AW10,Play!$CF$17)</f>
        <v>0</v>
      </c>
    </row>
    <row r="15" spans="2:45" ht="13" customHeight="1">
      <c r="B15" s="1">
        <f>COUNTIF(Play!M10:M20,Play!$BI$17)</f>
        <v>0</v>
      </c>
      <c r="C15" s="1">
        <f>COUNTIF(Play!O10:O20,Play!$BI$17)</f>
        <v>0</v>
      </c>
      <c r="D15" s="1">
        <f>COUNTIF(Play!Q10:Q20,Play!$BI$17)</f>
        <v>0</v>
      </c>
      <c r="E15" s="1">
        <f>COUNTIF(Play!S10:S20,Play!$BI$17)</f>
        <v>0</v>
      </c>
      <c r="F15" s="1">
        <f>COUNTIF(Play!U10:U20,Play!$BI$17)</f>
        <v>0</v>
      </c>
      <c r="G15" s="1">
        <f>COUNTIF(Play!W10:W20,Play!$BI$17)</f>
        <v>0</v>
      </c>
      <c r="H15" s="1">
        <f>COUNTIF(Play!Y10:Y20,Play!$BI$17)</f>
        <v>0</v>
      </c>
      <c r="I15" s="1">
        <f>COUNTIF(Play!AA10:AA20,Play!$BI$17)</f>
        <v>0</v>
      </c>
      <c r="J15" s="1">
        <f>COUNTIF(Play!AC10:AC20,Play!$BI$17)</f>
        <v>0</v>
      </c>
      <c r="K15" s="1">
        <f>COUNTIF(Play!AE10:AE20,Play!$BI$17)</f>
        <v>0</v>
      </c>
      <c r="L15" s="1">
        <f>COUNTIF(Play!AG10:AG20,Play!$BI$17)</f>
        <v>0</v>
      </c>
      <c r="M15" s="1">
        <f>COUNTIF(Play!AI10:AI20,Play!$BI$17)</f>
        <v>0</v>
      </c>
      <c r="N15" s="1">
        <f>COUNTIF(Play!AK10:AK20,Play!$BI$17)</f>
        <v>0</v>
      </c>
      <c r="O15" s="1">
        <f>COUNTIF(Play!AM10:AM20,Play!$BI$17)</f>
        <v>0</v>
      </c>
      <c r="P15" s="1">
        <f>COUNTIF(Play!AO10:AO20,Play!$BI$17)</f>
        <v>0</v>
      </c>
      <c r="Q15" s="1">
        <f>COUNTIF(Play!AQ10:AQ20,Play!$BI$17)</f>
        <v>0</v>
      </c>
      <c r="R15" s="1">
        <f>COUNTIF(Play!AS10:AS20,Play!$BI$17)</f>
        <v>0</v>
      </c>
      <c r="S15" s="1">
        <f>COUNTIF(Play!AU10:AU20,Play!$BI$17)</f>
        <v>0</v>
      </c>
      <c r="T15" s="1">
        <f>COUNTIF(Play!AW10:AW20,Play!$BI$17)</f>
        <v>0</v>
      </c>
      <c r="W15" s="1">
        <f>COUNTIF(Play!M10:M20,Play!$CF$17)</f>
        <v>0</v>
      </c>
      <c r="X15" s="1">
        <f>COUNTIF(Play!O10:O20,Play!$CF$17)</f>
        <v>0</v>
      </c>
      <c r="Y15" s="1">
        <f>COUNTIF(Play!Q10:Q20,Play!$CF$17)</f>
        <v>0</v>
      </c>
      <c r="Z15" s="1">
        <f>COUNTIF(Play!S10:S20,Play!$CF$17)</f>
        <v>0</v>
      </c>
      <c r="AA15" s="1">
        <f>COUNTIF(Play!U10:U20,Play!$CF$17)</f>
        <v>0</v>
      </c>
      <c r="AB15" s="1">
        <f>COUNTIF(Play!W10:W20,Play!$CF$17)</f>
        <v>0</v>
      </c>
      <c r="AC15" s="1">
        <f>COUNTIF(Play!Y10:Y20,Play!$CF$17)</f>
        <v>0</v>
      </c>
      <c r="AD15" s="1">
        <f>COUNTIF(Play!AA10:AA20,Play!$CF$17)</f>
        <v>0</v>
      </c>
      <c r="AE15" s="1">
        <f>COUNTIF(Play!AC10:AC20,Play!$CF$17)</f>
        <v>0</v>
      </c>
      <c r="AF15" s="1">
        <f>COUNTIF(Play!AE10:AE20,Play!$CF$17)</f>
        <v>0</v>
      </c>
      <c r="AG15" s="1">
        <f>COUNTIF(Play!AG10:AG20,Play!$CF$17)</f>
        <v>0</v>
      </c>
      <c r="AH15" s="1">
        <f>COUNTIF(Play!AI10:AI20,Play!$CF$17)</f>
        <v>0</v>
      </c>
      <c r="AI15" s="1">
        <f>COUNTIF(Play!AK10:AK20,Play!$CF$17)</f>
        <v>0</v>
      </c>
      <c r="AJ15" s="1">
        <f>COUNTIF(Play!AM10:AM20,Play!$CF$17)</f>
        <v>0</v>
      </c>
      <c r="AK15" s="1">
        <f>COUNTIF(Play!AO10:AO20,Play!$CF$17)</f>
        <v>0</v>
      </c>
      <c r="AL15" s="1">
        <f>COUNTIF(Play!AQ10:AQ20,Play!$CF$17)</f>
        <v>0</v>
      </c>
      <c r="AM15" s="1">
        <f>COUNTIF(Play!AS10:AS20,Play!$CF$17)</f>
        <v>0</v>
      </c>
      <c r="AN15" s="1">
        <f>COUNTIF(Play!AU10:AU20,Play!$CF$17)</f>
        <v>0</v>
      </c>
      <c r="AO15" s="1">
        <f>COUNTIF(Play!AW10:AW20,Play!$CF$17)</f>
        <v>0</v>
      </c>
    </row>
    <row r="16" spans="2:45" ht="13" customHeight="1">
      <c r="B16" s="1">
        <f>COUNTIF(Play!M10,Play!$BI$17)+COUNTIF(Play!O12,Play!$BI$17)+COUNTIF(Play!Q14,Play!$BI$17)+COUNTIF(Play!S16,Play!$BI$17)+COUNTIF(Play!U18,Play!$BI$17)+COUNTIF(Play!W20,Play!$BI$17)</f>
        <v>0</v>
      </c>
      <c r="C16" s="1">
        <f>COUNTIF(Play!O10,Play!$BI$17)+COUNTIF(Play!Q12,Play!$BI$17)+COUNTIF(Play!S14,Play!$BI$17)+COUNTIF(Play!U16,Play!$BI$17)+COUNTIF(Play!W18,Play!$BI$17)+COUNTIF(Play!Y20,Play!$BI$17)</f>
        <v>0</v>
      </c>
      <c r="D16" s="1">
        <f>COUNTIF(Play!Q10,Play!$BI$17)+COUNTIF(Play!S12,Play!$BI$17)+COUNTIF(Play!U14,Play!$BI$17)+COUNTIF(Play!W16,Play!$BI$17)+COUNTIF(Play!Y18,Play!$BI$17)+COUNTIF(Play!AA20,Play!$BI$17)</f>
        <v>0</v>
      </c>
      <c r="E16" s="1">
        <f>COUNTIF(Play!S10,Play!$BI$17)+COUNTIF(Play!U12,Play!$BI$17)+COUNTIF(Play!W14,Play!$BI$17)+COUNTIF(Play!Y16,Play!$BI$17)+COUNTIF(Play!AA18,Play!$BI$17)+COUNTIF(Play!AC20,Play!$BI$17)</f>
        <v>0</v>
      </c>
      <c r="F16" s="1">
        <f>COUNTIF(Play!U10,Play!$BI$17)+COUNTIF(Play!W12,Play!$BI$17)+COUNTIF(Play!Y14,Play!$BI$17)+COUNTIF(Play!AA16,Play!$BI$17)+COUNTIF(Play!AC18,Play!$BI$17)+COUNTIF(Play!AE20,Play!$BI$17)</f>
        <v>0</v>
      </c>
      <c r="G16" s="1">
        <f>COUNTIF(Play!W10,Play!$BI$17)+COUNTIF(Play!Y12,Play!$BI$17)+COUNTIF(Play!AA14,Play!$BI$17)+COUNTIF(Play!AC16,Play!$BI$17)+COUNTIF(Play!AE18,Play!$BI$17)+COUNTIF(Play!AG20,Play!$BI$17)</f>
        <v>0</v>
      </c>
      <c r="H16" s="1">
        <f>COUNTIF(Play!Y10,Play!$BI$17)+COUNTIF(Play!AA12,Play!$BI$17)+COUNTIF(Play!AC14,Play!$BI$17)+COUNTIF(Play!AE16,Play!$BI$17)+COUNTIF(Play!AG18,Play!$BI$17)+COUNTIF(Play!AI20,Play!$BI$17)</f>
        <v>0</v>
      </c>
      <c r="I16" s="1">
        <f>COUNTIF(Play!AA10,Play!$BI$17)+COUNTIF(Play!AC12,Play!$BI$17)+COUNTIF(Play!AE14,Play!$BI$17)+COUNTIF(Play!AG16,Play!$BI$17)+COUNTIF(Play!AI18,Play!$BI$17)+COUNTIF(Play!AK20,Play!$BI$17)</f>
        <v>0</v>
      </c>
      <c r="J16" s="1">
        <f>COUNTIF(Play!AC10,Play!$BI$17)+COUNTIF(Play!AE12,Play!$BI$17)+COUNTIF(Play!AG14,Play!$BI$17)+COUNTIF(Play!AI16,Play!$BI$17)+COUNTIF(Play!AK18,Play!$BI$17)+COUNTIF(Play!AM20,Play!$BI$17)</f>
        <v>0</v>
      </c>
      <c r="K16" s="1">
        <f>COUNTIF(Play!AE10,Play!$BI$17)+COUNTIF(Play!AG12,Play!$BI$17)+COUNTIF(Play!AI14,Play!$BI$17)+COUNTIF(Play!AK16,Play!$BI$17)+COUNTIF(Play!AM18,Play!$BI$17)+COUNTIF(Play!AO20,Play!$BI$17)</f>
        <v>0</v>
      </c>
      <c r="L16" s="1">
        <f>COUNTIF(Play!AG10,Play!$BI$17)+COUNTIF(Play!AI12,Play!$BI$17)+COUNTIF(Play!AK14,Play!$BI$17)+COUNTIF(Play!AM16,Play!$BI$17)+COUNTIF(Play!AO18,Play!$BI$17)+COUNTIF(Play!AQ20,Play!$BI$17)</f>
        <v>0</v>
      </c>
      <c r="M16" s="1">
        <f>COUNTIF(Play!AI10,Play!$BI$17)+COUNTIF(Play!AK12,Play!$BI$17)+COUNTIF(Play!AM14,Play!$BI$17)+COUNTIF(Play!AO16,Play!$BI$17)+COUNTIF(Play!AQ18,Play!$BI$17)+COUNTIF(Play!AS20,Play!$BI$17)</f>
        <v>0</v>
      </c>
      <c r="N16" s="1">
        <f>COUNTIF(Play!AK10,Play!$BI$17)+COUNTIF(Play!AM12,Play!$BI$17)+COUNTIF(Play!AO14,Play!$BI$17)+COUNTIF(Play!AQ16,Play!$BI$17)+COUNTIF(Play!AS18,Play!$BI$17)+COUNTIF(Play!AU20,Play!$BI$17)</f>
        <v>0</v>
      </c>
      <c r="O16" s="1">
        <f>COUNTIF(Play!AM10,Play!$BI$17)+COUNTIF(Play!AO12,Play!$BI$17)+COUNTIF(Play!AQ14,Play!$BI$17)+COUNTIF(Play!AS16,Play!$BI$17)+COUNTIF(Play!AU18,Play!$BI$17)+COUNTIF(Play!AW20,Play!$BI$17)</f>
        <v>0</v>
      </c>
      <c r="W16" s="1">
        <f>COUNTIF(Play!M10,Play!$CF$17)+COUNTIF(Play!O12,Play!$CF$17)+COUNTIF(Play!Q14,Play!$CF$17)+COUNTIF(Play!S16,Play!$CF$17)+COUNTIF(Play!U18,Play!$CF$17)+COUNTIF(Play!W20,Play!$CF$17)</f>
        <v>0</v>
      </c>
      <c r="X16" s="1">
        <f>COUNTIF(Play!O10,Play!$CF$17)+COUNTIF(Play!Q12,Play!$CF$17)+COUNTIF(Play!S14,Play!$CF$17)+COUNTIF(Play!U16,Play!$CF$17)+COUNTIF(Play!W18,Play!$CF$17)+COUNTIF(Play!Y20,Play!$CF$17)</f>
        <v>0</v>
      </c>
      <c r="Y16" s="1">
        <f>COUNTIF(Play!Q10,Play!$CF$17)+COUNTIF(Play!S12,Play!$CF$17)+COUNTIF(Play!U14,Play!$CF$17)+COUNTIF(Play!W16,Play!$CF$17)+COUNTIF(Play!Y18,Play!$CF$17)+COUNTIF(Play!AA20,Play!$CF$17)</f>
        <v>0</v>
      </c>
      <c r="Z16" s="1">
        <f>COUNTIF(Play!S10,Play!$CF$17)+COUNTIF(Play!U12,Play!$CF$17)+COUNTIF(Play!W14,Play!$CF$17)+COUNTIF(Play!Y16,Play!$CF$17)+COUNTIF(Play!AA18,Play!$CF$17)+COUNTIF(Play!AC20,Play!$CF$17)</f>
        <v>0</v>
      </c>
      <c r="AA16" s="1">
        <f>COUNTIF(Play!U10,Play!$CF$17)+COUNTIF(Play!W12,Play!$CF$17)+COUNTIF(Play!Y14,Play!$CF$17)+COUNTIF(Play!AA16,Play!$CF$17)+COUNTIF(Play!AC18,Play!$CF$17)+COUNTIF(Play!AE20,Play!$CF$17)</f>
        <v>0</v>
      </c>
      <c r="AB16" s="1">
        <f>COUNTIF(Play!W10,Play!$CF$17)+COUNTIF(Play!Y12,Play!$CF$17)+COUNTIF(Play!AA14,Play!$CF$17)+COUNTIF(Play!AC16,Play!$CF$17)+COUNTIF(Play!AE18,Play!$CF$17)+COUNTIF(Play!AG20,Play!$CF$17)</f>
        <v>0</v>
      </c>
      <c r="AC16" s="1">
        <f>COUNTIF(Play!Y10,Play!$CF$17)+COUNTIF(Play!AA12,Play!$CF$17)+COUNTIF(Play!AC14,Play!$CF$17)+COUNTIF(Play!AE16,Play!$CF$17)+COUNTIF(Play!AG18,Play!$CF$17)+COUNTIF(Play!AI20,Play!$CF$17)</f>
        <v>0</v>
      </c>
      <c r="AD16" s="1">
        <f>COUNTIF(Play!AA10,Play!$CF$17)+COUNTIF(Play!AC12,Play!$CF$17)+COUNTIF(Play!AE14,Play!$CF$17)+COUNTIF(Play!AG16,Play!$CF$17)+COUNTIF(Play!AI18,Play!$CF$17)+COUNTIF(Play!AK20,Play!$CF$17)</f>
        <v>0</v>
      </c>
      <c r="AE16" s="1">
        <f>COUNTIF(Play!AC10,Play!$CF$17)+COUNTIF(Play!AE12,Play!$CF$17)+COUNTIF(Play!AG14,Play!$CF$17)+COUNTIF(Play!AI16,Play!$CF$17)+COUNTIF(Play!AK18,Play!$CF$17)+COUNTIF(Play!AM20,Play!$CF$17)</f>
        <v>0</v>
      </c>
      <c r="AF16" s="1">
        <f>COUNTIF(Play!AE10,Play!$CF$17)+COUNTIF(Play!AG12,Play!$CF$17)+COUNTIF(Play!AI14,Play!$CF$17)+COUNTIF(Play!AK16,Play!$CF$17)+COUNTIF(Play!AM18,Play!$CF$17)+COUNTIF(Play!AO20,Play!$CF$17)</f>
        <v>0</v>
      </c>
      <c r="AG16" s="1">
        <f>COUNTIF(Play!AG10,Play!$CF$17)+COUNTIF(Play!AI12,Play!$CF$17)+COUNTIF(Play!AK14,Play!$CF$17)+COUNTIF(Play!AM16,Play!$CF$17)+COUNTIF(Play!AO18,Play!$CF$17)+COUNTIF(Play!AQ20,Play!$CF$17)</f>
        <v>0</v>
      </c>
      <c r="AH16" s="1">
        <f>COUNTIF(Play!AI10,Play!$CF$17)+COUNTIF(Play!AK12,Play!$CF$17)+COUNTIF(Play!AM14,Play!$CF$17)+COUNTIF(Play!AO16,Play!$CF$17)+COUNTIF(Play!AQ18,Play!$CF$17)+COUNTIF(Play!AS20,Play!$CF$17)</f>
        <v>0</v>
      </c>
      <c r="AI16" s="1">
        <f>COUNTIF(Play!AK10,Play!$CF$17)+COUNTIF(Play!AM12,Play!$CF$17)+COUNTIF(Play!AO14,Play!$CF$17)+COUNTIF(Play!AQ16,Play!$CF$17)+COUNTIF(Play!AS18,Play!$CF$17)+COUNTIF(Play!AU20,Play!$CF$17)</f>
        <v>0</v>
      </c>
      <c r="AJ16" s="1">
        <f>COUNTIF(Play!AM10,Play!$CF$17)+COUNTIF(Play!AO12,Play!$CF$17)+COUNTIF(Play!AQ14,Play!$CF$17)+COUNTIF(Play!AS16,Play!$CF$17)+COUNTIF(Play!AU18,Play!$CF$17)+COUNTIF(Play!AW20,Play!$CF$17)</f>
        <v>0</v>
      </c>
    </row>
    <row r="17" spans="2:41" ht="13" customHeight="1">
      <c r="B17" s="1">
        <f>COUNTIF(Play!M20,Play!$BI$17)+COUNTIF(Play!O18,Play!$BI$17)+COUNTIF(Play!Q16,Play!$BI$17)+COUNTIF(Play!S14,Play!$BI$17)+COUNTIF(Play!U12,Play!$BI$17)+COUNTIF(Play!W10,Play!$BI$17)</f>
        <v>0</v>
      </c>
      <c r="C17" s="1">
        <f>COUNTIF(Play!O20,Play!$BI$17)+COUNTIF(Play!Q18,Play!$BI$17)+COUNTIF(Play!S16,Play!$BI$17)+COUNTIF(Play!U14,Play!$BI$17)+COUNTIF(Play!W12,Play!$BI$17)+COUNTIF(Play!Y10,Play!$BI$17)</f>
        <v>0</v>
      </c>
      <c r="D17" s="1">
        <f>COUNTIF(Play!Q20,Play!$BI$17)+COUNTIF(Play!S18,Play!$BI$17)+COUNTIF(Play!U16,Play!$BI$17)+COUNTIF(Play!W14,Play!$BI$17)+COUNTIF(Play!Y12,Play!$BI$17)+COUNTIF(Play!AA10,Play!$BI$17)</f>
        <v>0</v>
      </c>
      <c r="E17" s="1">
        <f>COUNTIF(Play!S20,Play!$BI$17)+COUNTIF(Play!U18,Play!$BI$17)+COUNTIF(Play!W16,Play!$BI$17)+COUNTIF(Play!Y14,Play!$BI$17)+COUNTIF(Play!AA12,Play!$BI$17)+COUNTIF(Play!AC10,Play!$BI$17)</f>
        <v>0</v>
      </c>
      <c r="F17" s="1">
        <f>COUNTIF(Play!U20,Play!$BI$17)+COUNTIF(Play!W18,Play!$BI$17)+COUNTIF(Play!Y16,Play!$BI$17)+COUNTIF(Play!AA14,Play!$BI$17)+COUNTIF(Play!AC12,Play!$BI$17)+COUNTIF(Play!AE10,Play!$BI$17)</f>
        <v>0</v>
      </c>
      <c r="G17" s="1">
        <f>COUNTIF(Play!W20,Play!$BI$17)+COUNTIF(Play!Y18,Play!$BI$17)+COUNTIF(Play!AA16,Play!$BI$17)+COUNTIF(Play!AC14,Play!$BI$17)+COUNTIF(Play!AE12,Play!$BI$17)+COUNTIF(Play!AG10,Play!$BI$17)</f>
        <v>0</v>
      </c>
      <c r="H17" s="1">
        <f>COUNTIF(Play!Y20,Play!$BI$17)+COUNTIF(Play!AA18,Play!$BI$17)+COUNTIF(Play!AC16,Play!$BI$17)+COUNTIF(Play!AE14,Play!$BI$17)+COUNTIF(Play!AG12,Play!$BI$17)+COUNTIF(Play!AI10,Play!$BI$17)</f>
        <v>0</v>
      </c>
      <c r="I17" s="1">
        <f>COUNTIF(Play!AA20,Play!$BI$17)+COUNTIF(Play!AC18,Play!$BI$17)+COUNTIF(Play!AE16,Play!$BI$17)+COUNTIF(Play!AG14,Play!$BI$17)+COUNTIF(Play!AI12,Play!$BI$17)+COUNTIF(Play!AK10,Play!$BI$17)</f>
        <v>0</v>
      </c>
      <c r="J17" s="1">
        <f>COUNTIF(Play!AC20,Play!$BI$17)+COUNTIF(Play!AE18,Play!$BI$17)+COUNTIF(Play!AG16,Play!$BI$17)+COUNTIF(Play!AI14,Play!$BI$17)+COUNTIF(Play!AK12,Play!$BI$17)+COUNTIF(Play!AM10,Play!$BI$17)</f>
        <v>0</v>
      </c>
      <c r="K17" s="1">
        <f>COUNTIF(Play!AE20,Play!$BI$17)+COUNTIF(Play!AG18,Play!$BI$17)+COUNTIF(Play!AI16,Play!$BI$17)+COUNTIF(Play!AK14,Play!$BI$17)+COUNTIF(Play!AM12,Play!$BI$17)+COUNTIF(Play!AO10,Play!$BI$17)</f>
        <v>0</v>
      </c>
      <c r="L17" s="1">
        <f>COUNTIF(Play!AG20,Play!$BI$17)+COUNTIF(Play!AI18,Play!$BI$17)+COUNTIF(Play!AK16,Play!$BI$17)+COUNTIF(Play!AM14,Play!$BI$17)+COUNTIF(Play!AO12,Play!$BI$17)+COUNTIF(Play!AQ10,Play!$BI$17)</f>
        <v>0</v>
      </c>
      <c r="M17" s="1">
        <f>COUNTIF(Play!AI20,Play!$BI$17)+COUNTIF(Play!AK18,Play!$BI$17)+COUNTIF(Play!AM16,Play!$BI$17)+COUNTIF(Play!AO14,Play!$BI$17)+COUNTIF(Play!AQ12,Play!$BI$17)+COUNTIF(Play!AS10,Play!$BI$17)</f>
        <v>0</v>
      </c>
      <c r="N17" s="1">
        <f>COUNTIF(Play!AK20,Play!$BI$17)+COUNTIF(Play!AM18,Play!$BI$17)+COUNTIF(Play!AO16,Play!$BI$17)+COUNTIF(Play!AQ14,Play!$BI$17)+COUNTIF(Play!AS12,Play!$BI$17)+COUNTIF(Play!AU10,Play!$BI$17)</f>
        <v>0</v>
      </c>
      <c r="O17" s="1">
        <f>COUNTIF(Play!AM20,Play!$BI$17)+COUNTIF(Play!AO18,Play!$BI$17)+COUNTIF(Play!AQ16,Play!$BI$17)+COUNTIF(Play!AS14,Play!$BI$17)+COUNTIF(Play!AU12,Play!$BI$17)+COUNTIF(Play!AW10,Play!$BI$17)</f>
        <v>0</v>
      </c>
      <c r="W17" s="1">
        <f>COUNTIF(Play!M20,Play!$CF$17)+COUNTIF(Play!O18,Play!$CF$17)+COUNTIF(Play!Q16,Play!$CF$17)+COUNTIF(Play!S14,Play!$CF$17)+COUNTIF(Play!U12,Play!$CF$17)+COUNTIF(Play!W10,Play!$CF$17)</f>
        <v>0</v>
      </c>
      <c r="X17" s="1">
        <f>COUNTIF(Play!O20,Play!$CF$17)+COUNTIF(Play!Q18,Play!$CF$17)+COUNTIF(Play!S16,Play!$CF$17)+COUNTIF(Play!U14,Play!$CF$17)+COUNTIF(Play!W12,Play!$CF$17)+COUNTIF(Play!Y10,Play!$CF$17)</f>
        <v>0</v>
      </c>
      <c r="Y17" s="1">
        <f>COUNTIF(Play!Q20,Play!$CF$17)+COUNTIF(Play!S18,Play!$CF$17)+COUNTIF(Play!U16,Play!$CF$17)+COUNTIF(Play!W14,Play!$CF$17)+COUNTIF(Play!Y12,Play!$CF$17)+COUNTIF(Play!AA10,Play!$CF$17)</f>
        <v>0</v>
      </c>
      <c r="Z17" s="1">
        <f>COUNTIF(Play!S20,Play!$CF$17)+COUNTIF(Play!U18,Play!$CF$17)+COUNTIF(Play!W16,Play!$CF$17)+COUNTIF(Play!Y14,Play!$CF$17)+COUNTIF(Play!AA12,Play!$CF$17)+COUNTIF(Play!AC10,Play!$CF$17)</f>
        <v>0</v>
      </c>
      <c r="AA17" s="1">
        <f>COUNTIF(Play!U20,Play!$CF$17)+COUNTIF(Play!W18,Play!$CF$17)+COUNTIF(Play!Y16,Play!$CF$17)+COUNTIF(Play!AA14,Play!$CF$17)+COUNTIF(Play!AC12,Play!$CF$17)+COUNTIF(Play!AE10,Play!$CF$17)</f>
        <v>0</v>
      </c>
      <c r="AB17" s="1">
        <f>COUNTIF(Play!W20,Play!$CF$17)+COUNTIF(Play!Y18,Play!$CF$17)+COUNTIF(Play!AA16,Play!$CF$17)+COUNTIF(Play!AC14,Play!$CF$17)+COUNTIF(Play!AE12,Play!$CF$17)+COUNTIF(Play!AG10,Play!$CF$17)</f>
        <v>0</v>
      </c>
      <c r="AC17" s="1">
        <f>COUNTIF(Play!Y20,Play!$CF$17)+COUNTIF(Play!AA18,Play!$CF$17)+COUNTIF(Play!AC16,Play!$CF$17)+COUNTIF(Play!AE14,Play!$CF$17)+COUNTIF(Play!AG12,Play!$CF$17)+COUNTIF(Play!AI10,Play!$CF$17)</f>
        <v>0</v>
      </c>
      <c r="AD17" s="1">
        <f>COUNTIF(Play!AA20,Play!$CF$17)+COUNTIF(Play!AC18,Play!$CF$17)+COUNTIF(Play!AE16,Play!$CF$17)+COUNTIF(Play!AG14,Play!$CF$17)+COUNTIF(Play!AI12,Play!$CF$17)+COUNTIF(Play!AK10,Play!$CF$17)</f>
        <v>0</v>
      </c>
      <c r="AE17" s="1">
        <f>COUNTIF(Play!AC20,Play!$CF$17)+COUNTIF(Play!AE18,Play!$CF$17)+COUNTIF(Play!AG16,Play!$CF$17)+COUNTIF(Play!AI14,Play!$CF$17)+COUNTIF(Play!AK12,Play!$CF$17)+COUNTIF(Play!AM10,Play!$CF$17)</f>
        <v>0</v>
      </c>
      <c r="AF17" s="1">
        <f>COUNTIF(Play!AE20,Play!$CF$17)+COUNTIF(Play!AG18,Play!$CF$17)+COUNTIF(Play!AI16,Play!$CF$17)+COUNTIF(Play!AK14,Play!$CF$17)+COUNTIF(Play!AM12,Play!$CF$17)+COUNTIF(Play!AO10,Play!$CF$17)</f>
        <v>0</v>
      </c>
      <c r="AG17" s="1">
        <f>COUNTIF(Play!AG20,Play!$CF$17)+COUNTIF(Play!AI18,Play!$CF$17)+COUNTIF(Play!AK16,Play!$CF$17)+COUNTIF(Play!AM14,Play!$CF$17)+COUNTIF(Play!AO12,Play!$CF$17)+COUNTIF(Play!AQ10,Play!$CF$17)</f>
        <v>0</v>
      </c>
      <c r="AH17" s="1">
        <f>COUNTIF(Play!AI20,Play!$CF$17)+COUNTIF(Play!AK18,Play!$CF$17)+COUNTIF(Play!AM16,Play!$CF$17)+COUNTIF(Play!AO14,Play!$CF$17)+COUNTIF(Play!AQ12,Play!$CF$17)+COUNTIF(Play!AS10,Play!$CF$17)</f>
        <v>0</v>
      </c>
      <c r="AI17" s="1">
        <f>COUNTIF(Play!AK20,Play!$CF$17)+COUNTIF(Play!AM18,Play!$CF$17)+COUNTIF(Play!AO16,Play!$CF$17)+COUNTIF(Play!AQ14,Play!$CF$17)+COUNTIF(Play!AS12,Play!$CF$17)+COUNTIF(Play!AU10,Play!$CF$17)</f>
        <v>0</v>
      </c>
      <c r="AJ17" s="1">
        <f>COUNTIF(Play!AM20,Play!$CF$17)+COUNTIF(Play!AO18,Play!$CF$17)+COUNTIF(Play!AQ16,Play!$CF$17)+COUNTIF(Play!AS14,Play!$CF$17)+COUNTIF(Play!AU12,Play!$CF$17)+COUNTIF(Play!AW10,Play!$CF$17)</f>
        <v>0</v>
      </c>
    </row>
    <row r="18" spans="2:41" ht="13" customHeight="1">
      <c r="B18" s="1">
        <f>COUNTIF(Play!M12:W12,Play!$BI$17)</f>
        <v>0</v>
      </c>
      <c r="C18" s="1">
        <f>COUNTIF(Play!O12:Y12,Play!$BI$17)</f>
        <v>0</v>
      </c>
      <c r="D18" s="1">
        <f>COUNTIF(Play!Q12:AA12,Play!$BI$17)</f>
        <v>0</v>
      </c>
      <c r="E18" s="1">
        <f>COUNTIF(Play!S12:AC12,Play!$BI$17)</f>
        <v>0</v>
      </c>
      <c r="F18" s="1">
        <f>COUNTIF(Play!U12:AE12,Play!$BI$17)</f>
        <v>0</v>
      </c>
      <c r="G18" s="1">
        <f>COUNTIF(Play!W12:AG12,Play!$BI$17)</f>
        <v>0</v>
      </c>
      <c r="H18" s="1">
        <f>COUNTIF(Play!Y12:AI12,Play!$BI$17)</f>
        <v>0</v>
      </c>
      <c r="I18" s="1">
        <f>COUNTIF(Play!AA12:AK12,Play!$BI$17)</f>
        <v>0</v>
      </c>
      <c r="J18" s="1">
        <f>COUNTIF(Play!AC12:AM12,Play!$BI$17)</f>
        <v>0</v>
      </c>
      <c r="K18" s="1">
        <f>COUNTIF(Play!AE12:AO12,Play!$BI$17)</f>
        <v>0</v>
      </c>
      <c r="L18" s="1">
        <f>COUNTIF(Play!AG12:AQ12,Play!$BI$17)</f>
        <v>0</v>
      </c>
      <c r="M18" s="1">
        <f>COUNTIF(Play!AI12:AS12,Play!$BI$17)</f>
        <v>0</v>
      </c>
      <c r="N18" s="1">
        <f>COUNTIF(Play!AK12:AU12,Play!$BI$17)</f>
        <v>0</v>
      </c>
      <c r="O18" s="1">
        <f>COUNTIF(Play!AM12:AW12,Play!$BI$17)</f>
        <v>0</v>
      </c>
      <c r="W18" s="1">
        <f>COUNTIF(Play!M12:W12,Play!$CF$17)</f>
        <v>0</v>
      </c>
      <c r="X18" s="1">
        <f>COUNTIF(Play!O12:Y12,Play!$CF$17)</f>
        <v>0</v>
      </c>
      <c r="Y18" s="1">
        <f>COUNTIF(Play!Q12:AA12,Play!$CF$17)</f>
        <v>0</v>
      </c>
      <c r="Z18" s="1">
        <f>COUNTIF(Play!S12:AC12,Play!$CF$17)</f>
        <v>0</v>
      </c>
      <c r="AA18" s="1">
        <f>COUNTIF(Play!U12:AE12,Play!$CF$17)</f>
        <v>0</v>
      </c>
      <c r="AB18" s="1">
        <f>COUNTIF(Play!W12:AG12,Play!$CF$17)</f>
        <v>0</v>
      </c>
      <c r="AC18" s="1">
        <f>COUNTIF(Play!Y12:AI12,Play!$CF$17)</f>
        <v>0</v>
      </c>
      <c r="AD18" s="1">
        <f>COUNTIF(Play!AA12:AK12,Play!$CF$17)</f>
        <v>0</v>
      </c>
      <c r="AE18" s="1">
        <f>COUNTIF(Play!AC12:AM12,Play!$CF$17)</f>
        <v>0</v>
      </c>
      <c r="AF18" s="1">
        <f>COUNTIF(Play!AE12:AO12,Play!$CF$17)</f>
        <v>0</v>
      </c>
      <c r="AG18" s="1">
        <f>COUNTIF(Play!AG12:AQ12,Play!$CF$17)</f>
        <v>0</v>
      </c>
      <c r="AH18" s="1">
        <f>COUNTIF(Play!AI12:AS12,Play!$CF$17)</f>
        <v>0</v>
      </c>
      <c r="AI18" s="1">
        <f>COUNTIF(Play!AK12:AU12,Play!$CF$17)</f>
        <v>0</v>
      </c>
      <c r="AJ18" s="1">
        <f>COUNTIF(Play!AM12:AW12,Play!$CF$17)</f>
        <v>0</v>
      </c>
    </row>
    <row r="19" spans="2:41" ht="13" customHeight="1">
      <c r="B19" s="1">
        <f>COUNTIF(Play!M12:M22,Play!$BI$17)</f>
        <v>0</v>
      </c>
      <c r="C19" s="1">
        <f>COUNTIF(Play!O12:O22,Play!$BI$17)</f>
        <v>0</v>
      </c>
      <c r="D19" s="1">
        <f>COUNTIF(Play!Q12:Q22,Play!$BI$17)</f>
        <v>0</v>
      </c>
      <c r="E19" s="1">
        <f>COUNTIF(Play!S12:S22,Play!$BI$17)</f>
        <v>0</v>
      </c>
      <c r="F19" s="1">
        <f>COUNTIF(Play!U12:U22,Play!$BI$17)</f>
        <v>0</v>
      </c>
      <c r="G19" s="1">
        <f>COUNTIF(Play!W12:W22,Play!$BI$17)</f>
        <v>0</v>
      </c>
      <c r="H19" s="1">
        <f>COUNTIF(Play!Y12:Y22,Play!$BI$17)</f>
        <v>0</v>
      </c>
      <c r="I19" s="1">
        <f>COUNTIF(Play!AA12:AA22,Play!$BI$17)</f>
        <v>0</v>
      </c>
      <c r="J19" s="1">
        <f>COUNTIF(Play!AC12:AC22,Play!$BI$17)</f>
        <v>0</v>
      </c>
      <c r="K19" s="1">
        <f>COUNTIF(Play!AE12:AE22,Play!$BI$17)</f>
        <v>0</v>
      </c>
      <c r="L19" s="1">
        <f>COUNTIF(Play!AG12:AG22,Play!$BI$17)</f>
        <v>0</v>
      </c>
      <c r="M19" s="1">
        <f>COUNTIF(Play!AI12:AI22,Play!$BI$17)</f>
        <v>0</v>
      </c>
      <c r="N19" s="1">
        <f>COUNTIF(Play!AK12:AK22,Play!$BI$17)</f>
        <v>0</v>
      </c>
      <c r="O19" s="1">
        <f>COUNTIF(Play!AM12:AM22,Play!$BI$17)</f>
        <v>0</v>
      </c>
      <c r="P19" s="1">
        <f>COUNTIF(Play!AO12:AO22,Play!$BI$17)</f>
        <v>0</v>
      </c>
      <c r="Q19" s="1">
        <f>COUNTIF(Play!AQ12:AQ22,Play!$BI$17)</f>
        <v>0</v>
      </c>
      <c r="R19" s="1">
        <f>COUNTIF(Play!AS12:AS22,Play!$BI$17)</f>
        <v>0</v>
      </c>
      <c r="S19" s="1">
        <f>COUNTIF(Play!AU12:AU22,Play!$BI$17)</f>
        <v>0</v>
      </c>
      <c r="T19" s="1">
        <f>COUNTIF(Play!AW12:AW22,Play!$BI$17)</f>
        <v>0</v>
      </c>
      <c r="W19" s="1">
        <f>COUNTIF(Play!M12:M22,Play!$CF$17)</f>
        <v>0</v>
      </c>
      <c r="X19" s="1">
        <f>COUNTIF(Play!O12:O22,Play!$CF$17)</f>
        <v>0</v>
      </c>
      <c r="Y19" s="1">
        <f>COUNTIF(Play!Q12:Q22,Play!$CF$17)</f>
        <v>0</v>
      </c>
      <c r="Z19" s="1">
        <f>COUNTIF(Play!S12:S22,Play!$CF$17)</f>
        <v>0</v>
      </c>
      <c r="AA19" s="1">
        <f>COUNTIF(Play!U12:U22,Play!$CF$17)</f>
        <v>0</v>
      </c>
      <c r="AB19" s="1">
        <f>COUNTIF(Play!W12:W22,Play!$CF$17)</f>
        <v>0</v>
      </c>
      <c r="AC19" s="1">
        <f>COUNTIF(Play!Y12:Y22,Play!$CF$17)</f>
        <v>0</v>
      </c>
      <c r="AD19" s="1">
        <f>COUNTIF(Play!AA12:AA22,Play!$CF$17)</f>
        <v>0</v>
      </c>
      <c r="AE19" s="1">
        <f>COUNTIF(Play!AC12:AC22,Play!$CF$17)</f>
        <v>0</v>
      </c>
      <c r="AF19" s="1">
        <f>COUNTIF(Play!AE12:AE22,Play!$CF$17)</f>
        <v>0</v>
      </c>
      <c r="AG19" s="1">
        <f>COUNTIF(Play!AG12:AG22,Play!$CF$17)</f>
        <v>0</v>
      </c>
      <c r="AH19" s="1">
        <f>COUNTIF(Play!AI12:AI22,Play!$CF$17)</f>
        <v>0</v>
      </c>
      <c r="AI19" s="1">
        <f>COUNTIF(Play!AK12:AK22,Play!$CF$17)</f>
        <v>0</v>
      </c>
      <c r="AJ19" s="1">
        <f>COUNTIF(Play!AM12:AM22,Play!$CF$17)</f>
        <v>0</v>
      </c>
      <c r="AK19" s="1">
        <f>COUNTIF(Play!AO12:AO22,Play!$CF$17)</f>
        <v>0</v>
      </c>
      <c r="AL19" s="1">
        <f>COUNTIF(Play!AQ12:AQ22,Play!$CF$17)</f>
        <v>0</v>
      </c>
      <c r="AM19" s="1">
        <f>COUNTIF(Play!AS12:AS22,Play!$CF$17)</f>
        <v>0</v>
      </c>
      <c r="AN19" s="1">
        <f>COUNTIF(Play!AU12:AU22,Play!$CF$17)</f>
        <v>0</v>
      </c>
      <c r="AO19" s="1">
        <f>COUNTIF(Play!AW12:AW22,Play!$CF$17)</f>
        <v>0</v>
      </c>
    </row>
    <row r="20" spans="2:41" ht="13" customHeight="1">
      <c r="B20" s="1">
        <f>COUNTIF(Play!M12,Play!$BI$17)+COUNTIF(Play!O14,Play!$BI$17)+COUNTIF(Play!Q16,Play!$BI$17)+COUNTIF(Play!S18,Play!$BI$17)+COUNTIF(Play!U20,Play!$BI$17)+COUNTIF(Play!W22,Play!$BI$17)</f>
        <v>0</v>
      </c>
      <c r="C20" s="1">
        <f>COUNTIF(Play!O12,Play!$BI$17)+COUNTIF(Play!Q14,Play!$BI$17)+COUNTIF(Play!S16,Play!$BI$17)+COUNTIF(Play!U18,Play!$BI$17)+COUNTIF(Play!W20,Play!$BI$17)+COUNTIF(Play!Y22,Play!$BI$17)</f>
        <v>0</v>
      </c>
      <c r="D20" s="1">
        <f>COUNTIF(Play!Q12,Play!$BI$17)+COUNTIF(Play!S14,Play!$BI$17)+COUNTIF(Play!U16,Play!$BI$17)+COUNTIF(Play!W18,Play!$BI$17)+COUNTIF(Play!Y20,Play!$BI$17)+COUNTIF(Play!AA22,Play!$BI$17)</f>
        <v>0</v>
      </c>
      <c r="E20" s="1">
        <f>COUNTIF(Play!S12,Play!$BI$17)+COUNTIF(Play!U14,Play!$BI$17)+COUNTIF(Play!W16,Play!$BI$17)+COUNTIF(Play!Y18,Play!$BI$17)+COUNTIF(Play!AA20,Play!$BI$17)+COUNTIF(Play!AC22,Play!$BI$17)</f>
        <v>0</v>
      </c>
      <c r="F20" s="1">
        <f>COUNTIF(Play!U12,Play!$BI$17)+COUNTIF(Play!W14,Play!$BI$17)+COUNTIF(Play!Y16,Play!$BI$17)+COUNTIF(Play!AA18,Play!$BI$17)+COUNTIF(Play!AC20,Play!$BI$17)+COUNTIF(Play!AE22,Play!$BI$17)</f>
        <v>0</v>
      </c>
      <c r="G20" s="1">
        <f>COUNTIF(Play!W12,Play!$BI$17)+COUNTIF(Play!Y14,Play!$BI$17)+COUNTIF(Play!AA16,Play!$BI$17)+COUNTIF(Play!AC18,Play!$BI$17)+COUNTIF(Play!AE20,Play!$BI$17)+COUNTIF(Play!AG22,Play!$BI$17)</f>
        <v>0</v>
      </c>
      <c r="H20" s="1">
        <f>COUNTIF(Play!Y12,Play!$BI$17)+COUNTIF(Play!AA14,Play!$BI$17)+COUNTIF(Play!AC16,Play!$BI$17)+COUNTIF(Play!AE18,Play!$BI$17)+COUNTIF(Play!AG20,Play!$BI$17)+COUNTIF(Play!AI22,Play!$BI$17)</f>
        <v>0</v>
      </c>
      <c r="I20" s="1">
        <f>COUNTIF(Play!AA12,Play!$BI$17)+COUNTIF(Play!AC14,Play!$BI$17)+COUNTIF(Play!AE16,Play!$BI$17)+COUNTIF(Play!AG18,Play!$BI$17)+COUNTIF(Play!AI20,Play!$BI$17)+COUNTIF(Play!AK22,Play!$BI$17)</f>
        <v>0</v>
      </c>
      <c r="J20" s="1">
        <f>COUNTIF(Play!AC12,Play!$BI$17)+COUNTIF(Play!AE14,Play!$BI$17)+COUNTIF(Play!AG16,Play!$BI$17)+COUNTIF(Play!AI18,Play!$BI$17)+COUNTIF(Play!AK20,Play!$BI$17)+COUNTIF(Play!AM22,Play!$BI$17)</f>
        <v>0</v>
      </c>
      <c r="K20" s="1">
        <f>COUNTIF(Play!AE12,Play!$BI$17)+COUNTIF(Play!AG14,Play!$BI$17)+COUNTIF(Play!AI16,Play!$BI$17)+COUNTIF(Play!AK18,Play!$BI$17)+COUNTIF(Play!AM20,Play!$BI$17)+COUNTIF(Play!AO22,Play!$BI$17)</f>
        <v>0</v>
      </c>
      <c r="L20" s="1">
        <f>COUNTIF(Play!AG12,Play!$BI$17)+COUNTIF(Play!AI14,Play!$BI$17)+COUNTIF(Play!AK16,Play!$BI$17)+COUNTIF(Play!AM18,Play!$BI$17)+COUNTIF(Play!AO20,Play!$BI$17)+COUNTIF(Play!AQ22,Play!$BI$17)</f>
        <v>0</v>
      </c>
      <c r="M20" s="1">
        <f>COUNTIF(Play!AI12,Play!$BI$17)+COUNTIF(Play!AK14,Play!$BI$17)+COUNTIF(Play!AM16,Play!$BI$17)+COUNTIF(Play!AO18,Play!$BI$17)+COUNTIF(Play!AQ20,Play!$BI$17)+COUNTIF(Play!AS22,Play!$BI$17)</f>
        <v>0</v>
      </c>
      <c r="N20" s="1">
        <f>COUNTIF(Play!AK12,Play!$BI$17)+COUNTIF(Play!AM14,Play!$BI$17)+COUNTIF(Play!AO16,Play!$BI$17)+COUNTIF(Play!AQ18,Play!$BI$17)+COUNTIF(Play!AS20,Play!$BI$17)+COUNTIF(Play!AU22,Play!$BI$17)</f>
        <v>0</v>
      </c>
      <c r="O20" s="1">
        <f>COUNTIF(Play!AM12,Play!$BI$17)+COUNTIF(Play!AO14,Play!$BI$17)+COUNTIF(Play!AQ16,Play!$BI$17)+COUNTIF(Play!AS18,Play!$BI$17)+COUNTIF(Play!AU20,Play!$BI$17)+COUNTIF(Play!AW22,Play!$BI$17)</f>
        <v>0</v>
      </c>
      <c r="W20" s="1">
        <f>COUNTIF(Play!M12,Play!$CF$17)+COUNTIF(Play!O14,Play!$CF$17)+COUNTIF(Play!Q16,Play!$CF$17)+COUNTIF(Play!S18,Play!$CF$17)+COUNTIF(Play!U20,Play!$CF$17)+COUNTIF(Play!W22,Play!$CF$17)</f>
        <v>0</v>
      </c>
      <c r="X20" s="1">
        <f>COUNTIF(Play!O12,Play!$CF$17)+COUNTIF(Play!Q14,Play!$CF$17)+COUNTIF(Play!S16,Play!$CF$17)+COUNTIF(Play!U18,Play!$CF$17)+COUNTIF(Play!W20,Play!$CF$17)+COUNTIF(Play!Y22,Play!$CF$17)</f>
        <v>0</v>
      </c>
      <c r="Y20" s="1">
        <f>COUNTIF(Play!Q12,Play!$CF$17)+COUNTIF(Play!S14,Play!$CF$17)+COUNTIF(Play!U16,Play!$CF$17)+COUNTIF(Play!W18,Play!$CF$17)+COUNTIF(Play!Y20,Play!$CF$17)+COUNTIF(Play!AA22,Play!$CF$17)</f>
        <v>0</v>
      </c>
      <c r="Z20" s="1">
        <f>COUNTIF(Play!S12,Play!$CF$17)+COUNTIF(Play!U14,Play!$CF$17)+COUNTIF(Play!W16,Play!$CF$17)+COUNTIF(Play!Y18,Play!$CF$17)+COUNTIF(Play!AA20,Play!$CF$17)+COUNTIF(Play!AC22,Play!$CF$17)</f>
        <v>0</v>
      </c>
      <c r="AA20" s="1">
        <f>COUNTIF(Play!U12,Play!$CF$17)+COUNTIF(Play!W14,Play!$CF$17)+COUNTIF(Play!Y16,Play!$CF$17)+COUNTIF(Play!AA18,Play!$CF$17)+COUNTIF(Play!AC20,Play!$CF$17)+COUNTIF(Play!AE22,Play!$CF$17)</f>
        <v>0</v>
      </c>
      <c r="AB20" s="1">
        <f>COUNTIF(Play!W12,Play!$CF$17)+COUNTIF(Play!Y14,Play!$CF$17)+COUNTIF(Play!AA16,Play!$CF$17)+COUNTIF(Play!AC18,Play!$CF$17)+COUNTIF(Play!AE20,Play!$CF$17)+COUNTIF(Play!AG22,Play!$CF$17)</f>
        <v>0</v>
      </c>
      <c r="AC20" s="1">
        <f>COUNTIF(Play!Y12,Play!$CF$17)+COUNTIF(Play!AA14,Play!$CF$17)+COUNTIF(Play!AC16,Play!$CF$17)+COUNTIF(Play!AE18,Play!$CF$17)+COUNTIF(Play!AG20,Play!$CF$17)+COUNTIF(Play!AI22,Play!$CF$17)</f>
        <v>0</v>
      </c>
      <c r="AD20" s="1">
        <f>COUNTIF(Play!AA12,Play!$CF$17)+COUNTIF(Play!AC14,Play!$CF$17)+COUNTIF(Play!AE16,Play!$CF$17)+COUNTIF(Play!AG18,Play!$CF$17)+COUNTIF(Play!AI20,Play!$CF$17)+COUNTIF(Play!AK22,Play!$CF$17)</f>
        <v>0</v>
      </c>
      <c r="AE20" s="1">
        <f>COUNTIF(Play!AC12,Play!$CF$17)+COUNTIF(Play!AE14,Play!$CF$17)+COUNTIF(Play!AG16,Play!$CF$17)+COUNTIF(Play!AI18,Play!$CF$17)+COUNTIF(Play!AK20,Play!$CF$17)+COUNTIF(Play!AM22,Play!$CF$17)</f>
        <v>0</v>
      </c>
      <c r="AF20" s="1">
        <f>COUNTIF(Play!AE12,Play!$CF$17)+COUNTIF(Play!AG14,Play!$CF$17)+COUNTIF(Play!AI16,Play!$CF$17)+COUNTIF(Play!AK18,Play!$CF$17)+COUNTIF(Play!AM20,Play!$CF$17)+COUNTIF(Play!AO22,Play!$CF$17)</f>
        <v>0</v>
      </c>
      <c r="AG20" s="1">
        <f>COUNTIF(Play!AG12,Play!$CF$17)+COUNTIF(Play!AI14,Play!$CF$17)+COUNTIF(Play!AK16,Play!$CF$17)+COUNTIF(Play!AM18,Play!$CF$17)+COUNTIF(Play!AO20,Play!$CF$17)+COUNTIF(Play!AQ22,Play!$CF$17)</f>
        <v>0</v>
      </c>
      <c r="AH20" s="1">
        <f>COUNTIF(Play!AI12,Play!$CF$17)+COUNTIF(Play!AK14,Play!$CF$17)+COUNTIF(Play!AM16,Play!$CF$17)+COUNTIF(Play!AO18,Play!$CF$17)+COUNTIF(Play!AQ20,Play!$CF$17)+COUNTIF(Play!AS22,Play!$CF$17)</f>
        <v>0</v>
      </c>
      <c r="AI20" s="1">
        <f>COUNTIF(Play!AK12,Play!$CF$17)+COUNTIF(Play!AM14,Play!$CF$17)+COUNTIF(Play!AO16,Play!$CF$17)+COUNTIF(Play!AQ18,Play!$CF$17)+COUNTIF(Play!AS20,Play!$CF$17)+COUNTIF(Play!AU22,Play!$CF$17)</f>
        <v>0</v>
      </c>
      <c r="AJ20" s="1">
        <f>COUNTIF(Play!AM12,Play!$CF$17)+COUNTIF(Play!AO14,Play!$CF$17)+COUNTIF(Play!AQ16,Play!$CF$17)+COUNTIF(Play!AS18,Play!$CF$17)+COUNTIF(Play!AU20,Play!$CF$17)+COUNTIF(Play!AW22,Play!$CF$17)</f>
        <v>0</v>
      </c>
    </row>
    <row r="21" spans="2:41" ht="13" customHeight="1">
      <c r="B21" s="1">
        <f>COUNTIF(Play!M22,Play!$BI$17)+COUNTIF(Play!O20,Play!$BI$17)+COUNTIF(Play!Q18,Play!$BI$17)+COUNTIF(Play!S16,Play!$BI$17)+COUNTIF(Play!U14,Play!$BI$17)+COUNTIF(Play!W12,Play!$BI$17)</f>
        <v>0</v>
      </c>
      <c r="C21" s="1">
        <f>COUNTIF(Play!O22,Play!$BI$17)+COUNTIF(Play!Q20,Play!$BI$17)+COUNTIF(Play!S18,Play!$BI$17)+COUNTIF(Play!U16,Play!$BI$17)+COUNTIF(Play!W14,Play!$BI$17)+COUNTIF(Play!Y12,Play!$BI$17)</f>
        <v>0</v>
      </c>
      <c r="D21" s="1">
        <f>COUNTIF(Play!Q22,Play!$BI$17)+COUNTIF(Play!S20,Play!$BI$17)+COUNTIF(Play!U18,Play!$BI$17)+COUNTIF(Play!W16,Play!$BI$17)+COUNTIF(Play!Y14,Play!$BI$17)+COUNTIF(Play!AA12,Play!$BI$17)</f>
        <v>0</v>
      </c>
      <c r="E21" s="1">
        <f>COUNTIF(Play!S22,Play!$BI$17)+COUNTIF(Play!U20,Play!$BI$17)+COUNTIF(Play!W18,Play!$BI$17)+COUNTIF(Play!Y16,Play!$BI$17)+COUNTIF(Play!AA14,Play!$BI$17)+COUNTIF(Play!AC12,Play!$BI$17)</f>
        <v>0</v>
      </c>
      <c r="F21" s="1">
        <f>COUNTIF(Play!U22,Play!$BI$17)+COUNTIF(Play!W20,Play!$BI$17)+COUNTIF(Play!Y18,Play!$BI$17)+COUNTIF(Play!AA16,Play!$BI$17)+COUNTIF(Play!AC14,Play!$BI$17)+COUNTIF(Play!AE12,Play!$BI$17)</f>
        <v>0</v>
      </c>
      <c r="G21" s="1">
        <f>COUNTIF(Play!W22,Play!$BI$17)+COUNTIF(Play!Y20,Play!$BI$17)+COUNTIF(Play!AA18,Play!$BI$17)+COUNTIF(Play!AC16,Play!$BI$17)+COUNTIF(Play!AE14,Play!$BI$17)+COUNTIF(Play!AG12,Play!$BI$17)</f>
        <v>0</v>
      </c>
      <c r="H21" s="1">
        <f>COUNTIF(Play!Y22,Play!$BI$17)+COUNTIF(Play!AA20,Play!$BI$17)+COUNTIF(Play!AC18,Play!$BI$17)+COUNTIF(Play!AE16,Play!$BI$17)+COUNTIF(Play!AG14,Play!$BI$17)+COUNTIF(Play!AI12,Play!$BI$17)</f>
        <v>0</v>
      </c>
      <c r="I21" s="1">
        <f>COUNTIF(Play!AA22,Play!$BI$17)+COUNTIF(Play!AC20,Play!$BI$17)+COUNTIF(Play!AE18,Play!$BI$17)+COUNTIF(Play!AG16,Play!$BI$17)+COUNTIF(Play!AI14,Play!$BI$17)+COUNTIF(Play!AK12,Play!$BI$17)</f>
        <v>0</v>
      </c>
      <c r="J21" s="1">
        <f>COUNTIF(Play!AC22,Play!$BI$17)+COUNTIF(Play!AE20,Play!$BI$17)+COUNTIF(Play!AG18,Play!$BI$17)+COUNTIF(Play!AI16,Play!$BI$17)+COUNTIF(Play!AK14,Play!$BI$17)+COUNTIF(Play!AM12,Play!$BI$17)</f>
        <v>0</v>
      </c>
      <c r="K21" s="1">
        <f>COUNTIF(Play!AE22,Play!$BI$17)+COUNTIF(Play!AG20,Play!$BI$17)+COUNTIF(Play!AI18,Play!$BI$17)+COUNTIF(Play!AK16,Play!$BI$17)+COUNTIF(Play!AM14,Play!$BI$17)+COUNTIF(Play!AO12,Play!$BI$17)</f>
        <v>0</v>
      </c>
      <c r="L21" s="1">
        <f>COUNTIF(Play!AG22,Play!$BI$17)+COUNTIF(Play!AI20,Play!$BI$17)+COUNTIF(Play!AK18,Play!$BI$17)+COUNTIF(Play!AM16,Play!$BI$17)+COUNTIF(Play!AO14,Play!$BI$17)+COUNTIF(Play!AQ12,Play!$BI$17)</f>
        <v>0</v>
      </c>
      <c r="M21" s="1">
        <f>COUNTIF(Play!AI22,Play!$BI$17)+COUNTIF(Play!AK20,Play!$BI$17)+COUNTIF(Play!AM18,Play!$BI$17)+COUNTIF(Play!AO16,Play!$BI$17)+COUNTIF(Play!AQ14,Play!$BI$17)+COUNTIF(Play!AS12,Play!$BI$17)</f>
        <v>0</v>
      </c>
      <c r="N21" s="1">
        <f>COUNTIF(Play!AK22,Play!$BI$17)+COUNTIF(Play!AM20,Play!$BI$17)+COUNTIF(Play!AO18,Play!$BI$17)+COUNTIF(Play!AQ16,Play!$BI$17)+COUNTIF(Play!AS14,Play!$BI$17)+COUNTIF(Play!AU12,Play!$BI$17)</f>
        <v>0</v>
      </c>
      <c r="O21" s="1">
        <f>COUNTIF(Play!AM22,Play!$BI$17)+COUNTIF(Play!AO20,Play!$BI$17)+COUNTIF(Play!AQ18,Play!$BI$17)+COUNTIF(Play!AS16,Play!$BI$17)+COUNTIF(Play!AU14,Play!$BI$17)+COUNTIF(Play!AW12,Play!$BI$17)</f>
        <v>0</v>
      </c>
      <c r="W21" s="1">
        <f>COUNTIF(Play!M22,Play!$CF$17)+COUNTIF(Play!O20,Play!$CF$17)+COUNTIF(Play!Q18,Play!$CF$17)+COUNTIF(Play!S16,Play!$CF$17)+COUNTIF(Play!U14,Play!$CF$17)+COUNTIF(Play!W12,Play!$CF$17)</f>
        <v>0</v>
      </c>
      <c r="X21" s="1">
        <f>COUNTIF(Play!O22,Play!$CF$17)+COUNTIF(Play!Q20,Play!$CF$17)+COUNTIF(Play!S18,Play!$CF$17)+COUNTIF(Play!U16,Play!$CF$17)+COUNTIF(Play!W14,Play!$CF$17)+COUNTIF(Play!Y12,Play!$CF$17)</f>
        <v>0</v>
      </c>
      <c r="Y21" s="1">
        <f>COUNTIF(Play!Q22,Play!$CF$17)+COUNTIF(Play!S20,Play!$CF$17)+COUNTIF(Play!U18,Play!$CF$17)+COUNTIF(Play!W16,Play!$CF$17)+COUNTIF(Play!Y14,Play!$CF$17)+COUNTIF(Play!AA12,Play!$CF$17)</f>
        <v>0</v>
      </c>
      <c r="Z21" s="1">
        <f>COUNTIF(Play!S22,Play!$CF$17)+COUNTIF(Play!U20,Play!$CF$17)+COUNTIF(Play!W18,Play!$CF$17)+COUNTIF(Play!Y16,Play!$CF$17)+COUNTIF(Play!AA14,Play!$CF$17)+COUNTIF(Play!AC12,Play!$CF$17)</f>
        <v>0</v>
      </c>
      <c r="AA21" s="1">
        <f>COUNTIF(Play!U22,Play!$CF$17)+COUNTIF(Play!W20,Play!$CF$17)+COUNTIF(Play!Y18,Play!$CF$17)+COUNTIF(Play!AA16,Play!$CF$17)+COUNTIF(Play!AC14,Play!$CF$17)+COUNTIF(Play!AE12,Play!$CF$17)</f>
        <v>0</v>
      </c>
      <c r="AB21" s="1">
        <f>COUNTIF(Play!W22,Play!$CF$17)+COUNTIF(Play!Y20,Play!$CF$17)+COUNTIF(Play!AA18,Play!$CF$17)+COUNTIF(Play!AC16,Play!$CF$17)+COUNTIF(Play!AE14,Play!$CF$17)+COUNTIF(Play!AG12,Play!$CF$17)</f>
        <v>0</v>
      </c>
      <c r="AC21" s="1">
        <f>COUNTIF(Play!Y22,Play!$CF$17)+COUNTIF(Play!AA20,Play!$CF$17)+COUNTIF(Play!AC18,Play!$CF$17)+COUNTIF(Play!AE16,Play!$CF$17)+COUNTIF(Play!AG14,Play!$CF$17)+COUNTIF(Play!AI12,Play!$CF$17)</f>
        <v>0</v>
      </c>
      <c r="AD21" s="1">
        <f>COUNTIF(Play!AA22,Play!$CF$17)+COUNTIF(Play!AC20,Play!$CF$17)+COUNTIF(Play!AE18,Play!$CF$17)+COUNTIF(Play!AG16,Play!$CF$17)+COUNTIF(Play!AI14,Play!$CF$17)+COUNTIF(Play!AK12,Play!$CF$17)</f>
        <v>0</v>
      </c>
      <c r="AE21" s="1">
        <f>COUNTIF(Play!AC22,Play!$CF$17)+COUNTIF(Play!AE20,Play!$CF$17)+COUNTIF(Play!AG18,Play!$CF$17)+COUNTIF(Play!AI16,Play!$CF$17)+COUNTIF(Play!AK14,Play!$CF$17)+COUNTIF(Play!AM12,Play!$CF$17)</f>
        <v>0</v>
      </c>
      <c r="AF21" s="1">
        <f>COUNTIF(Play!AE22,Play!$CF$17)+COUNTIF(Play!AG20,Play!$CF$17)+COUNTIF(Play!AI18,Play!$CF$17)+COUNTIF(Play!AK16,Play!$CF$17)+COUNTIF(Play!AM14,Play!$CF$17)+COUNTIF(Play!AO12,Play!$CF$17)</f>
        <v>0</v>
      </c>
      <c r="AG21" s="1">
        <f>COUNTIF(Play!AG22,Play!$CF$17)+COUNTIF(Play!AI20,Play!$CF$17)+COUNTIF(Play!AK18,Play!$CF$17)+COUNTIF(Play!AM16,Play!$CF$17)+COUNTIF(Play!AO14,Play!$CF$17)+COUNTIF(Play!AQ12,Play!$CF$17)</f>
        <v>0</v>
      </c>
      <c r="AH21" s="1">
        <f>COUNTIF(Play!AI22,Play!$CF$17)+COUNTIF(Play!AK20,Play!$CF$17)+COUNTIF(Play!AM18,Play!$CF$17)+COUNTIF(Play!AO16,Play!$CF$17)+COUNTIF(Play!AQ14,Play!$CF$17)+COUNTIF(Play!AS12,Play!$CF$17)</f>
        <v>0</v>
      </c>
      <c r="AI21" s="1">
        <f>COUNTIF(Play!AK22,Play!$CF$17)+COUNTIF(Play!AM20,Play!$CF$17)+COUNTIF(Play!AO18,Play!$CF$17)+COUNTIF(Play!AQ16,Play!$CF$17)+COUNTIF(Play!AS14,Play!$CF$17)+COUNTIF(Play!AU12,Play!$CF$17)</f>
        <v>0</v>
      </c>
      <c r="AJ21" s="1">
        <f>COUNTIF(Play!AM22,Play!$CF$17)+COUNTIF(Play!AO20,Play!$CF$17)+COUNTIF(Play!AQ18,Play!$CF$17)+COUNTIF(Play!AS16,Play!$CF$17)+COUNTIF(Play!AU14,Play!$CF$17)+COUNTIF(Play!AW12,Play!$CF$17)</f>
        <v>0</v>
      </c>
    </row>
    <row r="22" spans="2:41" ht="13" customHeight="1">
      <c r="B22" s="1">
        <f>COUNTIF(Play!M14:W14,Play!$BI$17)</f>
        <v>0</v>
      </c>
      <c r="C22" s="1">
        <f>COUNTIF(Play!O14:Y14,Play!$BI$17)</f>
        <v>0</v>
      </c>
      <c r="D22" s="1">
        <f>COUNTIF(Play!Q14:AA14,Play!$BI$17)</f>
        <v>0</v>
      </c>
      <c r="E22" s="1">
        <f>COUNTIF(Play!S14:AC14,Play!$BI$17)</f>
        <v>0</v>
      </c>
      <c r="F22" s="1">
        <f>COUNTIF(Play!U14:AE14,Play!$BI$17)</f>
        <v>0</v>
      </c>
      <c r="G22" s="1">
        <f>COUNTIF(Play!W14:AG14,Play!$BI$17)</f>
        <v>0</v>
      </c>
      <c r="H22" s="1">
        <f>COUNTIF(Play!Y14:AI14,Play!$BI$17)</f>
        <v>0</v>
      </c>
      <c r="I22" s="1">
        <f>COUNTIF(Play!AA14:AK14,Play!$BI$17)</f>
        <v>0</v>
      </c>
      <c r="J22" s="1">
        <f>COUNTIF(Play!AC14:AM14,Play!$BI$17)</f>
        <v>0</v>
      </c>
      <c r="K22" s="1">
        <f>COUNTIF(Play!AE14:AO14,Play!$BI$17)</f>
        <v>0</v>
      </c>
      <c r="L22" s="1">
        <f>COUNTIF(Play!AG14:AQ14,Play!$BI$17)</f>
        <v>0</v>
      </c>
      <c r="M22" s="1">
        <f>COUNTIF(Play!AI14:AS14,Play!$BI$17)</f>
        <v>0</v>
      </c>
      <c r="N22" s="1">
        <f>COUNTIF(Play!AK14:AU14,Play!$BI$17)</f>
        <v>0</v>
      </c>
      <c r="O22" s="1">
        <f>COUNTIF(Play!AM14:AW14,Play!$BI$17)</f>
        <v>0</v>
      </c>
      <c r="W22" s="1">
        <f>COUNTIF(Play!M14:W14,Play!$CF$17)</f>
        <v>0</v>
      </c>
      <c r="X22" s="1">
        <f>COUNTIF(Play!O14:Y14,Play!$CF$17)</f>
        <v>0</v>
      </c>
      <c r="Y22" s="1">
        <f>COUNTIF(Play!Q14:AA14,Play!$CF$17)</f>
        <v>0</v>
      </c>
      <c r="Z22" s="1">
        <f>COUNTIF(Play!S14:AC14,Play!$CF$17)</f>
        <v>0</v>
      </c>
      <c r="AA22" s="1">
        <f>COUNTIF(Play!U14:AE14,Play!$CF$17)</f>
        <v>0</v>
      </c>
      <c r="AB22" s="1">
        <f>COUNTIF(Play!W14:AG14,Play!$CF$17)</f>
        <v>0</v>
      </c>
      <c r="AC22" s="1">
        <f>COUNTIF(Play!Y14:AI14,Play!$CF$17)</f>
        <v>0</v>
      </c>
      <c r="AD22" s="1">
        <f>COUNTIF(Play!AA14:AK14,Play!$CF$17)</f>
        <v>0</v>
      </c>
      <c r="AE22" s="1">
        <f>COUNTIF(Play!AC14:AM14,Play!$CF$17)</f>
        <v>0</v>
      </c>
      <c r="AF22" s="1">
        <f>COUNTIF(Play!AE14:AO14,Play!$CF$17)</f>
        <v>0</v>
      </c>
      <c r="AG22" s="1">
        <f>COUNTIF(Play!AG14:AQ14,Play!$CF$17)</f>
        <v>0</v>
      </c>
      <c r="AH22" s="1">
        <f>COUNTIF(Play!AI14:AS14,Play!$CF$17)</f>
        <v>0</v>
      </c>
      <c r="AI22" s="1">
        <f>COUNTIF(Play!AK14:AU14,Play!$CF$17)</f>
        <v>0</v>
      </c>
      <c r="AJ22" s="1">
        <f>COUNTIF(Play!AM14:AW14,Play!$CF$17)</f>
        <v>0</v>
      </c>
    </row>
    <row r="23" spans="2:41" ht="13" customHeight="1">
      <c r="B23" s="1">
        <f>COUNTIF(Play!M14:M24,Play!$BI$17)</f>
        <v>0</v>
      </c>
      <c r="C23" s="1">
        <f>COUNTIF(Play!O14:O24,Play!$BI$17)</f>
        <v>0</v>
      </c>
      <c r="D23" s="1">
        <f>COUNTIF(Play!Q14:Q24,Play!$BI$17)</f>
        <v>0</v>
      </c>
      <c r="E23" s="1">
        <f>COUNTIF(Play!S14:S24,Play!$BI$17)</f>
        <v>0</v>
      </c>
      <c r="F23" s="1">
        <f>COUNTIF(Play!U14:U24,Play!$BI$17)</f>
        <v>0</v>
      </c>
      <c r="G23" s="1">
        <f>COUNTIF(Play!W14:W24,Play!$BI$17)</f>
        <v>0</v>
      </c>
      <c r="H23" s="1">
        <f>COUNTIF(Play!Y14:Y24,Play!$BI$17)</f>
        <v>0</v>
      </c>
      <c r="I23" s="1">
        <f>COUNTIF(Play!AA14:AA24,Play!$BI$17)</f>
        <v>0</v>
      </c>
      <c r="J23" s="1">
        <f>COUNTIF(Play!AC14:AC24,Play!$BI$17)</f>
        <v>0</v>
      </c>
      <c r="K23" s="1">
        <f>COUNTIF(Play!AE14:AE24,Play!$BI$17)</f>
        <v>0</v>
      </c>
      <c r="L23" s="1">
        <f>COUNTIF(Play!AG14:AG24,Play!$BI$17)</f>
        <v>0</v>
      </c>
      <c r="M23" s="1">
        <f>COUNTIF(Play!AI14:AI24,Play!$BI$17)</f>
        <v>0</v>
      </c>
      <c r="N23" s="1">
        <f>COUNTIF(Play!AK14:AK24,Play!$BI$17)</f>
        <v>0</v>
      </c>
      <c r="O23" s="1">
        <f>COUNTIF(Play!AM14:AM24,Play!$BI$17)</f>
        <v>0</v>
      </c>
      <c r="P23" s="1">
        <f>COUNTIF(Play!AO14:AO24,Play!$BI$17)</f>
        <v>0</v>
      </c>
      <c r="Q23" s="1">
        <f>COUNTIF(Play!AQ14:AQ24,Play!$BI$17)</f>
        <v>0</v>
      </c>
      <c r="R23" s="1">
        <f>COUNTIF(Play!AS14:AS24,Play!$BI$17)</f>
        <v>0</v>
      </c>
      <c r="S23" s="1">
        <f>COUNTIF(Play!AU14:AU24,Play!$BI$17)</f>
        <v>0</v>
      </c>
      <c r="T23" s="1">
        <f>COUNTIF(Play!AW14:AW24,Play!$BI$17)</f>
        <v>0</v>
      </c>
      <c r="W23" s="1">
        <f>COUNTIF(Play!M14:M24,Play!$CF$17)</f>
        <v>0</v>
      </c>
      <c r="X23" s="1">
        <f>COUNTIF(Play!O14:O24,Play!$CF$17)</f>
        <v>0</v>
      </c>
      <c r="Y23" s="1">
        <f>COUNTIF(Play!Q14:Q24,Play!$CF$17)</f>
        <v>0</v>
      </c>
      <c r="Z23" s="1">
        <f>COUNTIF(Play!S14:S24,Play!$CF$17)</f>
        <v>0</v>
      </c>
      <c r="AA23" s="1">
        <f>COUNTIF(Play!U14:U24,Play!$CF$17)</f>
        <v>0</v>
      </c>
      <c r="AB23" s="1">
        <f>COUNTIF(Play!W14:W24,Play!$CF$17)</f>
        <v>0</v>
      </c>
      <c r="AC23" s="1">
        <f>COUNTIF(Play!Y14:Y24,Play!$CF$17)</f>
        <v>0</v>
      </c>
      <c r="AD23" s="1">
        <f>COUNTIF(Play!AA14:AA24,Play!$CF$17)</f>
        <v>0</v>
      </c>
      <c r="AE23" s="1">
        <f>COUNTIF(Play!AC14:AC24,Play!$CF$17)</f>
        <v>0</v>
      </c>
      <c r="AF23" s="1">
        <f>COUNTIF(Play!AE14:AE24,Play!$CF$17)</f>
        <v>0</v>
      </c>
      <c r="AG23" s="1">
        <f>COUNTIF(Play!AG14:AG24,Play!$CF$17)</f>
        <v>0</v>
      </c>
      <c r="AH23" s="1">
        <f>COUNTIF(Play!AI14:AI24,Play!$CF$17)</f>
        <v>0</v>
      </c>
      <c r="AI23" s="1">
        <f>COUNTIF(Play!AK14:AK24,Play!$CF$17)</f>
        <v>0</v>
      </c>
      <c r="AJ23" s="1">
        <f>COUNTIF(Play!AM14:AM24,Play!$CF$17)</f>
        <v>0</v>
      </c>
      <c r="AK23" s="1">
        <f>COUNTIF(Play!AO14:AO24,Play!$CF$17)</f>
        <v>0</v>
      </c>
      <c r="AL23" s="1">
        <f>COUNTIF(Play!AQ14:AQ24,Play!$CF$17)</f>
        <v>0</v>
      </c>
      <c r="AM23" s="1">
        <f>COUNTIF(Play!AS14:AS24,Play!$CF$17)</f>
        <v>0</v>
      </c>
      <c r="AN23" s="1">
        <f>COUNTIF(Play!AU14:AU24,Play!$CF$17)</f>
        <v>0</v>
      </c>
      <c r="AO23" s="1">
        <f>COUNTIF(Play!AW14:AW24,Play!$CF$17)</f>
        <v>0</v>
      </c>
    </row>
    <row r="24" spans="2:41" ht="13" customHeight="1">
      <c r="B24" s="1">
        <f>COUNTIF(Play!M14,Play!$BI$17)+COUNTIF(Play!O16,Play!$BI$17)+COUNTIF(Play!Q18,Play!$BI$17)+COUNTIF(Play!S20,Play!$BI$17)+COUNTIF(Play!U22,Play!$BI$17)+COUNTIF(Play!W24,Play!$BI$17)</f>
        <v>0</v>
      </c>
      <c r="C24" s="1">
        <f>COUNTIF(Play!O14,Play!$BI$17)+COUNTIF(Play!Q16,Play!$BI$17)+COUNTIF(Play!S18,Play!$BI$17)+COUNTIF(Play!U20,Play!$BI$17)+COUNTIF(Play!W22,Play!$BI$17)+COUNTIF(Play!Y24,Play!$BI$17)</f>
        <v>0</v>
      </c>
      <c r="D24" s="1">
        <f>COUNTIF(Play!Q14,Play!$BI$17)+COUNTIF(Play!S16,Play!$BI$17)+COUNTIF(Play!U18,Play!$BI$17)+COUNTIF(Play!W20,Play!$BI$17)+COUNTIF(Play!Y22,Play!$BI$17)+COUNTIF(Play!AA24,Play!$BI$17)</f>
        <v>0</v>
      </c>
      <c r="E24" s="1">
        <f>COUNTIF(Play!S14,Play!$BI$17)+COUNTIF(Play!U16,Play!$BI$17)+COUNTIF(Play!W18,Play!$BI$17)+COUNTIF(Play!Y20,Play!$BI$17)+COUNTIF(Play!AA22,Play!$BI$17)+COUNTIF(Play!AC24,Play!$BI$17)</f>
        <v>0</v>
      </c>
      <c r="F24" s="1">
        <f>COUNTIF(Play!U14,Play!$BI$17)+COUNTIF(Play!W16,Play!$BI$17)+COUNTIF(Play!Y18,Play!$BI$17)+COUNTIF(Play!AA20,Play!$BI$17)+COUNTIF(Play!AC22,Play!$BI$17)+COUNTIF(Play!AE24,Play!$BI$17)</f>
        <v>0</v>
      </c>
      <c r="G24" s="1">
        <f>COUNTIF(Play!W14,Play!$BI$17)+COUNTIF(Play!Y16,Play!$BI$17)+COUNTIF(Play!AA18,Play!$BI$17)+COUNTIF(Play!AC20,Play!$BI$17)+COUNTIF(Play!AE22,Play!$BI$17)+COUNTIF(Play!AG24,Play!$BI$17)</f>
        <v>0</v>
      </c>
      <c r="H24" s="1">
        <f>COUNTIF(Play!Y14,Play!$BI$17)+COUNTIF(Play!AA16,Play!$BI$17)+COUNTIF(Play!AC18,Play!$BI$17)+COUNTIF(Play!AE20,Play!$BI$17)+COUNTIF(Play!AG22,Play!$BI$17)+COUNTIF(Play!AI24,Play!$BI$17)</f>
        <v>0</v>
      </c>
      <c r="I24" s="1">
        <f>COUNTIF(Play!AA14,Play!$BI$17)+COUNTIF(Play!AC16,Play!$BI$17)+COUNTIF(Play!AE18,Play!$BI$17)+COUNTIF(Play!AG20,Play!$BI$17)+COUNTIF(Play!AI22,Play!$BI$17)+COUNTIF(Play!AK24,Play!$BI$17)</f>
        <v>0</v>
      </c>
      <c r="J24" s="1">
        <f>COUNTIF(Play!AC14,Play!$BI$17)+COUNTIF(Play!AE16,Play!$BI$17)+COUNTIF(Play!AG18,Play!$BI$17)+COUNTIF(Play!AI20,Play!$BI$17)+COUNTIF(Play!AK22,Play!$BI$17)+COUNTIF(Play!AM24,Play!$BI$17)</f>
        <v>0</v>
      </c>
      <c r="K24" s="1">
        <f>COUNTIF(Play!AE14,Play!$BI$17)+COUNTIF(Play!AG16,Play!$BI$17)+COUNTIF(Play!AI18,Play!$BI$17)+COUNTIF(Play!AK20,Play!$BI$17)+COUNTIF(Play!AM22,Play!$BI$17)+COUNTIF(Play!AO24,Play!$BI$17)</f>
        <v>0</v>
      </c>
      <c r="L24" s="1">
        <f>COUNTIF(Play!AG14,Play!$BI$17)+COUNTIF(Play!AI16,Play!$BI$17)+COUNTIF(Play!AK18,Play!$BI$17)+COUNTIF(Play!AM20,Play!$BI$17)+COUNTIF(Play!AO22,Play!$BI$17)+COUNTIF(Play!AQ24,Play!$BI$17)</f>
        <v>0</v>
      </c>
      <c r="M24" s="1">
        <f>COUNTIF(Play!AI14,Play!$BI$17)+COUNTIF(Play!AK16,Play!$BI$17)+COUNTIF(Play!AM18,Play!$BI$17)+COUNTIF(Play!AO20,Play!$BI$17)+COUNTIF(Play!AQ22,Play!$BI$17)+COUNTIF(Play!AS24,Play!$BI$17)</f>
        <v>0</v>
      </c>
      <c r="N24" s="1">
        <f>COUNTIF(Play!AK14,Play!$BI$17)+COUNTIF(Play!AM16,Play!$BI$17)+COUNTIF(Play!AO18,Play!$BI$17)+COUNTIF(Play!AQ20,Play!$BI$17)+COUNTIF(Play!AS22,Play!$BI$17)+COUNTIF(Play!AU24,Play!$BI$17)</f>
        <v>0</v>
      </c>
      <c r="O24" s="1">
        <f>COUNTIF(Play!AM14,Play!$BI$17)+COUNTIF(Play!AO16,Play!$BI$17)+COUNTIF(Play!AQ18,Play!$BI$17)+COUNTIF(Play!AS20,Play!$BI$17)+COUNTIF(Play!AU22,Play!$BI$17)+COUNTIF(Play!AW24,Play!$BI$17)</f>
        <v>0</v>
      </c>
      <c r="W24" s="1">
        <f>COUNTIF(Play!M14,Play!$CF$17)+COUNTIF(Play!O16,Play!$CF$17)+COUNTIF(Play!Q18,Play!$CF$17)+COUNTIF(Play!S20,Play!$CF$17)+COUNTIF(Play!U22,Play!$CF$17)+COUNTIF(Play!W24,Play!$CF$17)</f>
        <v>0</v>
      </c>
      <c r="X24" s="1">
        <f>COUNTIF(Play!O14,Play!$CF$17)+COUNTIF(Play!Q16,Play!$CF$17)+COUNTIF(Play!S18,Play!$CF$17)+COUNTIF(Play!U20,Play!$CF$17)+COUNTIF(Play!W22,Play!$CF$17)+COUNTIF(Play!Y24,Play!$CF$17)</f>
        <v>0</v>
      </c>
      <c r="Y24" s="1">
        <f>COUNTIF(Play!Q14,Play!$CF$17)+COUNTIF(Play!S16,Play!$CF$17)+COUNTIF(Play!U18,Play!$CF$17)+COUNTIF(Play!W20,Play!$CF$17)+COUNTIF(Play!Y22,Play!$CF$17)+COUNTIF(Play!AA24,Play!$CF$17)</f>
        <v>0</v>
      </c>
      <c r="Z24" s="1">
        <f>COUNTIF(Play!S14,Play!$CF$17)+COUNTIF(Play!U16,Play!$CF$17)+COUNTIF(Play!W18,Play!$CF$17)+COUNTIF(Play!Y20,Play!$CF$17)+COUNTIF(Play!AA22,Play!$CF$17)+COUNTIF(Play!AC24,Play!$CF$17)</f>
        <v>0</v>
      </c>
      <c r="AA24" s="1">
        <f>COUNTIF(Play!U14,Play!$CF$17)+COUNTIF(Play!W16,Play!$CF$17)+COUNTIF(Play!Y18,Play!$CF$17)+COUNTIF(Play!AA20,Play!$CF$17)+COUNTIF(Play!AC22,Play!$CF$17)+COUNTIF(Play!AE24,Play!$CF$17)</f>
        <v>0</v>
      </c>
      <c r="AB24" s="1">
        <f>COUNTIF(Play!W14,Play!$CF$17)+COUNTIF(Play!Y16,Play!$CF$17)+COUNTIF(Play!AA18,Play!$CF$17)+COUNTIF(Play!AC20,Play!$CF$17)+COUNTIF(Play!AE22,Play!$CF$17)+COUNTIF(Play!AG24,Play!$CF$17)</f>
        <v>0</v>
      </c>
      <c r="AC24" s="1">
        <f>COUNTIF(Play!Y14,Play!$CF$17)+COUNTIF(Play!AA16,Play!$CF$17)+COUNTIF(Play!AC18,Play!$CF$17)+COUNTIF(Play!AE20,Play!$CF$17)+COUNTIF(Play!AG22,Play!$CF$17)+COUNTIF(Play!AI24,Play!$CF$17)</f>
        <v>0</v>
      </c>
      <c r="AD24" s="1">
        <f>COUNTIF(Play!AA14,Play!$CF$17)+COUNTIF(Play!AC16,Play!$CF$17)+COUNTIF(Play!AE18,Play!$CF$17)+COUNTIF(Play!AG20,Play!$CF$17)+COUNTIF(Play!AI22,Play!$CF$17)+COUNTIF(Play!AK24,Play!$CF$17)</f>
        <v>0</v>
      </c>
      <c r="AE24" s="1">
        <f>COUNTIF(Play!AC14,Play!$CF$17)+COUNTIF(Play!AE16,Play!$CF$17)+COUNTIF(Play!AG18,Play!$CF$17)+COUNTIF(Play!AI20,Play!$CF$17)+COUNTIF(Play!AK22,Play!$CF$17)+COUNTIF(Play!AM24,Play!$CF$17)</f>
        <v>0</v>
      </c>
      <c r="AF24" s="1">
        <f>COUNTIF(Play!AE14,Play!$CF$17)+COUNTIF(Play!AG16,Play!$CF$17)+COUNTIF(Play!AI18,Play!$CF$17)+COUNTIF(Play!AK20,Play!$CF$17)+COUNTIF(Play!AM22,Play!$CF$17)+COUNTIF(Play!AO24,Play!$CF$17)</f>
        <v>0</v>
      </c>
      <c r="AG24" s="1">
        <f>COUNTIF(Play!AG14,Play!$CF$17)+COUNTIF(Play!AI16,Play!$CF$17)+COUNTIF(Play!AK18,Play!$CF$17)+COUNTIF(Play!AM20,Play!$CF$17)+COUNTIF(Play!AO22,Play!$CF$17)+COUNTIF(Play!AQ24,Play!$CF$17)</f>
        <v>0</v>
      </c>
      <c r="AH24" s="1">
        <f>COUNTIF(Play!AI14,Play!$CF$17)+COUNTIF(Play!AK16,Play!$CF$17)+COUNTIF(Play!AM18,Play!$CF$17)+COUNTIF(Play!AO20,Play!$CF$17)+COUNTIF(Play!AQ22,Play!$CF$17)+COUNTIF(Play!AS24,Play!$CF$17)</f>
        <v>0</v>
      </c>
      <c r="AI24" s="1">
        <f>COUNTIF(Play!AK14,Play!$CF$17)+COUNTIF(Play!AM16,Play!$CF$17)+COUNTIF(Play!AO18,Play!$CF$17)+COUNTIF(Play!AQ20,Play!$CF$17)+COUNTIF(Play!AS22,Play!$CF$17)+COUNTIF(Play!AU24,Play!$CF$17)</f>
        <v>0</v>
      </c>
      <c r="AJ24" s="1">
        <f>COUNTIF(Play!AM14,Play!$CF$17)+COUNTIF(Play!AO16,Play!$CF$17)+COUNTIF(Play!AQ18,Play!$CF$17)+COUNTIF(Play!AS20,Play!$CF$17)+COUNTIF(Play!AU22,Play!$CF$17)+COUNTIF(Play!AW24,Play!$CF$17)</f>
        <v>0</v>
      </c>
    </row>
    <row r="25" spans="2:41" ht="13" customHeight="1">
      <c r="B25" s="1">
        <f>COUNTIF(Play!M24,Play!$BI$17)+COUNTIF(Play!O22,Play!$BI$17)+COUNTIF(Play!Q20,Play!$BI$17)+COUNTIF(Play!S18,Play!$BI$17)+COUNTIF(Play!U16,Play!$BI$17)+COUNTIF(Play!W14,Play!$BI$17)</f>
        <v>0</v>
      </c>
      <c r="C25" s="1">
        <f>COUNTIF(Play!O24,Play!$BI$17)+COUNTIF(Play!Q22,Play!$BI$17)+COUNTIF(Play!S20,Play!$BI$17)+COUNTIF(Play!U18,Play!$BI$17)+COUNTIF(Play!W16,Play!$BI$17)+COUNTIF(Play!Y14,Play!$BI$17)</f>
        <v>0</v>
      </c>
      <c r="D25" s="1">
        <f>COUNTIF(Play!Q24,Play!$BI$17)+COUNTIF(Play!S22,Play!$BI$17)+COUNTIF(Play!U20,Play!$BI$17)+COUNTIF(Play!W18,Play!$BI$17)+COUNTIF(Play!Y16,Play!$BI$17)+COUNTIF(Play!AA14,Play!$BI$17)</f>
        <v>0</v>
      </c>
      <c r="E25" s="1">
        <f>COUNTIF(Play!S24,Play!$BI$17)+COUNTIF(Play!U22,Play!$BI$17)+COUNTIF(Play!W20,Play!$BI$17)+COUNTIF(Play!Y18,Play!$BI$17)+COUNTIF(Play!AA16,Play!$BI$17)+COUNTIF(Play!AC14,Play!$BI$17)</f>
        <v>0</v>
      </c>
      <c r="F25" s="1">
        <f>COUNTIF(Play!U24,Play!$BI$17)+COUNTIF(Play!W22,Play!$BI$17)+COUNTIF(Play!Y20,Play!$BI$17)+COUNTIF(Play!AA18,Play!$BI$17)+COUNTIF(Play!AC16,Play!$BI$17)+COUNTIF(Play!AE14,Play!$BI$17)</f>
        <v>0</v>
      </c>
      <c r="G25" s="1">
        <f>COUNTIF(Play!W24,Play!$BI$17)+COUNTIF(Play!Y22,Play!$BI$17)+COUNTIF(Play!AA20,Play!$BI$17)+COUNTIF(Play!AC18,Play!$BI$17)+COUNTIF(Play!AE16,Play!$BI$17)+COUNTIF(Play!AG14,Play!$BI$17)</f>
        <v>0</v>
      </c>
      <c r="H25" s="1">
        <f>COUNTIF(Play!Y24,Play!$BI$17)+COUNTIF(Play!AA22,Play!$BI$17)+COUNTIF(Play!AC20,Play!$BI$17)+COUNTIF(Play!AE18,Play!$BI$17)+COUNTIF(Play!AG16,Play!$BI$17)+COUNTIF(Play!AI14,Play!$BI$17)</f>
        <v>0</v>
      </c>
      <c r="I25" s="1">
        <f>COUNTIF(Play!AA24,Play!$BI$17)+COUNTIF(Play!AC22,Play!$BI$17)+COUNTIF(Play!AE20,Play!$BI$17)+COUNTIF(Play!AG18,Play!$BI$17)+COUNTIF(Play!AI16,Play!$BI$17)+COUNTIF(Play!AK14,Play!$BI$17)</f>
        <v>0</v>
      </c>
      <c r="J25" s="1">
        <f>COUNTIF(Play!AC24,Play!$BI$17)+COUNTIF(Play!AE22,Play!$BI$17)+COUNTIF(Play!AG20,Play!$BI$17)+COUNTIF(Play!AI18,Play!$BI$17)+COUNTIF(Play!AK16,Play!$BI$17)+COUNTIF(Play!AM14,Play!$BI$17)</f>
        <v>0</v>
      </c>
      <c r="K25" s="1">
        <f>COUNTIF(Play!AE24,Play!$BI$17)+COUNTIF(Play!AG22,Play!$BI$17)+COUNTIF(Play!AI20,Play!$BI$17)+COUNTIF(Play!AK18,Play!$BI$17)+COUNTIF(Play!AM16,Play!$BI$17)+COUNTIF(Play!AO14,Play!$BI$17)</f>
        <v>0</v>
      </c>
      <c r="L25" s="1">
        <f>COUNTIF(Play!AG24,Play!$BI$17)+COUNTIF(Play!AI22,Play!$BI$17)+COUNTIF(Play!AK20,Play!$BI$17)+COUNTIF(Play!AM18,Play!$BI$17)+COUNTIF(Play!AO16,Play!$BI$17)+COUNTIF(Play!AQ14,Play!$BI$17)</f>
        <v>0</v>
      </c>
      <c r="M25" s="1">
        <f>COUNTIF(Play!AI24,Play!$BI$17)+COUNTIF(Play!AK22,Play!$BI$17)+COUNTIF(Play!AM20,Play!$BI$17)+COUNTIF(Play!AO18,Play!$BI$17)+COUNTIF(Play!AQ16,Play!$BI$17)+COUNTIF(Play!AS14,Play!$BI$17)</f>
        <v>0</v>
      </c>
      <c r="N25" s="1">
        <f>COUNTIF(Play!AK24,Play!$BI$17)+COUNTIF(Play!AM22,Play!$BI$17)+COUNTIF(Play!AO20,Play!$BI$17)+COUNTIF(Play!AQ18,Play!$BI$17)+COUNTIF(Play!AS16,Play!$BI$17)+COUNTIF(Play!AU14,Play!$BI$17)</f>
        <v>0</v>
      </c>
      <c r="O25" s="1">
        <f>COUNTIF(Play!AM24,Play!$BI$17)+COUNTIF(Play!AO22,Play!$BI$17)+COUNTIF(Play!AQ20,Play!$BI$17)+COUNTIF(Play!AS18,Play!$BI$17)+COUNTIF(Play!AU16,Play!$BI$17)+COUNTIF(Play!AW14,Play!$BI$17)</f>
        <v>0</v>
      </c>
      <c r="W25" s="1">
        <f>COUNTIF(Play!M24,Play!$CF$17)+COUNTIF(Play!O22,Play!$CF$17)+COUNTIF(Play!Q20,Play!$CF$17)+COUNTIF(Play!S18,Play!$CF$17)+COUNTIF(Play!U16,Play!$CF$17)+COUNTIF(Play!W14,Play!$CF$17)</f>
        <v>0</v>
      </c>
      <c r="X25" s="1">
        <f>COUNTIF(Play!O24,Play!$CF$17)+COUNTIF(Play!Q22,Play!$CF$17)+COUNTIF(Play!S20,Play!$CF$17)+COUNTIF(Play!U18,Play!$CF$17)+COUNTIF(Play!W16,Play!$CF$17)+COUNTIF(Play!Y14,Play!$CF$17)</f>
        <v>0</v>
      </c>
      <c r="Y25" s="1">
        <f>COUNTIF(Play!Q24,Play!$CF$17)+COUNTIF(Play!S22,Play!$CF$17)+COUNTIF(Play!U20,Play!$CF$17)+COUNTIF(Play!W18,Play!$CF$17)+COUNTIF(Play!Y16,Play!$CF$17)+COUNTIF(Play!AA14,Play!$CF$17)</f>
        <v>0</v>
      </c>
      <c r="Z25" s="1">
        <f>COUNTIF(Play!S24,Play!$CF$17)+COUNTIF(Play!U22,Play!$CF$17)+COUNTIF(Play!W20,Play!$CF$17)+COUNTIF(Play!Y18,Play!$CF$17)+COUNTIF(Play!AA16,Play!$CF$17)+COUNTIF(Play!AC14,Play!$CF$17)</f>
        <v>0</v>
      </c>
      <c r="AA25" s="1">
        <f>COUNTIF(Play!U24,Play!$CF$17)+COUNTIF(Play!W22,Play!$CF$17)+COUNTIF(Play!Y20,Play!$CF$17)+COUNTIF(Play!AA18,Play!$CF$17)+COUNTIF(Play!AC16,Play!$CF$17)+COUNTIF(Play!AE14,Play!$CF$17)</f>
        <v>0</v>
      </c>
      <c r="AB25" s="1">
        <f>COUNTIF(Play!W24,Play!$CF$17)+COUNTIF(Play!Y22,Play!$CF$17)+COUNTIF(Play!AA20,Play!$CF$17)+COUNTIF(Play!AC18,Play!$CF$17)+COUNTIF(Play!AE16,Play!$CF$17)+COUNTIF(Play!AG14,Play!$CF$17)</f>
        <v>0</v>
      </c>
      <c r="AC25" s="1">
        <f>COUNTIF(Play!Y24,Play!$CF$17)+COUNTIF(Play!AA22,Play!$CF$17)+COUNTIF(Play!AC20,Play!$CF$17)+COUNTIF(Play!AE18,Play!$CF$17)+COUNTIF(Play!AG16,Play!$CF$17)+COUNTIF(Play!AI14,Play!$CF$17)</f>
        <v>0</v>
      </c>
      <c r="AD25" s="1">
        <f>COUNTIF(Play!AA24,Play!$CF$17)+COUNTIF(Play!AC22,Play!$CF$17)+COUNTIF(Play!AE20,Play!$CF$17)+COUNTIF(Play!AG18,Play!$CF$17)+COUNTIF(Play!AI16,Play!$CF$17)+COUNTIF(Play!AK14,Play!$CF$17)</f>
        <v>0</v>
      </c>
      <c r="AE25" s="1">
        <f>COUNTIF(Play!AC24,Play!$CF$17)+COUNTIF(Play!AE22,Play!$CF$17)+COUNTIF(Play!AG20,Play!$CF$17)+COUNTIF(Play!AI18,Play!$CF$17)+COUNTIF(Play!AK16,Play!$CF$17)+COUNTIF(Play!AM14,Play!$CF$17)</f>
        <v>0</v>
      </c>
      <c r="AF25" s="1">
        <f>COUNTIF(Play!AE24,Play!$CF$17)+COUNTIF(Play!AG22,Play!$CF$17)+COUNTIF(Play!AI20,Play!$CF$17)+COUNTIF(Play!AK18,Play!$CF$17)+COUNTIF(Play!AM16,Play!$CF$17)+COUNTIF(Play!AO14,Play!$CF$17)</f>
        <v>0</v>
      </c>
      <c r="AG25" s="1">
        <f>COUNTIF(Play!AG24,Play!$CF$17)+COUNTIF(Play!AI22,Play!$CF$17)+COUNTIF(Play!AK20,Play!$CF$17)+COUNTIF(Play!AM18,Play!$CF$17)+COUNTIF(Play!AO16,Play!$CF$17)+COUNTIF(Play!AQ14,Play!$CF$17)</f>
        <v>0</v>
      </c>
      <c r="AH25" s="1">
        <f>COUNTIF(Play!AI24,Play!$CF$17)+COUNTIF(Play!AK22,Play!$CF$17)+COUNTIF(Play!AM20,Play!$CF$17)+COUNTIF(Play!AO18,Play!$CF$17)+COUNTIF(Play!AQ16,Play!$CF$17)+COUNTIF(Play!AS14,Play!$CF$17)</f>
        <v>0</v>
      </c>
      <c r="AI25" s="1">
        <f>COUNTIF(Play!AK24,Play!$CF$17)+COUNTIF(Play!AM22,Play!$CF$17)+COUNTIF(Play!AO20,Play!$CF$17)+COUNTIF(Play!AQ18,Play!$CF$17)+COUNTIF(Play!AS16,Play!$CF$17)+COUNTIF(Play!AU14,Play!$CF$17)</f>
        <v>0</v>
      </c>
      <c r="AJ25" s="1">
        <f>COUNTIF(Play!AM24,Play!$CF$17)+COUNTIF(Play!AO22,Play!$CF$17)+COUNTIF(Play!AQ20,Play!$CF$17)+COUNTIF(Play!AS18,Play!$CF$17)+COUNTIF(Play!AU16,Play!$CF$17)+COUNTIF(Play!AW14,Play!$CF$17)</f>
        <v>0</v>
      </c>
    </row>
    <row r="26" spans="2:41" ht="13" customHeight="1">
      <c r="B26" s="1">
        <f>COUNTIF(Play!M16:W16,Play!$BI$17)</f>
        <v>0</v>
      </c>
      <c r="C26" s="1">
        <f>COUNTIF(Play!O16:Y16,Play!$BI$17)</f>
        <v>0</v>
      </c>
      <c r="D26" s="1">
        <f>COUNTIF(Play!Q16:AA16,Play!$BI$17)</f>
        <v>0</v>
      </c>
      <c r="E26" s="1">
        <f>COUNTIF(Play!S16:AC16,Play!$BI$17)</f>
        <v>0</v>
      </c>
      <c r="F26" s="1">
        <f>COUNTIF(Play!U16:AE16,Play!$BI$17)</f>
        <v>0</v>
      </c>
      <c r="G26" s="1">
        <f>COUNTIF(Play!W16:AG16,Play!$BI$17)</f>
        <v>0</v>
      </c>
      <c r="H26" s="1">
        <f>COUNTIF(Play!Y16:AI16,Play!$BI$17)</f>
        <v>0</v>
      </c>
      <c r="I26" s="1">
        <f>COUNTIF(Play!AA16:AK16,Play!$BI$17)</f>
        <v>0</v>
      </c>
      <c r="J26" s="1">
        <f>COUNTIF(Play!AC16:AM16,Play!$BI$17)</f>
        <v>0</v>
      </c>
      <c r="K26" s="1">
        <f>COUNTIF(Play!AE16:AO16,Play!$BI$17)</f>
        <v>0</v>
      </c>
      <c r="L26" s="1">
        <f>COUNTIF(Play!AG16:AQ16,Play!$BI$17)</f>
        <v>0</v>
      </c>
      <c r="M26" s="1">
        <f>COUNTIF(Play!AI16:AS16,Play!$BI$17)</f>
        <v>0</v>
      </c>
      <c r="N26" s="1">
        <f>COUNTIF(Play!AK16:AU16,Play!$BI$17)</f>
        <v>0</v>
      </c>
      <c r="O26" s="1">
        <f>COUNTIF(Play!AM16:AW16,Play!$BI$17)</f>
        <v>0</v>
      </c>
      <c r="W26" s="1">
        <f>COUNTIF(Play!M16:W16,Play!$CF$17)</f>
        <v>0</v>
      </c>
      <c r="X26" s="1">
        <f>COUNTIF(Play!O16:Y16,Play!$CF$17)</f>
        <v>0</v>
      </c>
      <c r="Y26" s="1">
        <f>COUNTIF(Play!Q16:AA16,Play!$CF$17)</f>
        <v>0</v>
      </c>
      <c r="Z26" s="1">
        <f>COUNTIF(Play!S16:AC16,Play!$CF$17)</f>
        <v>0</v>
      </c>
      <c r="AA26" s="1">
        <f>COUNTIF(Play!U16:AE16,Play!$CF$17)</f>
        <v>0</v>
      </c>
      <c r="AB26" s="1">
        <f>COUNTIF(Play!W16:AG16,Play!$CF$17)</f>
        <v>0</v>
      </c>
      <c r="AC26" s="1">
        <f>COUNTIF(Play!Y16:AI16,Play!$CF$17)</f>
        <v>0</v>
      </c>
      <c r="AD26" s="1">
        <f>COUNTIF(Play!AA16:AK16,Play!$CF$17)</f>
        <v>0</v>
      </c>
      <c r="AE26" s="1">
        <f>COUNTIF(Play!AC16:AM16,Play!$CF$17)</f>
        <v>0</v>
      </c>
      <c r="AF26" s="1">
        <f>COUNTIF(Play!AE16:AO16,Play!$CF$17)</f>
        <v>0</v>
      </c>
      <c r="AG26" s="1">
        <f>COUNTIF(Play!AG16:AQ16,Play!$CF$17)</f>
        <v>0</v>
      </c>
      <c r="AH26" s="1">
        <f>COUNTIF(Play!AI16:AS16,Play!$CF$17)</f>
        <v>0</v>
      </c>
      <c r="AI26" s="1">
        <f>COUNTIF(Play!AK16:AU16,Play!$CF$17)</f>
        <v>0</v>
      </c>
      <c r="AJ26" s="1">
        <f>COUNTIF(Play!AM16:AW16,Play!$CF$17)</f>
        <v>0</v>
      </c>
    </row>
    <row r="27" spans="2:41" ht="13" customHeight="1">
      <c r="B27" s="1">
        <f>COUNTIF(Play!M16:M26,Play!$BI$17)</f>
        <v>0</v>
      </c>
      <c r="C27" s="1">
        <f>COUNTIF(Play!O16:O26,Play!$BI$17)</f>
        <v>0</v>
      </c>
      <c r="D27" s="1">
        <f>COUNTIF(Play!Q16:Q26,Play!$BI$17)</f>
        <v>0</v>
      </c>
      <c r="E27" s="1">
        <f>COUNTIF(Play!S16:S26,Play!$BI$17)</f>
        <v>0</v>
      </c>
      <c r="F27" s="1">
        <f>COUNTIF(Play!U16:U26,Play!$BI$17)</f>
        <v>0</v>
      </c>
      <c r="G27" s="1">
        <f>COUNTIF(Play!W16:W26,Play!$BI$17)</f>
        <v>0</v>
      </c>
      <c r="H27" s="1">
        <f>COUNTIF(Play!Y16:Y26,Play!$BI$17)</f>
        <v>0</v>
      </c>
      <c r="I27" s="1">
        <f>COUNTIF(Play!AA16:AA26,Play!$BI$17)</f>
        <v>0</v>
      </c>
      <c r="J27" s="1">
        <f>COUNTIF(Play!AC16:AC26,Play!$BI$17)</f>
        <v>0</v>
      </c>
      <c r="K27" s="1">
        <f>COUNTIF(Play!AE16:AE26,Play!$BI$17)</f>
        <v>0</v>
      </c>
      <c r="L27" s="1">
        <f>COUNTIF(Play!AG16:AG26,Play!$BI$17)</f>
        <v>0</v>
      </c>
      <c r="M27" s="1">
        <f>COUNTIF(Play!AI16:AI26,Play!$BI$17)</f>
        <v>0</v>
      </c>
      <c r="N27" s="1">
        <f>COUNTIF(Play!AK16:AK26,Play!$BI$17)</f>
        <v>0</v>
      </c>
      <c r="O27" s="1">
        <f>COUNTIF(Play!AM16:AM26,Play!$BI$17)</f>
        <v>0</v>
      </c>
      <c r="P27" s="1">
        <f>COUNTIF(Play!AO16:AO26,Play!$BI$17)</f>
        <v>0</v>
      </c>
      <c r="Q27" s="1">
        <f>COUNTIF(Play!AQ16:AQ26,Play!$BI$17)</f>
        <v>0</v>
      </c>
      <c r="R27" s="1">
        <f>COUNTIF(Play!AS16:AS26,Play!$BI$17)</f>
        <v>0</v>
      </c>
      <c r="S27" s="1">
        <f>COUNTIF(Play!AU16:AU26,Play!$BI$17)</f>
        <v>0</v>
      </c>
      <c r="T27" s="1">
        <f>COUNTIF(Play!AW16:AW26,Play!$BI$17)</f>
        <v>0</v>
      </c>
      <c r="W27" s="1">
        <f>COUNTIF(Play!M16:M26,Play!$CF$17)</f>
        <v>0</v>
      </c>
      <c r="X27" s="1">
        <f>COUNTIF(Play!O16:O26,Play!$CF$17)</f>
        <v>0</v>
      </c>
      <c r="Y27" s="1">
        <f>COUNTIF(Play!Q16:Q26,Play!$CF$17)</f>
        <v>0</v>
      </c>
      <c r="Z27" s="1">
        <f>COUNTIF(Play!S16:S26,Play!$CF$17)</f>
        <v>0</v>
      </c>
      <c r="AA27" s="1">
        <f>COUNTIF(Play!U16:U26,Play!$CF$17)</f>
        <v>0</v>
      </c>
      <c r="AB27" s="1">
        <f>COUNTIF(Play!W16:W26,Play!$CF$17)</f>
        <v>0</v>
      </c>
      <c r="AC27" s="1">
        <f>COUNTIF(Play!Y16:Y26,Play!$CF$17)</f>
        <v>0</v>
      </c>
      <c r="AD27" s="1">
        <f>COUNTIF(Play!AA16:AA26,Play!$CF$17)</f>
        <v>0</v>
      </c>
      <c r="AE27" s="1">
        <f>COUNTIF(Play!AC16:AC26,Play!$CF$17)</f>
        <v>0</v>
      </c>
      <c r="AF27" s="1">
        <f>COUNTIF(Play!AE16:AE26,Play!$CF$17)</f>
        <v>0</v>
      </c>
      <c r="AG27" s="1">
        <f>COUNTIF(Play!AG16:AG26,Play!$CF$17)</f>
        <v>0</v>
      </c>
      <c r="AH27" s="1">
        <f>COUNTIF(Play!AI16:AI26,Play!$CF$17)</f>
        <v>0</v>
      </c>
      <c r="AI27" s="1">
        <f>COUNTIF(Play!AK16:AK26,Play!$CF$17)</f>
        <v>0</v>
      </c>
      <c r="AJ27" s="1">
        <f>COUNTIF(Play!AM16:AM26,Play!$CF$17)</f>
        <v>0</v>
      </c>
      <c r="AK27" s="1">
        <f>COUNTIF(Play!AO16:AO26,Play!$CF$17)</f>
        <v>0</v>
      </c>
      <c r="AL27" s="1">
        <f>COUNTIF(Play!AQ16:AQ26,Play!$CF$17)</f>
        <v>0</v>
      </c>
      <c r="AM27" s="1">
        <f>COUNTIF(Play!AS16:AS26,Play!$CF$17)</f>
        <v>0</v>
      </c>
      <c r="AN27" s="1">
        <f>COUNTIF(Play!AU16:AU26,Play!$CF$17)</f>
        <v>0</v>
      </c>
      <c r="AO27" s="1">
        <f>COUNTIF(Play!AW16:AW26,Play!$CF$17)</f>
        <v>0</v>
      </c>
    </row>
    <row r="28" spans="2:41" ht="13" customHeight="1">
      <c r="B28" s="1">
        <f>COUNTIF(Play!M16,Play!$BI$17)+COUNTIF(Play!O18,Play!$BI$17)+COUNTIF(Play!Q20,Play!$BI$17)+COUNTIF(Play!S22,Play!$BI$17)+COUNTIF(Play!U24,Play!$BI$17)+COUNTIF(Play!W26,Play!$BI$17)</f>
        <v>0</v>
      </c>
      <c r="C28" s="1">
        <f>COUNTIF(Play!O16,Play!$BI$17)+COUNTIF(Play!Q18,Play!$BI$17)+COUNTIF(Play!S20,Play!$BI$17)+COUNTIF(Play!U22,Play!$BI$17)+COUNTIF(Play!W24,Play!$BI$17)+COUNTIF(Play!Y26,Play!$BI$17)</f>
        <v>0</v>
      </c>
      <c r="D28" s="1">
        <f>COUNTIF(Play!Q16,Play!$BI$17)+COUNTIF(Play!S18,Play!$BI$17)+COUNTIF(Play!U20,Play!$BI$17)+COUNTIF(Play!W22,Play!$BI$17)+COUNTIF(Play!Y24,Play!$BI$17)+COUNTIF(Play!AA26,Play!$BI$17)</f>
        <v>0</v>
      </c>
      <c r="E28" s="1">
        <f>COUNTIF(Play!S16,Play!$BI$17)+COUNTIF(Play!U18,Play!$BI$17)+COUNTIF(Play!W20,Play!$BI$17)+COUNTIF(Play!Y22,Play!$BI$17)+COUNTIF(Play!AA24,Play!$BI$17)+COUNTIF(Play!AC26,Play!$BI$17)</f>
        <v>0</v>
      </c>
      <c r="F28" s="1">
        <f>COUNTIF(Play!U16,Play!$BI$17)+COUNTIF(Play!W18,Play!$BI$17)+COUNTIF(Play!Y20,Play!$BI$17)+COUNTIF(Play!AA22,Play!$BI$17)+COUNTIF(Play!AC24,Play!$BI$17)+COUNTIF(Play!AE26,Play!$BI$17)</f>
        <v>0</v>
      </c>
      <c r="G28" s="1">
        <f>COUNTIF(Play!W16,Play!$BI$17)+COUNTIF(Play!Y18,Play!$BI$17)+COUNTIF(Play!AA20,Play!$BI$17)+COUNTIF(Play!AC22,Play!$BI$17)+COUNTIF(Play!AE24,Play!$BI$17)+COUNTIF(Play!AG26,Play!$BI$17)</f>
        <v>0</v>
      </c>
      <c r="H28" s="1">
        <f>COUNTIF(Play!Y16,Play!$BI$17)+COUNTIF(Play!AA18,Play!$BI$17)+COUNTIF(Play!AC20,Play!$BI$17)+COUNTIF(Play!AE22,Play!$BI$17)+COUNTIF(Play!AG24,Play!$BI$17)+COUNTIF(Play!AI26,Play!$BI$17)</f>
        <v>0</v>
      </c>
      <c r="I28" s="1">
        <f>COUNTIF(Play!AA16,Play!$BI$17)+COUNTIF(Play!AC18,Play!$BI$17)+COUNTIF(Play!AE20,Play!$BI$17)+COUNTIF(Play!AG22,Play!$BI$17)+COUNTIF(Play!AI24,Play!$BI$17)+COUNTIF(Play!AK26,Play!$BI$17)</f>
        <v>0</v>
      </c>
      <c r="J28" s="1">
        <f>COUNTIF(Play!AC16,Play!$BI$17)+COUNTIF(Play!AE18,Play!$BI$17)+COUNTIF(Play!AG20,Play!$BI$17)+COUNTIF(Play!AI22,Play!$BI$17)+COUNTIF(Play!AK24,Play!$BI$17)+COUNTIF(Play!AM26,Play!$BI$17)</f>
        <v>0</v>
      </c>
      <c r="K28" s="1">
        <f>COUNTIF(Play!AE16,Play!$BI$17)+COUNTIF(Play!AG18,Play!$BI$17)+COUNTIF(Play!AI20,Play!$BI$17)+COUNTIF(Play!AK22,Play!$BI$17)+COUNTIF(Play!AM24,Play!$BI$17)+COUNTIF(Play!AO26,Play!$BI$17)</f>
        <v>0</v>
      </c>
      <c r="L28" s="1">
        <f>COUNTIF(Play!AG16,Play!$BI$17)+COUNTIF(Play!AI18,Play!$BI$17)+COUNTIF(Play!AK20,Play!$BI$17)+COUNTIF(Play!AM22,Play!$BI$17)+COUNTIF(Play!AO24,Play!$BI$17)+COUNTIF(Play!AQ26,Play!$BI$17)</f>
        <v>0</v>
      </c>
      <c r="M28" s="1">
        <f>COUNTIF(Play!AI16,Play!$BI$17)+COUNTIF(Play!AK18,Play!$BI$17)+COUNTIF(Play!AM20,Play!$BI$17)+COUNTIF(Play!AO22,Play!$BI$17)+COUNTIF(Play!AQ24,Play!$BI$17)+COUNTIF(Play!AS26,Play!$BI$17)</f>
        <v>0</v>
      </c>
      <c r="N28" s="1">
        <f>COUNTIF(Play!AK16,Play!$BI$17)+COUNTIF(Play!AM18,Play!$BI$17)+COUNTIF(Play!AO20,Play!$BI$17)+COUNTIF(Play!AQ22,Play!$BI$17)+COUNTIF(Play!AS24,Play!$BI$17)+COUNTIF(Play!AU26,Play!$BI$17)</f>
        <v>0</v>
      </c>
      <c r="O28" s="1">
        <f>COUNTIF(Play!AM16,Play!$BI$17)+COUNTIF(Play!AO18,Play!$BI$17)+COUNTIF(Play!AQ20,Play!$BI$17)+COUNTIF(Play!AS22,Play!$BI$17)+COUNTIF(Play!AU24,Play!$BI$17)+COUNTIF(Play!AW26,Play!$BI$17)</f>
        <v>0</v>
      </c>
      <c r="W28" s="1">
        <f>COUNTIF(Play!M16,Play!$CF$17)+COUNTIF(Play!O18,Play!$CF$17)+COUNTIF(Play!Q20,Play!$CF$17)+COUNTIF(Play!S22,Play!$CF$17)+COUNTIF(Play!U24,Play!$CF$17)+COUNTIF(Play!W26,Play!$CF$17)</f>
        <v>0</v>
      </c>
      <c r="X28" s="1">
        <f>COUNTIF(Play!O16,Play!$CF$17)+COUNTIF(Play!Q18,Play!$CF$17)+COUNTIF(Play!S20,Play!$CF$17)+COUNTIF(Play!U22,Play!$CF$17)+COUNTIF(Play!W24,Play!$CF$17)+COUNTIF(Play!Y26,Play!$CF$17)</f>
        <v>0</v>
      </c>
      <c r="Y28" s="1">
        <f>COUNTIF(Play!Q16,Play!$CF$17)+COUNTIF(Play!S18,Play!$CF$17)+COUNTIF(Play!U20,Play!$CF$17)+COUNTIF(Play!W22,Play!$CF$17)+COUNTIF(Play!Y24,Play!$CF$17)+COUNTIF(Play!AA26,Play!$CF$17)</f>
        <v>0</v>
      </c>
      <c r="Z28" s="1">
        <f>COUNTIF(Play!S16,Play!$CF$17)+COUNTIF(Play!U18,Play!$CF$17)+COUNTIF(Play!W20,Play!$CF$17)+COUNTIF(Play!Y22,Play!$CF$17)+COUNTIF(Play!AA24,Play!$CF$17)+COUNTIF(Play!AC26,Play!$CF$17)</f>
        <v>0</v>
      </c>
      <c r="AA28" s="1">
        <f>COUNTIF(Play!U16,Play!$CF$17)+COUNTIF(Play!W18,Play!$CF$17)+COUNTIF(Play!Y20,Play!$CF$17)+COUNTIF(Play!AA22,Play!$CF$17)+COUNTIF(Play!AC24,Play!$CF$17)+COUNTIF(Play!AE26,Play!$CF$17)</f>
        <v>0</v>
      </c>
      <c r="AB28" s="1">
        <f>COUNTIF(Play!W16,Play!$CF$17)+COUNTIF(Play!Y18,Play!$CF$17)+COUNTIF(Play!AA20,Play!$CF$17)+COUNTIF(Play!AC22,Play!$CF$17)+COUNTIF(Play!AE24,Play!$CF$17)+COUNTIF(Play!AG26,Play!$CF$17)</f>
        <v>0</v>
      </c>
      <c r="AC28" s="1">
        <f>COUNTIF(Play!Y16,Play!$CF$17)+COUNTIF(Play!AA18,Play!$CF$17)+COUNTIF(Play!AC20,Play!$CF$17)+COUNTIF(Play!AE22,Play!$CF$17)+COUNTIF(Play!AG24,Play!$CF$17)+COUNTIF(Play!AI26,Play!$CF$17)</f>
        <v>0</v>
      </c>
      <c r="AD28" s="1">
        <f>COUNTIF(Play!AA16,Play!$CF$17)+COUNTIF(Play!AC18,Play!$CF$17)+COUNTIF(Play!AE20,Play!$CF$17)+COUNTIF(Play!AG22,Play!$CF$17)+COUNTIF(Play!AI24,Play!$CF$17)+COUNTIF(Play!AK26,Play!$CF$17)</f>
        <v>0</v>
      </c>
      <c r="AE28" s="1">
        <f>COUNTIF(Play!AC16,Play!$CF$17)+COUNTIF(Play!AE18,Play!$CF$17)+COUNTIF(Play!AG20,Play!$CF$17)+COUNTIF(Play!AI22,Play!$CF$17)+COUNTIF(Play!AK24,Play!$CF$17)+COUNTIF(Play!AM26,Play!$CF$17)</f>
        <v>0</v>
      </c>
      <c r="AF28" s="1">
        <f>COUNTIF(Play!AE16,Play!$CF$17)+COUNTIF(Play!AG18,Play!$CF$17)+COUNTIF(Play!AI20,Play!$CF$17)+COUNTIF(Play!AK22,Play!$CF$17)+COUNTIF(Play!AM24,Play!$CF$17)+COUNTIF(Play!AO26,Play!$CF$17)</f>
        <v>0</v>
      </c>
      <c r="AG28" s="1">
        <f>COUNTIF(Play!AG16,Play!$CF$17)+COUNTIF(Play!AI18,Play!$CF$17)+COUNTIF(Play!AK20,Play!$CF$17)+COUNTIF(Play!AM22,Play!$CF$17)+COUNTIF(Play!AO24,Play!$CF$17)+COUNTIF(Play!AQ26,Play!$CF$17)</f>
        <v>0</v>
      </c>
      <c r="AH28" s="1">
        <f>COUNTIF(Play!AI16,Play!$CF$17)+COUNTIF(Play!AK18,Play!$CF$17)+COUNTIF(Play!AM20,Play!$CF$17)+COUNTIF(Play!AO22,Play!$CF$17)+COUNTIF(Play!AQ24,Play!$CF$17)+COUNTIF(Play!AS26,Play!$CF$17)</f>
        <v>0</v>
      </c>
      <c r="AI28" s="1">
        <f>COUNTIF(Play!AK16,Play!$CF$17)+COUNTIF(Play!AM18,Play!$CF$17)+COUNTIF(Play!AO20,Play!$CF$17)+COUNTIF(Play!AQ22,Play!$CF$17)+COUNTIF(Play!AS24,Play!$CF$17)+COUNTIF(Play!AU26,Play!$CF$17)</f>
        <v>0</v>
      </c>
      <c r="AJ28" s="1">
        <f>COUNTIF(Play!AM16,Play!$CF$17)+COUNTIF(Play!AO18,Play!$CF$17)+COUNTIF(Play!AQ20,Play!$CF$17)+COUNTIF(Play!AS22,Play!$CF$17)+COUNTIF(Play!AU24,Play!$CF$17)+COUNTIF(Play!AW26,Play!$CF$17)</f>
        <v>0</v>
      </c>
    </row>
    <row r="29" spans="2:41" ht="13" customHeight="1">
      <c r="B29" s="1">
        <f>COUNTIF(Play!M26,Play!$BI$17)+COUNTIF(Play!O24,Play!$BI$17)+COUNTIF(Play!Q22,Play!$BI$17)+COUNTIF(Play!S20,Play!$BI$17)+COUNTIF(Play!U18,Play!$BI$17)+COUNTIF(Play!W16,Play!$BI$17)</f>
        <v>0</v>
      </c>
      <c r="C29" s="1">
        <f>COUNTIF(Play!O26,Play!$BI$17)+COUNTIF(Play!Q24,Play!$BI$17)+COUNTIF(Play!S22,Play!$BI$17)+COUNTIF(Play!U20,Play!$BI$17)+COUNTIF(Play!W18,Play!$BI$17)+COUNTIF(Play!Y16,Play!$BI$17)</f>
        <v>0</v>
      </c>
      <c r="D29" s="1">
        <f>COUNTIF(Play!Q26,Play!$BI$17)+COUNTIF(Play!S24,Play!$BI$17)+COUNTIF(Play!U22,Play!$BI$17)+COUNTIF(Play!W20,Play!$BI$17)+COUNTIF(Play!Y18,Play!$BI$17)+COUNTIF(Play!AA16,Play!$BI$17)</f>
        <v>0</v>
      </c>
      <c r="E29" s="1">
        <f>COUNTIF(Play!S26,Play!$BI$17)+COUNTIF(Play!U24,Play!$BI$17)+COUNTIF(Play!W22,Play!$BI$17)+COUNTIF(Play!Y20,Play!$BI$17)+COUNTIF(Play!AA18,Play!$BI$17)+COUNTIF(Play!AC16,Play!$BI$17)</f>
        <v>0</v>
      </c>
      <c r="F29" s="1">
        <f>COUNTIF(Play!U26,Play!$BI$17)+COUNTIF(Play!W24,Play!$BI$17)+COUNTIF(Play!Y22,Play!$BI$17)+COUNTIF(Play!AA20,Play!$BI$17)+COUNTIF(Play!AC18,Play!$BI$17)+COUNTIF(Play!AE16,Play!$BI$17)</f>
        <v>0</v>
      </c>
      <c r="G29" s="1">
        <f>COUNTIF(Play!W26,Play!$BI$17)+COUNTIF(Play!Y24,Play!$BI$17)+COUNTIF(Play!AA22,Play!$BI$17)+COUNTIF(Play!AC20,Play!$BI$17)+COUNTIF(Play!AE18,Play!$BI$17)+COUNTIF(Play!AG16,Play!$BI$17)</f>
        <v>0</v>
      </c>
      <c r="H29" s="1">
        <f>COUNTIF(Play!Y26,Play!$BI$17)+COUNTIF(Play!AA24,Play!$BI$17)+COUNTIF(Play!AC22,Play!$BI$17)+COUNTIF(Play!AE20,Play!$BI$17)+COUNTIF(Play!AG18,Play!$BI$17)+COUNTIF(Play!AI16,Play!$BI$17)</f>
        <v>0</v>
      </c>
      <c r="I29" s="1">
        <f>COUNTIF(Play!AA26,Play!$BI$17)+COUNTIF(Play!AC24,Play!$BI$17)+COUNTIF(Play!AE22,Play!$BI$17)+COUNTIF(Play!AG20,Play!$BI$17)+COUNTIF(Play!AI18,Play!$BI$17)+COUNTIF(Play!AK16,Play!$BI$17)</f>
        <v>0</v>
      </c>
      <c r="J29" s="1">
        <f>COUNTIF(Play!AC26,Play!$BI$17)+COUNTIF(Play!AE24,Play!$BI$17)+COUNTIF(Play!AG22,Play!$BI$17)+COUNTIF(Play!AI20,Play!$BI$17)+COUNTIF(Play!AK18,Play!$BI$17)+COUNTIF(Play!AM16,Play!$BI$17)</f>
        <v>0</v>
      </c>
      <c r="K29" s="1">
        <f>COUNTIF(Play!AE26,Play!$BI$17)+COUNTIF(Play!AG24,Play!$BI$17)+COUNTIF(Play!AI22,Play!$BI$17)+COUNTIF(Play!AK20,Play!$BI$17)+COUNTIF(Play!AM18,Play!$BI$17)+COUNTIF(Play!AO16,Play!$BI$17)</f>
        <v>0</v>
      </c>
      <c r="L29" s="1">
        <f>COUNTIF(Play!AG26,Play!$BI$17)+COUNTIF(Play!AI24,Play!$BI$17)+COUNTIF(Play!AK22,Play!$BI$17)+COUNTIF(Play!AM20,Play!$BI$17)+COUNTIF(Play!AO18,Play!$BI$17)+COUNTIF(Play!AQ16,Play!$BI$17)</f>
        <v>0</v>
      </c>
      <c r="M29" s="1">
        <f>COUNTIF(Play!AI26,Play!$BI$17)+COUNTIF(Play!AK24,Play!$BI$17)+COUNTIF(Play!AM22,Play!$BI$17)+COUNTIF(Play!AO20,Play!$BI$17)+COUNTIF(Play!AQ18,Play!$BI$17)+COUNTIF(Play!AS16,Play!$BI$17)</f>
        <v>0</v>
      </c>
      <c r="N29" s="1">
        <f>COUNTIF(Play!AK26,Play!$BI$17)+COUNTIF(Play!AM24,Play!$BI$17)+COUNTIF(Play!AO22,Play!$BI$17)+COUNTIF(Play!AQ20,Play!$BI$17)+COUNTIF(Play!AS18,Play!$BI$17)+COUNTIF(Play!AU16,Play!$BI$17)</f>
        <v>0</v>
      </c>
      <c r="O29" s="1">
        <f>COUNTIF(Play!AM26,Play!$BI$17)+COUNTIF(Play!AO24,Play!$BI$17)+COUNTIF(Play!AQ22,Play!$BI$17)+COUNTIF(Play!AS20,Play!$BI$17)+COUNTIF(Play!AU18,Play!$BI$17)+COUNTIF(Play!AW16,Play!$BI$17)</f>
        <v>0</v>
      </c>
      <c r="W29" s="1">
        <f>COUNTIF(Play!M26,Play!$CF$17)+COUNTIF(Play!O24,Play!$CF$17)+COUNTIF(Play!Q22,Play!$CF$17)+COUNTIF(Play!S20,Play!$CF$17)+COUNTIF(Play!U18,Play!$CF$17)+COUNTIF(Play!W16,Play!$CF$17)</f>
        <v>0</v>
      </c>
      <c r="X29" s="1">
        <f>COUNTIF(Play!O26,Play!$CF$17)+COUNTIF(Play!Q24,Play!$CF$17)+COUNTIF(Play!S22,Play!$CF$17)+COUNTIF(Play!U20,Play!$CF$17)+COUNTIF(Play!W18,Play!$CF$17)+COUNTIF(Play!Y16,Play!$CF$17)</f>
        <v>0</v>
      </c>
      <c r="Y29" s="1">
        <f>COUNTIF(Play!Q26,Play!$CF$17)+COUNTIF(Play!S24,Play!$CF$17)+COUNTIF(Play!U22,Play!$CF$17)+COUNTIF(Play!W20,Play!$CF$17)+COUNTIF(Play!Y18,Play!$CF$17)+COUNTIF(Play!AA16,Play!$CF$17)</f>
        <v>0</v>
      </c>
      <c r="Z29" s="1">
        <f>COUNTIF(Play!S26,Play!$CF$17)+COUNTIF(Play!U24,Play!$CF$17)+COUNTIF(Play!W22,Play!$CF$17)+COUNTIF(Play!Y20,Play!$CF$17)+COUNTIF(Play!AA18,Play!$CF$17)+COUNTIF(Play!AC16,Play!$CF$17)</f>
        <v>0</v>
      </c>
      <c r="AA29" s="1">
        <f>COUNTIF(Play!U26,Play!$CF$17)+COUNTIF(Play!W24,Play!$CF$17)+COUNTIF(Play!Y22,Play!$CF$17)+COUNTIF(Play!AA20,Play!$CF$17)+COUNTIF(Play!AC18,Play!$CF$17)+COUNTIF(Play!AE16,Play!$CF$17)</f>
        <v>0</v>
      </c>
      <c r="AB29" s="1">
        <f>COUNTIF(Play!W26,Play!$CF$17)+COUNTIF(Play!Y24,Play!$CF$17)+COUNTIF(Play!AA22,Play!$CF$17)+COUNTIF(Play!AC20,Play!$CF$17)+COUNTIF(Play!AE18,Play!$CF$17)+COUNTIF(Play!AG16,Play!$CF$17)</f>
        <v>0</v>
      </c>
      <c r="AC29" s="1">
        <f>COUNTIF(Play!Y26,Play!$CF$17)+COUNTIF(Play!AA24,Play!$CF$17)+COUNTIF(Play!AC22,Play!$CF$17)+COUNTIF(Play!AE20,Play!$CF$17)+COUNTIF(Play!AG18,Play!$CF$17)+COUNTIF(Play!AI16,Play!$CF$17)</f>
        <v>0</v>
      </c>
      <c r="AD29" s="1">
        <f>COUNTIF(Play!AA26,Play!$CF$17)+COUNTIF(Play!AC24,Play!$CF$17)+COUNTIF(Play!AE22,Play!$CF$17)+COUNTIF(Play!AG20,Play!$CF$17)+COUNTIF(Play!AI18,Play!$CF$17)+COUNTIF(Play!AK16,Play!$CF$17)</f>
        <v>0</v>
      </c>
      <c r="AE29" s="1">
        <f>COUNTIF(Play!AC26,Play!$CF$17)+COUNTIF(Play!AE24,Play!$CF$17)+COUNTIF(Play!AG22,Play!$CF$17)+COUNTIF(Play!AI20,Play!$CF$17)+COUNTIF(Play!AK18,Play!$CF$17)+COUNTIF(Play!AM16,Play!$CF$17)</f>
        <v>0</v>
      </c>
      <c r="AF29" s="1">
        <f>COUNTIF(Play!AE26,Play!$CF$17)+COUNTIF(Play!AG24,Play!$CF$17)+COUNTIF(Play!AI22,Play!$CF$17)+COUNTIF(Play!AK20,Play!$CF$17)+COUNTIF(Play!AM18,Play!$CF$17)+COUNTIF(Play!AO16,Play!$CF$17)</f>
        <v>0</v>
      </c>
      <c r="AG29" s="1">
        <f>COUNTIF(Play!AG26,Play!$CF$17)+COUNTIF(Play!AI24,Play!$CF$17)+COUNTIF(Play!AK22,Play!$CF$17)+COUNTIF(Play!AM20,Play!$CF$17)+COUNTIF(Play!AO18,Play!$CF$17)+COUNTIF(Play!AQ16,Play!$CF$17)</f>
        <v>0</v>
      </c>
      <c r="AH29" s="1">
        <f>COUNTIF(Play!AI26,Play!$CF$17)+COUNTIF(Play!AK24,Play!$CF$17)+COUNTIF(Play!AM22,Play!$CF$17)+COUNTIF(Play!AO20,Play!$CF$17)+COUNTIF(Play!AQ18,Play!$CF$17)+COUNTIF(Play!AS16,Play!$CF$17)</f>
        <v>0</v>
      </c>
      <c r="AI29" s="1">
        <f>COUNTIF(Play!AK26,Play!$CF$17)+COUNTIF(Play!AM24,Play!$CF$17)+COUNTIF(Play!AO22,Play!$CF$17)+COUNTIF(Play!AQ20,Play!$CF$17)+COUNTIF(Play!AS18,Play!$CF$17)+COUNTIF(Play!AU16,Play!$CF$17)</f>
        <v>0</v>
      </c>
      <c r="AJ29" s="1">
        <f>COUNTIF(Play!AM26,Play!$CF$17)+COUNTIF(Play!AO24,Play!$CF$17)+COUNTIF(Play!AQ22,Play!$CF$17)+COUNTIF(Play!AS20,Play!$CF$17)+COUNTIF(Play!AU18,Play!$CF$17)+COUNTIF(Play!AW16,Play!$CF$17)</f>
        <v>0</v>
      </c>
    </row>
    <row r="30" spans="2:41" ht="13" customHeight="1">
      <c r="B30" s="1">
        <f>COUNTIF(Play!M18:W18,Play!$BI$17)</f>
        <v>0</v>
      </c>
      <c r="C30" s="1">
        <f>COUNTIF(Play!O18:Y18,Play!$BI$17)</f>
        <v>0</v>
      </c>
      <c r="D30" s="1">
        <f>COUNTIF(Play!Q18:AA18,Play!$BI$17)</f>
        <v>0</v>
      </c>
      <c r="E30" s="1">
        <f>COUNTIF(Play!S18:AC18,Play!$BI$17)</f>
        <v>0</v>
      </c>
      <c r="F30" s="1">
        <f>COUNTIF(Play!U18:AE18,Play!$BI$17)</f>
        <v>0</v>
      </c>
      <c r="G30" s="1">
        <f>COUNTIF(Play!W18:AG18,Play!$BI$17)</f>
        <v>0</v>
      </c>
      <c r="H30" s="1">
        <f>COUNTIF(Play!Y18:AI18,Play!$BI$17)</f>
        <v>0</v>
      </c>
      <c r="I30" s="1">
        <f>COUNTIF(Play!AA18:AK18,Play!$BI$17)</f>
        <v>0</v>
      </c>
      <c r="J30" s="1">
        <f>COUNTIF(Play!AC18:AM18,Play!$BI$17)</f>
        <v>0</v>
      </c>
      <c r="K30" s="1">
        <f>COUNTIF(Play!AE18:AO18,Play!$BI$17)</f>
        <v>0</v>
      </c>
      <c r="L30" s="1">
        <f>COUNTIF(Play!AG18:AQ18,Play!$BI$17)</f>
        <v>0</v>
      </c>
      <c r="M30" s="1">
        <f>COUNTIF(Play!AI18:AS18,Play!$BI$17)</f>
        <v>0</v>
      </c>
      <c r="N30" s="1">
        <f>COUNTIF(Play!AK18:AU18,Play!$BI$17)</f>
        <v>0</v>
      </c>
      <c r="O30" s="1">
        <f>COUNTIF(Play!AM18:AW18,Play!$BI$17)</f>
        <v>0</v>
      </c>
      <c r="W30" s="1">
        <f>COUNTIF(Play!M18:W18,Play!$CF$17)</f>
        <v>0</v>
      </c>
      <c r="X30" s="1">
        <f>COUNTIF(Play!O18:Y18,Play!$CF$17)</f>
        <v>0</v>
      </c>
      <c r="Y30" s="1">
        <f>COUNTIF(Play!Q18:AA18,Play!$CF$17)</f>
        <v>0</v>
      </c>
      <c r="Z30" s="1">
        <f>COUNTIF(Play!S18:AC18,Play!$CF$17)</f>
        <v>0</v>
      </c>
      <c r="AA30" s="1">
        <f>COUNTIF(Play!U18:AE18,Play!$CF$17)</f>
        <v>0</v>
      </c>
      <c r="AB30" s="1">
        <f>COUNTIF(Play!W18:AG18,Play!$CF$17)</f>
        <v>0</v>
      </c>
      <c r="AC30" s="1">
        <f>COUNTIF(Play!Y18:AI18,Play!$CF$17)</f>
        <v>0</v>
      </c>
      <c r="AD30" s="1">
        <f>COUNTIF(Play!AA18:AK18,Play!$CF$17)</f>
        <v>0</v>
      </c>
      <c r="AE30" s="1">
        <f>COUNTIF(Play!AC18:AM18,Play!$CF$17)</f>
        <v>0</v>
      </c>
      <c r="AF30" s="1">
        <f>COUNTIF(Play!AE18:AO18,Play!$CF$17)</f>
        <v>0</v>
      </c>
      <c r="AG30" s="1">
        <f>COUNTIF(Play!AG18:AQ18,Play!$CF$17)</f>
        <v>0</v>
      </c>
      <c r="AH30" s="1">
        <f>COUNTIF(Play!AI18:AS18,Play!$CF$17)</f>
        <v>0</v>
      </c>
      <c r="AI30" s="1">
        <f>COUNTIF(Play!AK18:AU18,Play!$CF$17)</f>
        <v>0</v>
      </c>
      <c r="AJ30" s="1">
        <f>COUNTIF(Play!AM18:AW18,Play!$CF$17)</f>
        <v>0</v>
      </c>
    </row>
    <row r="31" spans="2:41" ht="13" customHeight="1">
      <c r="B31" s="1">
        <f>COUNTIF(Play!M18:M28,Play!$BI$17)</f>
        <v>0</v>
      </c>
      <c r="C31" s="1">
        <f>COUNTIF(Play!O18:O28,Play!$BI$17)</f>
        <v>0</v>
      </c>
      <c r="D31" s="1">
        <f>COUNTIF(Play!Q18:Q28,Play!$BI$17)</f>
        <v>0</v>
      </c>
      <c r="E31" s="1">
        <f>COUNTIF(Play!S18:S28,Play!$BI$17)</f>
        <v>0</v>
      </c>
      <c r="F31" s="1">
        <f>COUNTIF(Play!U18:U28,Play!$BI$17)</f>
        <v>0</v>
      </c>
      <c r="G31" s="1">
        <f>COUNTIF(Play!W18:W28,Play!$BI$17)</f>
        <v>0</v>
      </c>
      <c r="H31" s="1">
        <f>COUNTIF(Play!Y18:Y28,Play!$BI$17)</f>
        <v>0</v>
      </c>
      <c r="I31" s="1">
        <f>COUNTIF(Play!AA18:AA28,Play!$BI$17)</f>
        <v>0</v>
      </c>
      <c r="J31" s="1">
        <f>COUNTIF(Play!AC18:AC28,Play!$BI$17)</f>
        <v>0</v>
      </c>
      <c r="K31" s="1">
        <f>COUNTIF(Play!AE18:AE28,Play!$BI$17)</f>
        <v>0</v>
      </c>
      <c r="L31" s="1">
        <f>COUNTIF(Play!AG18:AG28,Play!$BI$17)</f>
        <v>0</v>
      </c>
      <c r="M31" s="1">
        <f>COUNTIF(Play!AI18:AI28,Play!$BI$17)</f>
        <v>0</v>
      </c>
      <c r="N31" s="1">
        <f>COUNTIF(Play!AK18:AK28,Play!$BI$17)</f>
        <v>0</v>
      </c>
      <c r="O31" s="1">
        <f>COUNTIF(Play!AM18:AM28,Play!$BI$17)</f>
        <v>0</v>
      </c>
      <c r="P31" s="1">
        <f>COUNTIF(Play!AO18:AO28,Play!$BI$17)</f>
        <v>0</v>
      </c>
      <c r="Q31" s="1">
        <f>COUNTIF(Play!AQ18:AQ28,Play!$BI$17)</f>
        <v>0</v>
      </c>
      <c r="R31" s="1">
        <f>COUNTIF(Play!AS18:AS28,Play!$BI$17)</f>
        <v>0</v>
      </c>
      <c r="S31" s="1">
        <f>COUNTIF(Play!AU18:AU28,Play!$BI$17)</f>
        <v>0</v>
      </c>
      <c r="T31" s="1">
        <f>COUNTIF(Play!AW18:AW28,Play!$BI$17)</f>
        <v>0</v>
      </c>
      <c r="W31" s="1">
        <f>COUNTIF(Play!M18:M28,Play!$CF$17)</f>
        <v>0</v>
      </c>
      <c r="X31" s="1">
        <f>COUNTIF(Play!O18:O28,Play!$CF$17)</f>
        <v>0</v>
      </c>
      <c r="Y31" s="1">
        <f>COUNTIF(Play!Q18:Q28,Play!$CF$17)</f>
        <v>0</v>
      </c>
      <c r="Z31" s="1">
        <f>COUNTIF(Play!S18:S28,Play!$CF$17)</f>
        <v>0</v>
      </c>
      <c r="AA31" s="1">
        <f>COUNTIF(Play!U18:U28,Play!$CF$17)</f>
        <v>0</v>
      </c>
      <c r="AB31" s="1">
        <f>COUNTIF(Play!W18:W28,Play!$CF$17)</f>
        <v>0</v>
      </c>
      <c r="AC31" s="1">
        <f>COUNTIF(Play!Y18:Y28,Play!$CF$17)</f>
        <v>0</v>
      </c>
      <c r="AD31" s="1">
        <f>COUNTIF(Play!AA18:AA28,Play!$CF$17)</f>
        <v>0</v>
      </c>
      <c r="AE31" s="1">
        <f>COUNTIF(Play!AC18:AC28,Play!$CF$17)</f>
        <v>0</v>
      </c>
      <c r="AF31" s="1">
        <f>COUNTIF(Play!AE18:AE28,Play!$CF$17)</f>
        <v>0</v>
      </c>
      <c r="AG31" s="1">
        <f>COUNTIF(Play!AG18:AG28,Play!$CF$17)</f>
        <v>0</v>
      </c>
      <c r="AH31" s="1">
        <f>COUNTIF(Play!AI18:AI28,Play!$CF$17)</f>
        <v>0</v>
      </c>
      <c r="AI31" s="1">
        <f>COUNTIF(Play!AK18:AK28,Play!$CF$17)</f>
        <v>0</v>
      </c>
      <c r="AJ31" s="1">
        <f>COUNTIF(Play!AM18:AM28,Play!$CF$17)</f>
        <v>0</v>
      </c>
      <c r="AK31" s="1">
        <f>COUNTIF(Play!AO18:AO28,Play!$CF$17)</f>
        <v>0</v>
      </c>
      <c r="AL31" s="1">
        <f>COUNTIF(Play!AQ18:AQ28,Play!$CF$17)</f>
        <v>0</v>
      </c>
      <c r="AM31" s="1">
        <f>COUNTIF(Play!AS18:AS28,Play!$CF$17)</f>
        <v>0</v>
      </c>
      <c r="AN31" s="1">
        <f>COUNTIF(Play!AU18:AU28,Play!$CF$17)</f>
        <v>0</v>
      </c>
      <c r="AO31" s="1">
        <f>COUNTIF(Play!AW18:AW28,Play!$CF$17)</f>
        <v>0</v>
      </c>
    </row>
    <row r="32" spans="2:41" ht="13" customHeight="1">
      <c r="B32" s="1">
        <f>COUNTIF(Play!M18,Play!$BI$17)+COUNTIF(Play!O20,Play!$BI$17)+COUNTIF(Play!Q22,Play!$BI$17)+COUNTIF(Play!S24,Play!$BI$17)+COUNTIF(Play!U26,Play!$BI$17)+COUNTIF(Play!W28,Play!$BI$17)</f>
        <v>0</v>
      </c>
      <c r="C32" s="1">
        <f>COUNTIF(Play!O18,Play!$BI$17)+COUNTIF(Play!Q20,Play!$BI$17)+COUNTIF(Play!S22,Play!$BI$17)+COUNTIF(Play!U24,Play!$BI$17)+COUNTIF(Play!W26,Play!$BI$17)+COUNTIF(Play!Y28,Play!$BI$17)</f>
        <v>0</v>
      </c>
      <c r="D32" s="1">
        <f>COUNTIF(Play!Q18,Play!$BI$17)+COUNTIF(Play!S20,Play!$BI$17)+COUNTIF(Play!U22,Play!$BI$17)+COUNTIF(Play!W24,Play!$BI$17)+COUNTIF(Play!Y26,Play!$BI$17)+COUNTIF(Play!AA28,Play!$BI$17)</f>
        <v>0</v>
      </c>
      <c r="E32" s="1">
        <f>COUNTIF(Play!S18,Play!$BI$17)+COUNTIF(Play!U20,Play!$BI$17)+COUNTIF(Play!W22,Play!$BI$17)+COUNTIF(Play!Y24,Play!$BI$17)+COUNTIF(Play!AA26,Play!$BI$17)+COUNTIF(Play!AC28,Play!$BI$17)</f>
        <v>0</v>
      </c>
      <c r="F32" s="1">
        <f>COUNTIF(Play!U18,Play!$BI$17)+COUNTIF(Play!W20,Play!$BI$17)+COUNTIF(Play!Y22,Play!$BI$17)+COUNTIF(Play!AA24,Play!$BI$17)+COUNTIF(Play!AC26,Play!$BI$17)+COUNTIF(Play!AE28,Play!$BI$17)</f>
        <v>0</v>
      </c>
      <c r="G32" s="1">
        <f>COUNTIF(Play!W18,Play!$BI$17)+COUNTIF(Play!Y20,Play!$BI$17)+COUNTIF(Play!AA22,Play!$BI$17)+COUNTIF(Play!AC24,Play!$BI$17)+COUNTIF(Play!AE26,Play!$BI$17)+COUNTIF(Play!AG28,Play!$BI$17)</f>
        <v>0</v>
      </c>
      <c r="H32" s="1">
        <f>COUNTIF(Play!Y18,Play!$BI$17)+COUNTIF(Play!AA20,Play!$BI$17)+COUNTIF(Play!AC22,Play!$BI$17)+COUNTIF(Play!AE24,Play!$BI$17)+COUNTIF(Play!AG26,Play!$BI$17)+COUNTIF(Play!AI28,Play!$BI$17)</f>
        <v>0</v>
      </c>
      <c r="I32" s="1">
        <f>COUNTIF(Play!AA18,Play!$BI$17)+COUNTIF(Play!AC20,Play!$BI$17)+COUNTIF(Play!AE22,Play!$BI$17)+COUNTIF(Play!AG24,Play!$BI$17)+COUNTIF(Play!AI26,Play!$BI$17)+COUNTIF(Play!AK28,Play!$BI$17)</f>
        <v>0</v>
      </c>
      <c r="J32" s="1">
        <f>COUNTIF(Play!AC18,Play!$BI$17)+COUNTIF(Play!AE20,Play!$BI$17)+COUNTIF(Play!AG22,Play!$BI$17)+COUNTIF(Play!AI24,Play!$BI$17)+COUNTIF(Play!AK26,Play!$BI$17)+COUNTIF(Play!AM28,Play!$BI$17)</f>
        <v>0</v>
      </c>
      <c r="K32" s="1">
        <f>COUNTIF(Play!AE18,Play!$BI$17)+COUNTIF(Play!AG20,Play!$BI$17)+COUNTIF(Play!AI22,Play!$BI$17)+COUNTIF(Play!AK24,Play!$BI$17)+COUNTIF(Play!AM26,Play!$BI$17)+COUNTIF(Play!AO28,Play!$BI$17)</f>
        <v>0</v>
      </c>
      <c r="L32" s="1">
        <f>COUNTIF(Play!AG18,Play!$BI$17)+COUNTIF(Play!AI20,Play!$BI$17)+COUNTIF(Play!AK22,Play!$BI$17)+COUNTIF(Play!AM24,Play!$BI$17)+COUNTIF(Play!AO26,Play!$BI$17)+COUNTIF(Play!AQ28,Play!$BI$17)</f>
        <v>0</v>
      </c>
      <c r="M32" s="1">
        <f>COUNTIF(Play!AI18,Play!$BI$17)+COUNTIF(Play!AK20,Play!$BI$17)+COUNTIF(Play!AM22,Play!$BI$17)+COUNTIF(Play!AO24,Play!$BI$17)+COUNTIF(Play!AQ26,Play!$BI$17)+COUNTIF(Play!AS28,Play!$BI$17)</f>
        <v>0</v>
      </c>
      <c r="N32" s="1">
        <f>COUNTIF(Play!AK18,Play!$BI$17)+COUNTIF(Play!AM20,Play!$BI$17)+COUNTIF(Play!AO22,Play!$BI$17)+COUNTIF(Play!AQ24,Play!$BI$17)+COUNTIF(Play!AS26,Play!$BI$17)+COUNTIF(Play!AU28,Play!$BI$17)</f>
        <v>0</v>
      </c>
      <c r="O32" s="1">
        <f>COUNTIF(Play!AM18,Play!$BI$17)+COUNTIF(Play!AO20,Play!$BI$17)+COUNTIF(Play!AQ22,Play!$BI$17)+COUNTIF(Play!AS24,Play!$BI$17)+COUNTIF(Play!AU26,Play!$BI$17)+COUNTIF(Play!AW28,Play!$BI$17)</f>
        <v>0</v>
      </c>
      <c r="W32" s="1">
        <f>COUNTIF(Play!M18,Play!$CF$17)+COUNTIF(Play!O20,Play!$CF$17)+COUNTIF(Play!Q22,Play!$CF$17)+COUNTIF(Play!S24,Play!$CF$17)+COUNTIF(Play!U26,Play!$CF$17)+COUNTIF(Play!W28,Play!$CF$17)</f>
        <v>0</v>
      </c>
      <c r="X32" s="1">
        <f>COUNTIF(Play!O18,Play!$CF$17)+COUNTIF(Play!Q20,Play!$CF$17)+COUNTIF(Play!S22,Play!$CF$17)+COUNTIF(Play!U24,Play!$CF$17)+COUNTIF(Play!W26,Play!$CF$17)+COUNTIF(Play!Y28,Play!$CF$17)</f>
        <v>0</v>
      </c>
      <c r="Y32" s="1">
        <f>COUNTIF(Play!Q18,Play!$CF$17)+COUNTIF(Play!S20,Play!$CF$17)+COUNTIF(Play!U22,Play!$CF$17)+COUNTIF(Play!W24,Play!$CF$17)+COUNTIF(Play!Y26,Play!$CF$17)+COUNTIF(Play!AA28,Play!$CF$17)</f>
        <v>0</v>
      </c>
      <c r="Z32" s="1">
        <f>COUNTIF(Play!S18,Play!$CF$17)+COUNTIF(Play!U20,Play!$CF$17)+COUNTIF(Play!W22,Play!$CF$17)+COUNTIF(Play!Y24,Play!$CF$17)+COUNTIF(Play!AA26,Play!$CF$17)+COUNTIF(Play!AC28,Play!$CF$17)</f>
        <v>0</v>
      </c>
      <c r="AA32" s="1">
        <f>COUNTIF(Play!U18,Play!$CF$17)+COUNTIF(Play!W20,Play!$CF$17)+COUNTIF(Play!Y22,Play!$CF$17)+COUNTIF(Play!AA24,Play!$CF$17)+COUNTIF(Play!AC26,Play!$CF$17)+COUNTIF(Play!AE28,Play!$CF$17)</f>
        <v>0</v>
      </c>
      <c r="AB32" s="1">
        <f>COUNTIF(Play!W18,Play!$CF$17)+COUNTIF(Play!Y20,Play!$CF$17)+COUNTIF(Play!AA22,Play!$CF$17)+COUNTIF(Play!AC24,Play!$CF$17)+COUNTIF(Play!AE26,Play!$CF$17)+COUNTIF(Play!AG28,Play!$CF$17)</f>
        <v>0</v>
      </c>
      <c r="AC32" s="1">
        <f>COUNTIF(Play!Y18,Play!$CF$17)+COUNTIF(Play!AA20,Play!$CF$17)+COUNTIF(Play!AC22,Play!$CF$17)+COUNTIF(Play!AE24,Play!$CF$17)+COUNTIF(Play!AG26,Play!$CF$17)+COUNTIF(Play!AI28,Play!$CF$17)</f>
        <v>0</v>
      </c>
      <c r="AD32" s="1">
        <f>COUNTIF(Play!AA18,Play!$CF$17)+COUNTIF(Play!AC20,Play!$CF$17)+COUNTIF(Play!AE22,Play!$CF$17)+COUNTIF(Play!AG24,Play!$CF$17)+COUNTIF(Play!AI26,Play!$CF$17)+COUNTIF(Play!AK28,Play!$CF$17)</f>
        <v>0</v>
      </c>
      <c r="AE32" s="1">
        <f>COUNTIF(Play!AC18,Play!$CF$17)+COUNTIF(Play!AE20,Play!$CF$17)+COUNTIF(Play!AG22,Play!$CF$17)+COUNTIF(Play!AI24,Play!$CF$17)+COUNTIF(Play!AK26,Play!$CF$17)+COUNTIF(Play!AM28,Play!$CF$17)</f>
        <v>0</v>
      </c>
      <c r="AF32" s="1">
        <f>COUNTIF(Play!AE18,Play!$CF$17)+COUNTIF(Play!AG20,Play!$CF$17)+COUNTIF(Play!AI22,Play!$CF$17)+COUNTIF(Play!AK24,Play!$CF$17)+COUNTIF(Play!AM26,Play!$CF$17)+COUNTIF(Play!AO28,Play!$CF$17)</f>
        <v>0</v>
      </c>
      <c r="AG32" s="1">
        <f>COUNTIF(Play!AG18,Play!$CF$17)+COUNTIF(Play!AI20,Play!$CF$17)+COUNTIF(Play!AK22,Play!$CF$17)+COUNTIF(Play!AM24,Play!$CF$17)+COUNTIF(Play!AO26,Play!$CF$17)+COUNTIF(Play!AQ28,Play!$CF$17)</f>
        <v>0</v>
      </c>
      <c r="AH32" s="1">
        <f>COUNTIF(Play!AI18,Play!$CF$17)+COUNTIF(Play!AK20,Play!$CF$17)+COUNTIF(Play!AM22,Play!$CF$17)+COUNTIF(Play!AO24,Play!$CF$17)+COUNTIF(Play!AQ26,Play!$CF$17)+COUNTIF(Play!AS28,Play!$CF$17)</f>
        <v>0</v>
      </c>
      <c r="AI32" s="1">
        <f>COUNTIF(Play!AK18,Play!$CF$17)+COUNTIF(Play!AM20,Play!$CF$17)+COUNTIF(Play!AO22,Play!$CF$17)+COUNTIF(Play!AQ24,Play!$CF$17)+COUNTIF(Play!AS26,Play!$CF$17)+COUNTIF(Play!AU28,Play!$CF$17)</f>
        <v>0</v>
      </c>
      <c r="AJ32" s="1">
        <f>COUNTIF(Play!AM18,Play!$CF$17)+COUNTIF(Play!AO20,Play!$CF$17)+COUNTIF(Play!AQ22,Play!$CF$17)+COUNTIF(Play!AS24,Play!$CF$17)+COUNTIF(Play!AU26,Play!$CF$17)+COUNTIF(Play!AW28,Play!$CF$17)</f>
        <v>0</v>
      </c>
    </row>
    <row r="33" spans="2:41" ht="13" customHeight="1">
      <c r="B33" s="1">
        <f>COUNTIF(Play!M28,Play!$BI$17)+COUNTIF(Play!O26,Play!$BI$17)+COUNTIF(Play!Q24,Play!$BI$17)+COUNTIF(Play!S22,Play!$BI$17)+COUNTIF(Play!U20,Play!$BI$17)+COUNTIF(Play!W18,Play!$BI$17)</f>
        <v>0</v>
      </c>
      <c r="C33" s="1">
        <f>COUNTIF(Play!O28,Play!$BI$17)+COUNTIF(Play!Q26,Play!$BI$17)+COUNTIF(Play!S24,Play!$BI$17)+COUNTIF(Play!U22,Play!$BI$17)+COUNTIF(Play!W20,Play!$BI$17)+COUNTIF(Play!Y18,Play!$BI$17)</f>
        <v>0</v>
      </c>
      <c r="D33" s="1">
        <f>COUNTIF(Play!Q28,Play!$BI$17)+COUNTIF(Play!S26,Play!$BI$17)+COUNTIF(Play!U24,Play!$BI$17)+COUNTIF(Play!W22,Play!$BI$17)+COUNTIF(Play!Y20,Play!$BI$17)+COUNTIF(Play!AA18,Play!$BI$17)</f>
        <v>0</v>
      </c>
      <c r="E33" s="1">
        <f>COUNTIF(Play!S28,Play!$BI$17)+COUNTIF(Play!U26,Play!$BI$17)+COUNTIF(Play!W24,Play!$BI$17)+COUNTIF(Play!Y22,Play!$BI$17)+COUNTIF(Play!AA20,Play!$BI$17)+COUNTIF(Play!AC18,Play!$BI$17)</f>
        <v>0</v>
      </c>
      <c r="F33" s="1">
        <f>COUNTIF(Play!U28,Play!$BI$17)+COUNTIF(Play!W26,Play!$BI$17)+COUNTIF(Play!Y24,Play!$BI$17)+COUNTIF(Play!AA22,Play!$BI$17)+COUNTIF(Play!AC20,Play!$BI$17)+COUNTIF(Play!AE18,Play!$BI$17)</f>
        <v>0</v>
      </c>
      <c r="G33" s="1">
        <f>COUNTIF(Play!W28,Play!$BI$17)+COUNTIF(Play!Y26,Play!$BI$17)+COUNTIF(Play!AA24,Play!$BI$17)+COUNTIF(Play!AC22,Play!$BI$17)+COUNTIF(Play!AE20,Play!$BI$17)+COUNTIF(Play!AG18,Play!$BI$17)</f>
        <v>0</v>
      </c>
      <c r="H33" s="1">
        <f>COUNTIF(Play!Y28,Play!$BI$17)+COUNTIF(Play!AA26,Play!$BI$17)+COUNTIF(Play!AC24,Play!$BI$17)+COUNTIF(Play!AE22,Play!$BI$17)+COUNTIF(Play!AG20,Play!$BI$17)+COUNTIF(Play!AI18,Play!$BI$17)</f>
        <v>0</v>
      </c>
      <c r="I33" s="1">
        <f>COUNTIF(Play!AA28,Play!$BI$17)+COUNTIF(Play!AC26,Play!$BI$17)+COUNTIF(Play!AE24,Play!$BI$17)+COUNTIF(Play!AG22,Play!$BI$17)+COUNTIF(Play!AI20,Play!$BI$17)+COUNTIF(Play!AK18,Play!$BI$17)</f>
        <v>0</v>
      </c>
      <c r="J33" s="1">
        <f>COUNTIF(Play!AC28,Play!$BI$17)+COUNTIF(Play!AE26,Play!$BI$17)+COUNTIF(Play!AG24,Play!$BI$17)+COUNTIF(Play!AI22,Play!$BI$17)+COUNTIF(Play!AK20,Play!$BI$17)+COUNTIF(Play!AM18,Play!$BI$17)</f>
        <v>0</v>
      </c>
      <c r="K33" s="1">
        <f>COUNTIF(Play!AE28,Play!$BI$17)+COUNTIF(Play!AG26,Play!$BI$17)+COUNTIF(Play!AI24,Play!$BI$17)+COUNTIF(Play!AK22,Play!$BI$17)+COUNTIF(Play!AM20,Play!$BI$17)+COUNTIF(Play!AO18,Play!$BI$17)</f>
        <v>0</v>
      </c>
      <c r="L33" s="1">
        <f>COUNTIF(Play!AG28,Play!$BI$17)+COUNTIF(Play!AI26,Play!$BI$17)+COUNTIF(Play!AK24,Play!$BI$17)+COUNTIF(Play!AM22,Play!$BI$17)+COUNTIF(Play!AO20,Play!$BI$17)+COUNTIF(Play!AQ18,Play!$BI$17)</f>
        <v>0</v>
      </c>
      <c r="M33" s="1">
        <f>COUNTIF(Play!AI28,Play!$BI$17)+COUNTIF(Play!AK26,Play!$BI$17)+COUNTIF(Play!AM24,Play!$BI$17)+COUNTIF(Play!AO22,Play!$BI$17)+COUNTIF(Play!AQ20,Play!$BI$17)+COUNTIF(Play!AS18,Play!$BI$17)</f>
        <v>0</v>
      </c>
      <c r="N33" s="1">
        <f>COUNTIF(Play!AK28,Play!$BI$17)+COUNTIF(Play!AM26,Play!$BI$17)+COUNTIF(Play!AO24,Play!$BI$17)+COUNTIF(Play!AQ22,Play!$BI$17)+COUNTIF(Play!AS20,Play!$BI$17)+COUNTIF(Play!AU18,Play!$BI$17)</f>
        <v>0</v>
      </c>
      <c r="O33" s="1">
        <f>COUNTIF(Play!AM28,Play!$BI$17)+COUNTIF(Play!AO26,Play!$BI$17)+COUNTIF(Play!AQ24,Play!$BI$17)+COUNTIF(Play!AS22,Play!$BI$17)+COUNTIF(Play!AU20,Play!$BI$17)+COUNTIF(Play!AW18,Play!$BI$17)</f>
        <v>0</v>
      </c>
      <c r="W33" s="1">
        <f>COUNTIF(Play!M28,Play!$CF$17)+COUNTIF(Play!O26,Play!$CF$17)+COUNTIF(Play!Q24,Play!$CF$17)+COUNTIF(Play!S22,Play!$CF$17)+COUNTIF(Play!U20,Play!$CF$17)+COUNTIF(Play!W18,Play!$CF$17)</f>
        <v>0</v>
      </c>
      <c r="X33" s="1">
        <f>COUNTIF(Play!O28,Play!$CF$17)+COUNTIF(Play!Q26,Play!$CF$17)+COUNTIF(Play!S24,Play!$CF$17)+COUNTIF(Play!U22,Play!$CF$17)+COUNTIF(Play!W20,Play!$CF$17)+COUNTIF(Play!Y18,Play!$CF$17)</f>
        <v>0</v>
      </c>
      <c r="Y33" s="1">
        <f>COUNTIF(Play!Q28,Play!$CF$17)+COUNTIF(Play!S26,Play!$CF$17)+COUNTIF(Play!U24,Play!$CF$17)+COUNTIF(Play!W22,Play!$CF$17)+COUNTIF(Play!Y20,Play!$CF$17)+COUNTIF(Play!AA18,Play!$CF$17)</f>
        <v>0</v>
      </c>
      <c r="Z33" s="1">
        <f>COUNTIF(Play!S28,Play!$CF$17)+COUNTIF(Play!U26,Play!$CF$17)+COUNTIF(Play!W24,Play!$CF$17)+COUNTIF(Play!Y22,Play!$CF$17)+COUNTIF(Play!AA20,Play!$CF$17)+COUNTIF(Play!AC18,Play!$CF$17)</f>
        <v>0</v>
      </c>
      <c r="AA33" s="1">
        <f>COUNTIF(Play!U28,Play!$CF$17)+COUNTIF(Play!W26,Play!$CF$17)+COUNTIF(Play!Y24,Play!$CF$17)+COUNTIF(Play!AA22,Play!$CF$17)+COUNTIF(Play!AC20,Play!$CF$17)+COUNTIF(Play!AE18,Play!$CF$17)</f>
        <v>0</v>
      </c>
      <c r="AB33" s="1">
        <f>COUNTIF(Play!W28,Play!$CF$17)+COUNTIF(Play!Y26,Play!$CF$17)+COUNTIF(Play!AA24,Play!$CF$17)+COUNTIF(Play!AC22,Play!$CF$17)+COUNTIF(Play!AE20,Play!$CF$17)+COUNTIF(Play!AG18,Play!$CF$17)</f>
        <v>0</v>
      </c>
      <c r="AC33" s="1">
        <f>COUNTIF(Play!Y28,Play!$CF$17)+COUNTIF(Play!AA26,Play!$CF$17)+COUNTIF(Play!AC24,Play!$CF$17)+COUNTIF(Play!AE22,Play!$CF$17)+COUNTIF(Play!AG20,Play!$CF$17)+COUNTIF(Play!AI18,Play!$CF$17)</f>
        <v>0</v>
      </c>
      <c r="AD33" s="1">
        <f>COUNTIF(Play!AA28,Play!$CF$17)+COUNTIF(Play!AC26,Play!$CF$17)+COUNTIF(Play!AE24,Play!$CF$17)+COUNTIF(Play!AG22,Play!$CF$17)+COUNTIF(Play!AI20,Play!$CF$17)+COUNTIF(Play!AK18,Play!$CF$17)</f>
        <v>0</v>
      </c>
      <c r="AE33" s="1">
        <f>COUNTIF(Play!AC28,Play!$CF$17)+COUNTIF(Play!AE26,Play!$CF$17)+COUNTIF(Play!AG24,Play!$CF$17)+COUNTIF(Play!AI22,Play!$CF$17)+COUNTIF(Play!AK20,Play!$CF$17)+COUNTIF(Play!AM18,Play!$CF$17)</f>
        <v>0</v>
      </c>
      <c r="AF33" s="1">
        <f>COUNTIF(Play!AE28,Play!$CF$17)+COUNTIF(Play!AG26,Play!$CF$17)+COUNTIF(Play!AI24,Play!$CF$17)+COUNTIF(Play!AK22,Play!$CF$17)+COUNTIF(Play!AM20,Play!$CF$17)+COUNTIF(Play!AO18,Play!$CF$17)</f>
        <v>0</v>
      </c>
      <c r="AG33" s="1">
        <f>COUNTIF(Play!AG28,Play!$CF$17)+COUNTIF(Play!AI26,Play!$CF$17)+COUNTIF(Play!AK24,Play!$CF$17)+COUNTIF(Play!AM22,Play!$CF$17)+COUNTIF(Play!AO20,Play!$CF$17)+COUNTIF(Play!AQ18,Play!$CF$17)</f>
        <v>0</v>
      </c>
      <c r="AH33" s="1">
        <f>COUNTIF(Play!AI28,Play!$CF$17)+COUNTIF(Play!AK26,Play!$CF$17)+COUNTIF(Play!AM24,Play!$CF$17)+COUNTIF(Play!AO22,Play!$CF$17)+COUNTIF(Play!AQ20,Play!$CF$17)+COUNTIF(Play!AS18,Play!$CF$17)</f>
        <v>0</v>
      </c>
      <c r="AI33" s="1">
        <f>COUNTIF(Play!AK28,Play!$CF$17)+COUNTIF(Play!AM26,Play!$CF$17)+COUNTIF(Play!AO24,Play!$CF$17)+COUNTIF(Play!AQ22,Play!$CF$17)+COUNTIF(Play!AS20,Play!$CF$17)+COUNTIF(Play!AU18,Play!$CF$17)</f>
        <v>0</v>
      </c>
      <c r="AJ33" s="1">
        <f>COUNTIF(Play!AM28,Play!$CF$17)+COUNTIF(Play!AO26,Play!$CF$17)+COUNTIF(Play!AQ24,Play!$CF$17)+COUNTIF(Play!AS22,Play!$CF$17)+COUNTIF(Play!AU20,Play!$CF$17)+COUNTIF(Play!AW18,Play!$CF$17)</f>
        <v>0</v>
      </c>
    </row>
    <row r="34" spans="2:41" ht="13" customHeight="1">
      <c r="B34" s="1">
        <f>COUNTIF(Play!M20:W20,Play!$BI$17)</f>
        <v>0</v>
      </c>
      <c r="C34" s="1">
        <f>COUNTIF(Play!O20:Y20,Play!$BI$17)</f>
        <v>0</v>
      </c>
      <c r="D34" s="1">
        <f>COUNTIF(Play!Q20:AA20,Play!$BI$17)</f>
        <v>0</v>
      </c>
      <c r="E34" s="1">
        <f>COUNTIF(Play!S20:AC20,Play!$BI$17)</f>
        <v>0</v>
      </c>
      <c r="F34" s="1">
        <f>COUNTIF(Play!U20:AE20,Play!$BI$17)</f>
        <v>0</v>
      </c>
      <c r="G34" s="1">
        <f>COUNTIF(Play!W20:AG20,Play!$BI$17)</f>
        <v>0</v>
      </c>
      <c r="H34" s="1">
        <f>COUNTIF(Play!Y20:AI20,Play!$BI$17)</f>
        <v>0</v>
      </c>
      <c r="I34" s="1">
        <f>COUNTIF(Play!AA20:AK20,Play!$BI$17)</f>
        <v>0</v>
      </c>
      <c r="J34" s="1">
        <f>COUNTIF(Play!AC20:AM20,Play!$BI$17)</f>
        <v>0</v>
      </c>
      <c r="K34" s="1">
        <f>COUNTIF(Play!AE20:AO20,Play!$BI$17)</f>
        <v>0</v>
      </c>
      <c r="L34" s="1">
        <f>COUNTIF(Play!AG20:AQ20,Play!$BI$17)</f>
        <v>0</v>
      </c>
      <c r="M34" s="1">
        <f>COUNTIF(Play!AI20:AS20,Play!$BI$17)</f>
        <v>0</v>
      </c>
      <c r="N34" s="1">
        <f>COUNTIF(Play!AK20:AU20,Play!$BI$17)</f>
        <v>0</v>
      </c>
      <c r="O34" s="1">
        <f>COUNTIF(Play!AM20:AW20,Play!$BI$17)</f>
        <v>0</v>
      </c>
      <c r="W34" s="1">
        <f>COUNTIF(Play!M20:W20,Play!$CF$17)</f>
        <v>0</v>
      </c>
      <c r="X34" s="1">
        <f>COUNTIF(Play!O20:Y20,Play!$CF$17)</f>
        <v>0</v>
      </c>
      <c r="Y34" s="1">
        <f>COUNTIF(Play!Q20:AA20,Play!$CF$17)</f>
        <v>0</v>
      </c>
      <c r="Z34" s="1">
        <f>COUNTIF(Play!S20:AC20,Play!$CF$17)</f>
        <v>0</v>
      </c>
      <c r="AA34" s="1">
        <f>COUNTIF(Play!U20:AE20,Play!$CF$17)</f>
        <v>0</v>
      </c>
      <c r="AB34" s="1">
        <f>COUNTIF(Play!W20:AG20,Play!$CF$17)</f>
        <v>0</v>
      </c>
      <c r="AC34" s="1">
        <f>COUNTIF(Play!Y20:AI20,Play!$CF$17)</f>
        <v>0</v>
      </c>
      <c r="AD34" s="1">
        <f>COUNTIF(Play!AA20:AK20,Play!$CF$17)</f>
        <v>0</v>
      </c>
      <c r="AE34" s="1">
        <f>COUNTIF(Play!AC20:AM20,Play!$CF$17)</f>
        <v>0</v>
      </c>
      <c r="AF34" s="1">
        <f>COUNTIF(Play!AE20:AO20,Play!$CF$17)</f>
        <v>0</v>
      </c>
      <c r="AG34" s="1">
        <f>COUNTIF(Play!AG20:AQ20,Play!$CF$17)</f>
        <v>0</v>
      </c>
      <c r="AH34" s="1">
        <f>COUNTIF(Play!AI20:AS20,Play!$CF$17)</f>
        <v>0</v>
      </c>
      <c r="AI34" s="1">
        <f>COUNTIF(Play!AK20:AU20,Play!$CF$17)</f>
        <v>0</v>
      </c>
      <c r="AJ34" s="1">
        <f>COUNTIF(Play!AM20:AW20,Play!$CF$17)</f>
        <v>0</v>
      </c>
    </row>
    <row r="35" spans="2:41" ht="13" customHeight="1">
      <c r="B35" s="1">
        <f>COUNTIF(Play!M20:M30,Play!$BI$17)</f>
        <v>0</v>
      </c>
      <c r="C35" s="1">
        <f>COUNTIF(Play!O20:O30,Play!$BI$17)</f>
        <v>0</v>
      </c>
      <c r="D35" s="1">
        <f>COUNTIF(Play!Q20:Q30,Play!$BI$17)</f>
        <v>0</v>
      </c>
      <c r="E35" s="1">
        <f>COUNTIF(Play!S20:S30,Play!$BI$17)</f>
        <v>0</v>
      </c>
      <c r="F35" s="1">
        <f>COUNTIF(Play!U20:U30,Play!$BI$17)</f>
        <v>0</v>
      </c>
      <c r="G35" s="1">
        <f>COUNTIF(Play!W20:W30,Play!$BI$17)</f>
        <v>0</v>
      </c>
      <c r="H35" s="1">
        <f>COUNTIF(Play!Y20:Y30,Play!$BI$17)</f>
        <v>0</v>
      </c>
      <c r="I35" s="1">
        <f>COUNTIF(Play!AA20:AA30,Play!$BI$17)</f>
        <v>0</v>
      </c>
      <c r="J35" s="1">
        <f>COUNTIF(Play!AC20:AC30,Play!$BI$17)</f>
        <v>0</v>
      </c>
      <c r="K35" s="1">
        <f>COUNTIF(Play!AE20:AE30,Play!$BI$17)</f>
        <v>0</v>
      </c>
      <c r="L35" s="1">
        <f>COUNTIF(Play!AG20:AG30,Play!$BI$17)</f>
        <v>0</v>
      </c>
      <c r="M35" s="1">
        <f>COUNTIF(Play!AI20:AI30,Play!$BI$17)</f>
        <v>0</v>
      </c>
      <c r="N35" s="1">
        <f>COUNTIF(Play!AK20:AK30,Play!$BI$17)</f>
        <v>0</v>
      </c>
      <c r="O35" s="1">
        <f>COUNTIF(Play!AM20:AM30,Play!$BI$17)</f>
        <v>0</v>
      </c>
      <c r="P35" s="1">
        <f>COUNTIF(Play!AO20:AO30,Play!$BI$17)</f>
        <v>0</v>
      </c>
      <c r="Q35" s="1">
        <f>COUNTIF(Play!AQ20:AQ30,Play!$BI$17)</f>
        <v>0</v>
      </c>
      <c r="R35" s="1">
        <f>COUNTIF(Play!AS20:AS30,Play!$BI$17)</f>
        <v>0</v>
      </c>
      <c r="S35" s="1">
        <f>COUNTIF(Play!AU20:AU30,Play!$BI$17)</f>
        <v>0</v>
      </c>
      <c r="T35" s="1">
        <f>COUNTIF(Play!AW20:AW30,Play!$BI$17)</f>
        <v>0</v>
      </c>
      <c r="W35" s="1">
        <f>COUNTIF(Play!M20:M30,Play!$CF$17)</f>
        <v>0</v>
      </c>
      <c r="X35" s="1">
        <f>COUNTIF(Play!O20:O30,Play!$CF$17)</f>
        <v>0</v>
      </c>
      <c r="Y35" s="1">
        <f>COUNTIF(Play!Q20:Q30,Play!$CF$17)</f>
        <v>0</v>
      </c>
      <c r="Z35" s="1">
        <f>COUNTIF(Play!S20:S30,Play!$CF$17)</f>
        <v>0</v>
      </c>
      <c r="AA35" s="1">
        <f>COUNTIF(Play!U20:U30,Play!$CF$17)</f>
        <v>0</v>
      </c>
      <c r="AB35" s="1">
        <f>COUNTIF(Play!W20:W30,Play!$CF$17)</f>
        <v>0</v>
      </c>
      <c r="AC35" s="1">
        <f>COUNTIF(Play!Y20:Y30,Play!$CF$17)</f>
        <v>0</v>
      </c>
      <c r="AD35" s="1">
        <f>COUNTIF(Play!AA20:AA30,Play!$CF$17)</f>
        <v>0</v>
      </c>
      <c r="AE35" s="1">
        <f>COUNTIF(Play!AC20:AC30,Play!$CF$17)</f>
        <v>0</v>
      </c>
      <c r="AF35" s="1">
        <f>COUNTIF(Play!AE20:AE30,Play!$CF$17)</f>
        <v>0</v>
      </c>
      <c r="AG35" s="1">
        <f>COUNTIF(Play!AG20:AG30,Play!$CF$17)</f>
        <v>0</v>
      </c>
      <c r="AH35" s="1">
        <f>COUNTIF(Play!AI20:AI30,Play!$CF$17)</f>
        <v>0</v>
      </c>
      <c r="AI35" s="1">
        <f>COUNTIF(Play!AK20:AK30,Play!$CF$17)</f>
        <v>0</v>
      </c>
      <c r="AJ35" s="1">
        <f>COUNTIF(Play!AM20:AM30,Play!$CF$17)</f>
        <v>0</v>
      </c>
      <c r="AK35" s="1">
        <f>COUNTIF(Play!AO20:AO30,Play!$CF$17)</f>
        <v>0</v>
      </c>
      <c r="AL35" s="1">
        <f>COUNTIF(Play!AQ20:AQ30,Play!$CF$17)</f>
        <v>0</v>
      </c>
      <c r="AM35" s="1">
        <f>COUNTIF(Play!AS20:AS30,Play!$CF$17)</f>
        <v>0</v>
      </c>
      <c r="AN35" s="1">
        <f>COUNTIF(Play!AU20:AU30,Play!$CF$17)</f>
        <v>0</v>
      </c>
      <c r="AO35" s="1">
        <f>COUNTIF(Play!AW20:AW30,Play!$CF$17)</f>
        <v>0</v>
      </c>
    </row>
    <row r="36" spans="2:41" ht="13" customHeight="1">
      <c r="B36" s="1">
        <f>COUNTIF(Play!M20,Play!$BI$17)+COUNTIF(Play!O22,Play!$BI$17)+COUNTIF(Play!Q24,Play!$BI$17)+COUNTIF(Play!S26,Play!$BI$17)+COUNTIF(Play!U28,Play!$BI$17)+COUNTIF(Play!W30,Play!$BI$17)</f>
        <v>0</v>
      </c>
      <c r="C36" s="1">
        <f>COUNTIF(Play!O20,Play!$BI$17)+COUNTIF(Play!Q22,Play!$BI$17)+COUNTIF(Play!S24,Play!$BI$17)+COUNTIF(Play!U26,Play!$BI$17)+COUNTIF(Play!W28,Play!$BI$17)+COUNTIF(Play!Y30,Play!$BI$17)</f>
        <v>0</v>
      </c>
      <c r="D36" s="1">
        <f>COUNTIF(Play!Q20,Play!$BI$17)+COUNTIF(Play!S22,Play!$BI$17)+COUNTIF(Play!U24,Play!$BI$17)+COUNTIF(Play!W26,Play!$BI$17)+COUNTIF(Play!Y28,Play!$BI$17)+COUNTIF(Play!AA30,Play!$BI$17)</f>
        <v>0</v>
      </c>
      <c r="E36" s="1">
        <f>COUNTIF(Play!S20,Play!$BI$17)+COUNTIF(Play!U22,Play!$BI$17)+COUNTIF(Play!W24,Play!$BI$17)+COUNTIF(Play!Y26,Play!$BI$17)+COUNTIF(Play!AA28,Play!$BI$17)+COUNTIF(Play!AC30,Play!$BI$17)</f>
        <v>0</v>
      </c>
      <c r="F36" s="1">
        <f>COUNTIF(Play!U20,Play!$BI$17)+COUNTIF(Play!W22,Play!$BI$17)+COUNTIF(Play!Y24,Play!$BI$17)+COUNTIF(Play!AA26,Play!$BI$17)+COUNTIF(Play!AC28,Play!$BI$17)+COUNTIF(Play!AE30,Play!$BI$17)</f>
        <v>0</v>
      </c>
      <c r="G36" s="1">
        <f>COUNTIF(Play!W20,Play!$BI$17)+COUNTIF(Play!Y22,Play!$BI$17)+COUNTIF(Play!AA24,Play!$BI$17)+COUNTIF(Play!AC26,Play!$BI$17)+COUNTIF(Play!AE28,Play!$BI$17)+COUNTIF(Play!AG30,Play!$BI$17)</f>
        <v>0</v>
      </c>
      <c r="H36" s="1">
        <f>COUNTIF(Play!Y20,Play!$BI$17)+COUNTIF(Play!AA22,Play!$BI$17)+COUNTIF(Play!AC24,Play!$BI$17)+COUNTIF(Play!AE26,Play!$BI$17)+COUNTIF(Play!AG28,Play!$BI$17)+COUNTIF(Play!AI30,Play!$BI$17)</f>
        <v>0</v>
      </c>
      <c r="I36" s="1">
        <f>COUNTIF(Play!AA20,Play!$BI$17)+COUNTIF(Play!AC22,Play!$BI$17)+COUNTIF(Play!AE24,Play!$BI$17)+COUNTIF(Play!AG26,Play!$BI$17)+COUNTIF(Play!AI28,Play!$BI$17)+COUNTIF(Play!AK30,Play!$BI$17)</f>
        <v>0</v>
      </c>
      <c r="J36" s="1">
        <f>COUNTIF(Play!AC20,Play!$BI$17)+COUNTIF(Play!AE22,Play!$BI$17)+COUNTIF(Play!AG24,Play!$BI$17)+COUNTIF(Play!AI26,Play!$BI$17)+COUNTIF(Play!AK28,Play!$BI$17)+COUNTIF(Play!AM30,Play!$BI$17)</f>
        <v>0</v>
      </c>
      <c r="K36" s="1">
        <f>COUNTIF(Play!AE20,Play!$BI$17)+COUNTIF(Play!AG22,Play!$BI$17)+COUNTIF(Play!AI24,Play!$BI$17)+COUNTIF(Play!AK26,Play!$BI$17)+COUNTIF(Play!AM28,Play!$BI$17)+COUNTIF(Play!AO30,Play!$BI$17)</f>
        <v>0</v>
      </c>
      <c r="L36" s="1">
        <f>COUNTIF(Play!AG20,Play!$BI$17)+COUNTIF(Play!AI22,Play!$BI$17)+COUNTIF(Play!AK24,Play!$BI$17)+COUNTIF(Play!AM26,Play!$BI$17)+COUNTIF(Play!AO28,Play!$BI$17)+COUNTIF(Play!AQ30,Play!$BI$17)</f>
        <v>0</v>
      </c>
      <c r="M36" s="1">
        <f>COUNTIF(Play!AI20,Play!$BI$17)+COUNTIF(Play!AK22,Play!$BI$17)+COUNTIF(Play!AM24,Play!$BI$17)+COUNTIF(Play!AO26,Play!$BI$17)+COUNTIF(Play!AQ28,Play!$BI$17)+COUNTIF(Play!AS30,Play!$BI$17)</f>
        <v>0</v>
      </c>
      <c r="N36" s="1">
        <f>COUNTIF(Play!AK20,Play!$BI$17)+COUNTIF(Play!AM22,Play!$BI$17)+COUNTIF(Play!AO24,Play!$BI$17)+COUNTIF(Play!AQ26,Play!$BI$17)+COUNTIF(Play!AS28,Play!$BI$17)+COUNTIF(Play!AU30,Play!$BI$17)</f>
        <v>0</v>
      </c>
      <c r="O36" s="1">
        <f>COUNTIF(Play!AM20,Play!$BI$17)+COUNTIF(Play!AO22,Play!$BI$17)+COUNTIF(Play!AQ24,Play!$BI$17)+COUNTIF(Play!AS26,Play!$BI$17)+COUNTIF(Play!AU28,Play!$BI$17)+COUNTIF(Play!AW30,Play!$BI$17)</f>
        <v>0</v>
      </c>
      <c r="W36" s="1">
        <f>COUNTIF(Play!M20,Play!$CF$17)+COUNTIF(Play!O22,Play!$CF$17)+COUNTIF(Play!Q24,Play!$CF$17)+COUNTIF(Play!S26,Play!$CF$17)+COUNTIF(Play!U28,Play!$CF$17)+COUNTIF(Play!W30,Play!$CF$17)</f>
        <v>0</v>
      </c>
      <c r="X36" s="1">
        <f>COUNTIF(Play!O20,Play!$CF$17)+COUNTIF(Play!Q22,Play!$CF$17)+COUNTIF(Play!S24,Play!$CF$17)+COUNTIF(Play!U26,Play!$CF$17)+COUNTIF(Play!W28,Play!$CF$17)+COUNTIF(Play!Y30,Play!$CF$17)</f>
        <v>0</v>
      </c>
      <c r="Y36" s="1">
        <f>COUNTIF(Play!Q20,Play!$CF$17)+COUNTIF(Play!S22,Play!$CF$17)+COUNTIF(Play!U24,Play!$CF$17)+COUNTIF(Play!W26,Play!$CF$17)+COUNTIF(Play!Y28,Play!$CF$17)+COUNTIF(Play!AA30,Play!$CF$17)</f>
        <v>0</v>
      </c>
      <c r="Z36" s="1">
        <f>COUNTIF(Play!S20,Play!$CF$17)+COUNTIF(Play!U22,Play!$CF$17)+COUNTIF(Play!W24,Play!$CF$17)+COUNTIF(Play!Y26,Play!$CF$17)+COUNTIF(Play!AA28,Play!$CF$17)+COUNTIF(Play!AC30,Play!$CF$17)</f>
        <v>0</v>
      </c>
      <c r="AA36" s="1">
        <f>COUNTIF(Play!U20,Play!$CF$17)+COUNTIF(Play!W22,Play!$CF$17)+COUNTIF(Play!Y24,Play!$CF$17)+COUNTIF(Play!AA26,Play!$CF$17)+COUNTIF(Play!AC28,Play!$CF$17)+COUNTIF(Play!AE30,Play!$CF$17)</f>
        <v>0</v>
      </c>
      <c r="AB36" s="1">
        <f>COUNTIF(Play!W20,Play!$CF$17)+COUNTIF(Play!Y22,Play!$CF$17)+COUNTIF(Play!AA24,Play!$CF$17)+COUNTIF(Play!AC26,Play!$CF$17)+COUNTIF(Play!AE28,Play!$CF$17)+COUNTIF(Play!AG30,Play!$CF$17)</f>
        <v>0</v>
      </c>
      <c r="AC36" s="1">
        <f>COUNTIF(Play!Y20,Play!$CF$17)+COUNTIF(Play!AA22,Play!$CF$17)+COUNTIF(Play!AC24,Play!$CF$17)+COUNTIF(Play!AE26,Play!$CF$17)+COUNTIF(Play!AG28,Play!$CF$17)+COUNTIF(Play!AI30,Play!$CF$17)</f>
        <v>0</v>
      </c>
      <c r="AD36" s="1">
        <f>COUNTIF(Play!AA20,Play!$CF$17)+COUNTIF(Play!AC22,Play!$CF$17)+COUNTIF(Play!AE24,Play!$CF$17)+COUNTIF(Play!AG26,Play!$CF$17)+COUNTIF(Play!AI28,Play!$CF$17)+COUNTIF(Play!AK30,Play!$CF$17)</f>
        <v>0</v>
      </c>
      <c r="AE36" s="1">
        <f>COUNTIF(Play!AC20,Play!$CF$17)+COUNTIF(Play!AE22,Play!$CF$17)+COUNTIF(Play!AG24,Play!$CF$17)+COUNTIF(Play!AI26,Play!$CF$17)+COUNTIF(Play!AK28,Play!$CF$17)+COUNTIF(Play!AM30,Play!$CF$17)</f>
        <v>0</v>
      </c>
      <c r="AF36" s="1">
        <f>COUNTIF(Play!AE20,Play!$CF$17)+COUNTIF(Play!AG22,Play!$CF$17)+COUNTIF(Play!AI24,Play!$CF$17)+COUNTIF(Play!AK26,Play!$CF$17)+COUNTIF(Play!AM28,Play!$CF$17)+COUNTIF(Play!AO30,Play!$CF$17)</f>
        <v>0</v>
      </c>
      <c r="AG36" s="1">
        <f>COUNTIF(Play!AG20,Play!$CF$17)+COUNTIF(Play!AI22,Play!$CF$17)+COUNTIF(Play!AK24,Play!$CF$17)+COUNTIF(Play!AM26,Play!$CF$17)+COUNTIF(Play!AO28,Play!$CF$17)+COUNTIF(Play!AQ30,Play!$CF$17)</f>
        <v>0</v>
      </c>
      <c r="AH36" s="1">
        <f>COUNTIF(Play!AI20,Play!$CF$17)+COUNTIF(Play!AK22,Play!$CF$17)+COUNTIF(Play!AM24,Play!$CF$17)+COUNTIF(Play!AO26,Play!$CF$17)+COUNTIF(Play!AQ28,Play!$CF$17)+COUNTIF(Play!AS30,Play!$CF$17)</f>
        <v>0</v>
      </c>
      <c r="AI36" s="1">
        <f>COUNTIF(Play!AK20,Play!$CF$17)+COUNTIF(Play!AM22,Play!$CF$17)+COUNTIF(Play!AO24,Play!$CF$17)+COUNTIF(Play!AQ26,Play!$CF$17)+COUNTIF(Play!AS28,Play!$CF$17)+COUNTIF(Play!AU30,Play!$CF$17)</f>
        <v>0</v>
      </c>
      <c r="AJ36" s="1">
        <f>COUNTIF(Play!AM20,Play!$CF$17)+COUNTIF(Play!AO22,Play!$CF$17)+COUNTIF(Play!AQ24,Play!$CF$17)+COUNTIF(Play!AS26,Play!$CF$17)+COUNTIF(Play!AU28,Play!$CF$17)+COUNTIF(Play!AW30,Play!$CF$17)</f>
        <v>0</v>
      </c>
    </row>
    <row r="37" spans="2:41" ht="13" customHeight="1">
      <c r="B37" s="1">
        <f>COUNTIF(Play!M30,Play!$BI$17)+COUNTIF(Play!O28,Play!$BI$17)+COUNTIF(Play!Q26,Play!$BI$17)+COUNTIF(Play!S24,Play!$BI$17)+COUNTIF(Play!U22,Play!$BI$17)+COUNTIF(Play!W20,Play!$BI$17)</f>
        <v>0</v>
      </c>
      <c r="C37" s="1">
        <f>COUNTIF(Play!O30,Play!$BI$17)+COUNTIF(Play!Q28,Play!$BI$17)+COUNTIF(Play!S26,Play!$BI$17)+COUNTIF(Play!U24,Play!$BI$17)+COUNTIF(Play!W22,Play!$BI$17)+COUNTIF(Play!Y20,Play!$BI$17)</f>
        <v>0</v>
      </c>
      <c r="D37" s="1">
        <f>COUNTIF(Play!Q30,Play!$BI$17)+COUNTIF(Play!S28,Play!$BI$17)+COUNTIF(Play!U26,Play!$BI$17)+COUNTIF(Play!W24,Play!$BI$17)+COUNTIF(Play!Y22,Play!$BI$17)+COUNTIF(Play!AA20,Play!$BI$17)</f>
        <v>0</v>
      </c>
      <c r="E37" s="1">
        <f>COUNTIF(Play!S30,Play!$BI$17)+COUNTIF(Play!U28,Play!$BI$17)+COUNTIF(Play!W26,Play!$BI$17)+COUNTIF(Play!Y24,Play!$BI$17)+COUNTIF(Play!AA22,Play!$BI$17)+COUNTIF(Play!AC20,Play!$BI$17)</f>
        <v>0</v>
      </c>
      <c r="F37" s="1">
        <f>COUNTIF(Play!U30,Play!$BI$17)+COUNTIF(Play!W28,Play!$BI$17)+COUNTIF(Play!Y26,Play!$BI$17)+COUNTIF(Play!AA24,Play!$BI$17)+COUNTIF(Play!AC22,Play!$BI$17)+COUNTIF(Play!AE20,Play!$BI$17)</f>
        <v>0</v>
      </c>
      <c r="G37" s="1">
        <f>COUNTIF(Play!W30,Play!$BI$17)+COUNTIF(Play!Y28,Play!$BI$17)+COUNTIF(Play!AA26,Play!$BI$17)+COUNTIF(Play!AC24,Play!$BI$17)+COUNTIF(Play!AE22,Play!$BI$17)+COUNTIF(Play!AG20,Play!$BI$17)</f>
        <v>0</v>
      </c>
      <c r="H37" s="1">
        <f>COUNTIF(Play!Y30,Play!$BI$17)+COUNTIF(Play!AA28,Play!$BI$17)+COUNTIF(Play!AC26,Play!$BI$17)+COUNTIF(Play!AE24,Play!$BI$17)+COUNTIF(Play!AG22,Play!$BI$17)+COUNTIF(Play!AI20,Play!$BI$17)</f>
        <v>0</v>
      </c>
      <c r="I37" s="1">
        <f>COUNTIF(Play!AA30,Play!$BI$17)+COUNTIF(Play!AC28,Play!$BI$17)+COUNTIF(Play!AE26,Play!$BI$17)+COUNTIF(Play!AG24,Play!$BI$17)+COUNTIF(Play!AI22,Play!$BI$17)+COUNTIF(Play!AK20,Play!$BI$17)</f>
        <v>0</v>
      </c>
      <c r="J37" s="1">
        <f>COUNTIF(Play!AC30,Play!$BI$17)+COUNTIF(Play!AE28,Play!$BI$17)+COUNTIF(Play!AG26,Play!$BI$17)+COUNTIF(Play!AI24,Play!$BI$17)+COUNTIF(Play!AK22,Play!$BI$17)+COUNTIF(Play!AM20,Play!$BI$17)</f>
        <v>0</v>
      </c>
      <c r="K37" s="1">
        <f>COUNTIF(Play!AE30,Play!$BI$17)+COUNTIF(Play!AG28,Play!$BI$17)+COUNTIF(Play!AI26,Play!$BI$17)+COUNTIF(Play!AK24,Play!$BI$17)+COUNTIF(Play!AM22,Play!$BI$17)+COUNTIF(Play!AO20,Play!$BI$17)</f>
        <v>0</v>
      </c>
      <c r="L37" s="1">
        <f>COUNTIF(Play!AG30,Play!$BI$17)+COUNTIF(Play!AI28,Play!$BI$17)+COUNTIF(Play!AK26,Play!$BI$17)+COUNTIF(Play!AM24,Play!$BI$17)+COUNTIF(Play!AO22,Play!$BI$17)+COUNTIF(Play!AQ20,Play!$BI$17)</f>
        <v>0</v>
      </c>
      <c r="M37" s="1">
        <f>COUNTIF(Play!AI30,Play!$BI$17)+COUNTIF(Play!AK28,Play!$BI$17)+COUNTIF(Play!AM26,Play!$BI$17)+COUNTIF(Play!AO24,Play!$BI$17)+COUNTIF(Play!AQ22,Play!$BI$17)+COUNTIF(Play!AS20,Play!$BI$17)</f>
        <v>0</v>
      </c>
      <c r="N37" s="1">
        <f>COUNTIF(Play!AK30,Play!$BI$17)+COUNTIF(Play!AM28,Play!$BI$17)+COUNTIF(Play!AO26,Play!$BI$17)+COUNTIF(Play!AQ24,Play!$BI$17)+COUNTIF(Play!AS22,Play!$BI$17)+COUNTIF(Play!AU20,Play!$BI$17)</f>
        <v>0</v>
      </c>
      <c r="O37" s="1">
        <f>COUNTIF(Play!AM30,Play!$BI$17)+COUNTIF(Play!AO28,Play!$BI$17)+COUNTIF(Play!AQ26,Play!$BI$17)+COUNTIF(Play!AS24,Play!$BI$17)+COUNTIF(Play!AU22,Play!$BI$17)+COUNTIF(Play!AW20,Play!$BI$17)</f>
        <v>0</v>
      </c>
      <c r="W37" s="1">
        <f>COUNTIF(Play!M30,Play!$CF$17)+COUNTIF(Play!O28,Play!$CF$17)+COUNTIF(Play!Q26,Play!$CF$17)+COUNTIF(Play!S24,Play!$CF$17)+COUNTIF(Play!U22,Play!$CF$17)+COUNTIF(Play!W20,Play!$CF$17)</f>
        <v>0</v>
      </c>
      <c r="X37" s="1">
        <f>COUNTIF(Play!O30,Play!$CF$17)+COUNTIF(Play!Q28,Play!$CF$17)+COUNTIF(Play!S26,Play!$CF$17)+COUNTIF(Play!U24,Play!$CF$17)+COUNTIF(Play!W22,Play!$CF$17)+COUNTIF(Play!Y20,Play!$CF$17)</f>
        <v>0</v>
      </c>
      <c r="Y37" s="1">
        <f>COUNTIF(Play!Q30,Play!$CF$17)+COUNTIF(Play!S28,Play!$CF$17)+COUNTIF(Play!U26,Play!$CF$17)+COUNTIF(Play!W24,Play!$CF$17)+COUNTIF(Play!Y22,Play!$CF$17)+COUNTIF(Play!AA20,Play!$CF$17)</f>
        <v>0</v>
      </c>
      <c r="Z37" s="1">
        <f>COUNTIF(Play!S30,Play!$CF$17)+COUNTIF(Play!U28,Play!$CF$17)+COUNTIF(Play!W26,Play!$CF$17)+COUNTIF(Play!Y24,Play!$CF$17)+COUNTIF(Play!AA22,Play!$CF$17)+COUNTIF(Play!AC20,Play!$CF$17)</f>
        <v>0</v>
      </c>
      <c r="AA37" s="1">
        <f>COUNTIF(Play!U30,Play!$CF$17)+COUNTIF(Play!W28,Play!$CF$17)+COUNTIF(Play!Y26,Play!$CF$17)+COUNTIF(Play!AA24,Play!$CF$17)+COUNTIF(Play!AC22,Play!$CF$17)+COUNTIF(Play!AE20,Play!$CF$17)</f>
        <v>0</v>
      </c>
      <c r="AB37" s="1">
        <f>COUNTIF(Play!W30,Play!$CF$17)+COUNTIF(Play!Y28,Play!$CF$17)+COUNTIF(Play!AA26,Play!$CF$17)+COUNTIF(Play!AC24,Play!$CF$17)+COUNTIF(Play!AE22,Play!$CF$17)+COUNTIF(Play!AG20,Play!$CF$17)</f>
        <v>0</v>
      </c>
      <c r="AC37" s="1">
        <f>COUNTIF(Play!Y30,Play!$CF$17)+COUNTIF(Play!AA28,Play!$CF$17)+COUNTIF(Play!AC26,Play!$CF$17)+COUNTIF(Play!AE24,Play!$CF$17)+COUNTIF(Play!AG22,Play!$CF$17)+COUNTIF(Play!AI20,Play!$CF$17)</f>
        <v>0</v>
      </c>
      <c r="AD37" s="1">
        <f>COUNTIF(Play!AA30,Play!$CF$17)+COUNTIF(Play!AC28,Play!$CF$17)+COUNTIF(Play!AE26,Play!$CF$17)+COUNTIF(Play!AG24,Play!$CF$17)+COUNTIF(Play!AI22,Play!$CF$17)+COUNTIF(Play!AK20,Play!$CF$17)</f>
        <v>0</v>
      </c>
      <c r="AE37" s="1">
        <f>COUNTIF(Play!AC30,Play!$CF$17)+COUNTIF(Play!AE28,Play!$CF$17)+COUNTIF(Play!AG26,Play!$CF$17)+COUNTIF(Play!AI24,Play!$CF$17)+COUNTIF(Play!AK22,Play!$CF$17)+COUNTIF(Play!AM20,Play!$CF$17)</f>
        <v>0</v>
      </c>
      <c r="AF37" s="1">
        <f>COUNTIF(Play!AE30,Play!$CF$17)+COUNTIF(Play!AG28,Play!$CF$17)+COUNTIF(Play!AI26,Play!$CF$17)+COUNTIF(Play!AK24,Play!$CF$17)+COUNTIF(Play!AM22,Play!$CF$17)+COUNTIF(Play!AO20,Play!$CF$17)</f>
        <v>0</v>
      </c>
      <c r="AG37" s="1">
        <f>COUNTIF(Play!AG30,Play!$CF$17)+COUNTIF(Play!AI28,Play!$CF$17)+COUNTIF(Play!AK26,Play!$CF$17)+COUNTIF(Play!AM24,Play!$CF$17)+COUNTIF(Play!AO22,Play!$CF$17)+COUNTIF(Play!AQ20,Play!$CF$17)</f>
        <v>0</v>
      </c>
      <c r="AH37" s="1">
        <f>COUNTIF(Play!AI30,Play!$CF$17)+COUNTIF(Play!AK28,Play!$CF$17)+COUNTIF(Play!AM26,Play!$CF$17)+COUNTIF(Play!AO24,Play!$CF$17)+COUNTIF(Play!AQ22,Play!$CF$17)+COUNTIF(Play!AS20,Play!$CF$17)</f>
        <v>0</v>
      </c>
      <c r="AI37" s="1">
        <f>COUNTIF(Play!AK30,Play!$CF$17)+COUNTIF(Play!AM28,Play!$CF$17)+COUNTIF(Play!AO26,Play!$CF$17)+COUNTIF(Play!AQ24,Play!$CF$17)+COUNTIF(Play!AS22,Play!$CF$17)+COUNTIF(Play!AU20,Play!$CF$17)</f>
        <v>0</v>
      </c>
      <c r="AJ37" s="1">
        <f>COUNTIF(Play!AM30,Play!$CF$17)+COUNTIF(Play!AO28,Play!$CF$17)+COUNTIF(Play!AQ26,Play!$CF$17)+COUNTIF(Play!AS24,Play!$CF$17)+COUNTIF(Play!AU22,Play!$CF$17)+COUNTIF(Play!AW20,Play!$CF$17)</f>
        <v>0</v>
      </c>
    </row>
    <row r="38" spans="2:41" ht="13" customHeight="1">
      <c r="B38" s="1">
        <f>COUNTIF(Play!M22:W22,Play!$BI$17)</f>
        <v>0</v>
      </c>
      <c r="C38" s="1">
        <f>COUNTIF(Play!O22:Y22,Play!$BI$17)</f>
        <v>0</v>
      </c>
      <c r="D38" s="1">
        <f>COUNTIF(Play!Q22:AA22,Play!$BI$17)</f>
        <v>0</v>
      </c>
      <c r="E38" s="1">
        <f>COUNTIF(Play!S22:AC22,Play!$BI$17)</f>
        <v>0</v>
      </c>
      <c r="F38" s="1">
        <f>COUNTIF(Play!U22:AE22,Play!$BI$17)</f>
        <v>0</v>
      </c>
      <c r="G38" s="1">
        <f>COUNTIF(Play!W22:AG22,Play!$BI$17)</f>
        <v>0</v>
      </c>
      <c r="H38" s="1">
        <f>COUNTIF(Play!Y22:AI22,Play!$BI$17)</f>
        <v>0</v>
      </c>
      <c r="I38" s="1">
        <f>COUNTIF(Play!AA22:AK22,Play!$BI$17)</f>
        <v>0</v>
      </c>
      <c r="J38" s="1">
        <f>COUNTIF(Play!AC22:AM22,Play!$BI$17)</f>
        <v>0</v>
      </c>
      <c r="K38" s="1">
        <f>COUNTIF(Play!AE22:AO22,Play!$BI$17)</f>
        <v>0</v>
      </c>
      <c r="L38" s="1">
        <f>COUNTIF(Play!AG22:AQ22,Play!$BI$17)</f>
        <v>0</v>
      </c>
      <c r="M38" s="1">
        <f>COUNTIF(Play!AI22:AS22,Play!$BI$17)</f>
        <v>0</v>
      </c>
      <c r="N38" s="1">
        <f>COUNTIF(Play!AK22:AU22,Play!$BI$17)</f>
        <v>0</v>
      </c>
      <c r="O38" s="1">
        <f>COUNTIF(Play!AM22:AW22,Play!$BI$17)</f>
        <v>0</v>
      </c>
      <c r="W38" s="1">
        <f>COUNTIF(Play!M22:W22,Play!$CF$17)</f>
        <v>0</v>
      </c>
      <c r="X38" s="1">
        <f>COUNTIF(Play!O22:Y22,Play!$CF$17)</f>
        <v>0</v>
      </c>
      <c r="Y38" s="1">
        <f>COUNTIF(Play!Q22:AA22,Play!$CF$17)</f>
        <v>0</v>
      </c>
      <c r="Z38" s="1">
        <f>COUNTIF(Play!S22:AC22,Play!$CF$17)</f>
        <v>0</v>
      </c>
      <c r="AA38" s="1">
        <f>COUNTIF(Play!U22:AE22,Play!$CF$17)</f>
        <v>0</v>
      </c>
      <c r="AB38" s="1">
        <f>COUNTIF(Play!W22:AG22,Play!$CF$17)</f>
        <v>0</v>
      </c>
      <c r="AC38" s="1">
        <f>COUNTIF(Play!Y22:AI22,Play!$CF$17)</f>
        <v>0</v>
      </c>
      <c r="AD38" s="1">
        <f>COUNTIF(Play!AA22:AK22,Play!$CF$17)</f>
        <v>0</v>
      </c>
      <c r="AE38" s="1">
        <f>COUNTIF(Play!AC22:AM22,Play!$CF$17)</f>
        <v>0</v>
      </c>
      <c r="AF38" s="1">
        <f>COUNTIF(Play!AE22:AO22,Play!$CF$17)</f>
        <v>0</v>
      </c>
      <c r="AG38" s="1">
        <f>COUNTIF(Play!AG22:AQ22,Play!$CF$17)</f>
        <v>0</v>
      </c>
      <c r="AH38" s="1">
        <f>COUNTIF(Play!AI22:AS22,Play!$CF$17)</f>
        <v>0</v>
      </c>
      <c r="AI38" s="1">
        <f>COUNTIF(Play!AK22:AU22,Play!$CF$17)</f>
        <v>0</v>
      </c>
      <c r="AJ38" s="1">
        <f>COUNTIF(Play!AM22:AW22,Play!$CF$17)</f>
        <v>0</v>
      </c>
    </row>
    <row r="39" spans="2:41" ht="13" customHeight="1">
      <c r="B39" s="1">
        <f>COUNTIF(Play!M22:M32,Play!$BI$17)</f>
        <v>0</v>
      </c>
      <c r="C39" s="1">
        <f>COUNTIF(Play!O22:O32,Play!$BI$17)</f>
        <v>0</v>
      </c>
      <c r="D39" s="1">
        <f>COUNTIF(Play!Q22:Q32,Play!$BI$17)</f>
        <v>0</v>
      </c>
      <c r="E39" s="1">
        <f>COUNTIF(Play!S22:S32,Play!$BI$17)</f>
        <v>0</v>
      </c>
      <c r="F39" s="1">
        <f>COUNTIF(Play!U22:U32,Play!$BI$17)</f>
        <v>0</v>
      </c>
      <c r="G39" s="1">
        <f>COUNTIF(Play!W22:W32,Play!$BI$17)</f>
        <v>0</v>
      </c>
      <c r="H39" s="1">
        <f>COUNTIF(Play!Y22:Y32,Play!$BI$17)</f>
        <v>0</v>
      </c>
      <c r="I39" s="1">
        <f>COUNTIF(Play!AA22:AA32,Play!$BI$17)</f>
        <v>0</v>
      </c>
      <c r="J39" s="1">
        <f>COUNTIF(Play!AC22:AC32,Play!$BI$17)</f>
        <v>0</v>
      </c>
      <c r="K39" s="1">
        <f>COUNTIF(Play!AE22:AE32,Play!$BI$17)</f>
        <v>0</v>
      </c>
      <c r="L39" s="1">
        <f>COUNTIF(Play!AG22:AG32,Play!$BI$17)</f>
        <v>0</v>
      </c>
      <c r="M39" s="1">
        <f>COUNTIF(Play!AI22:AI32,Play!$BI$17)</f>
        <v>0</v>
      </c>
      <c r="N39" s="1">
        <f>COUNTIF(Play!AK22:AK32,Play!$BI$17)</f>
        <v>0</v>
      </c>
      <c r="O39" s="1">
        <f>COUNTIF(Play!AM22:AM32,Play!$BI$17)</f>
        <v>0</v>
      </c>
      <c r="P39" s="1">
        <f>COUNTIF(Play!AO22:AO32,Play!$BI$17)</f>
        <v>0</v>
      </c>
      <c r="Q39" s="1">
        <f>COUNTIF(Play!AQ22:AQ32,Play!$BI$17)</f>
        <v>0</v>
      </c>
      <c r="R39" s="1">
        <f>COUNTIF(Play!AS22:AS32,Play!$BI$17)</f>
        <v>0</v>
      </c>
      <c r="S39" s="1">
        <f>COUNTIF(Play!AU22:AU32,Play!$BI$17)</f>
        <v>0</v>
      </c>
      <c r="T39" s="1">
        <f>COUNTIF(Play!AW22:AW32,Play!$BI$17)</f>
        <v>0</v>
      </c>
      <c r="W39" s="1">
        <f>COUNTIF(Play!M22:M32,Play!$CF$17)</f>
        <v>0</v>
      </c>
      <c r="X39" s="1">
        <f>COUNTIF(Play!O22:O32,Play!$CF$17)</f>
        <v>0</v>
      </c>
      <c r="Y39" s="1">
        <f>COUNTIF(Play!Q22:Q32,Play!$CF$17)</f>
        <v>0</v>
      </c>
      <c r="Z39" s="1">
        <f>COUNTIF(Play!S22:S32,Play!$CF$17)</f>
        <v>0</v>
      </c>
      <c r="AA39" s="1">
        <f>COUNTIF(Play!U22:U32,Play!$CF$17)</f>
        <v>0</v>
      </c>
      <c r="AB39" s="1">
        <f>COUNTIF(Play!W22:W32,Play!$CF$17)</f>
        <v>0</v>
      </c>
      <c r="AC39" s="1">
        <f>COUNTIF(Play!Y22:Y32,Play!$CF$17)</f>
        <v>0</v>
      </c>
      <c r="AD39" s="1">
        <f>COUNTIF(Play!AA22:AA32,Play!$CF$17)</f>
        <v>0</v>
      </c>
      <c r="AE39" s="1">
        <f>COUNTIF(Play!AC22:AC32,Play!$CF$17)</f>
        <v>0</v>
      </c>
      <c r="AF39" s="1">
        <f>COUNTIF(Play!AE22:AE32,Play!$CF$17)</f>
        <v>0</v>
      </c>
      <c r="AG39" s="1">
        <f>COUNTIF(Play!AG22:AG32,Play!$CF$17)</f>
        <v>0</v>
      </c>
      <c r="AH39" s="1">
        <f>COUNTIF(Play!AI22:AI32,Play!$CF$17)</f>
        <v>0</v>
      </c>
      <c r="AI39" s="1">
        <f>COUNTIF(Play!AK22:AK32,Play!$CF$17)</f>
        <v>0</v>
      </c>
      <c r="AJ39" s="1">
        <f>COUNTIF(Play!AM22:AM32,Play!$CF$17)</f>
        <v>0</v>
      </c>
      <c r="AK39" s="1">
        <f>COUNTIF(Play!AO22:AO32,Play!$CF$17)</f>
        <v>0</v>
      </c>
      <c r="AL39" s="1">
        <f>COUNTIF(Play!AQ22:AQ32,Play!$CF$17)</f>
        <v>0</v>
      </c>
      <c r="AM39" s="1">
        <f>COUNTIF(Play!AS22:AS32,Play!$CF$17)</f>
        <v>0</v>
      </c>
      <c r="AN39" s="1">
        <f>COUNTIF(Play!AU22:AU32,Play!$CF$17)</f>
        <v>0</v>
      </c>
      <c r="AO39" s="1">
        <f>COUNTIF(Play!AW22:AW32,Play!$CF$17)</f>
        <v>0</v>
      </c>
    </row>
    <row r="40" spans="2:41" ht="13" customHeight="1">
      <c r="B40" s="1">
        <f>COUNTIF(Play!M22,Play!$BI$17)+COUNTIF(Play!O24,Play!$BI$17)+COUNTIF(Play!Q26,Play!$BI$17)+COUNTIF(Play!S28,Play!$BI$17)+COUNTIF(Play!U30,Play!$BI$17)+COUNTIF(Play!W32,Play!$BI$17)</f>
        <v>0</v>
      </c>
      <c r="C40" s="1">
        <f>COUNTIF(Play!O22,Play!$BI$17)+COUNTIF(Play!Q24,Play!$BI$17)+COUNTIF(Play!S26,Play!$BI$17)+COUNTIF(Play!U28,Play!$BI$17)+COUNTIF(Play!W30,Play!$BI$17)+COUNTIF(Play!Y32,Play!$BI$17)</f>
        <v>0</v>
      </c>
      <c r="D40" s="1">
        <f>COUNTIF(Play!Q22,Play!$BI$17)+COUNTIF(Play!S24,Play!$BI$17)+COUNTIF(Play!U26,Play!$BI$17)+COUNTIF(Play!W28,Play!$BI$17)+COUNTIF(Play!Y30,Play!$BI$17)+COUNTIF(Play!AA32,Play!$BI$17)</f>
        <v>0</v>
      </c>
      <c r="E40" s="1">
        <f>COUNTIF(Play!S22,Play!$BI$17)+COUNTIF(Play!U24,Play!$BI$17)+COUNTIF(Play!W26,Play!$BI$17)+COUNTIF(Play!Y28,Play!$BI$17)+COUNTIF(Play!AA30,Play!$BI$17)+COUNTIF(Play!AC32,Play!$BI$17)</f>
        <v>0</v>
      </c>
      <c r="F40" s="1">
        <f>COUNTIF(Play!U22,Play!$BI$17)+COUNTIF(Play!W24,Play!$BI$17)+COUNTIF(Play!Y26,Play!$BI$17)+COUNTIF(Play!AA28,Play!$BI$17)+COUNTIF(Play!AC30,Play!$BI$17)+COUNTIF(Play!AE32,Play!$BI$17)</f>
        <v>0</v>
      </c>
      <c r="G40" s="1">
        <f>COUNTIF(Play!W22,Play!$BI$17)+COUNTIF(Play!Y24,Play!$BI$17)+COUNTIF(Play!AA26,Play!$BI$17)+COUNTIF(Play!AC28,Play!$BI$17)+COUNTIF(Play!AE30,Play!$BI$17)+COUNTIF(Play!AG32,Play!$BI$17)</f>
        <v>0</v>
      </c>
      <c r="H40" s="1">
        <f>COUNTIF(Play!Y22,Play!$BI$17)+COUNTIF(Play!AA24,Play!$BI$17)+COUNTIF(Play!AC26,Play!$BI$17)+COUNTIF(Play!AE28,Play!$BI$17)+COUNTIF(Play!AG30,Play!$BI$17)+COUNTIF(Play!AI32,Play!$BI$17)</f>
        <v>0</v>
      </c>
      <c r="I40" s="1">
        <f>COUNTIF(Play!AA22,Play!$BI$17)+COUNTIF(Play!AC24,Play!$BI$17)+COUNTIF(Play!AE26,Play!$BI$17)+COUNTIF(Play!AG28,Play!$BI$17)+COUNTIF(Play!AI30,Play!$BI$17)+COUNTIF(Play!AK32,Play!$BI$17)</f>
        <v>0</v>
      </c>
      <c r="J40" s="1">
        <f>COUNTIF(Play!AC22,Play!$BI$17)+COUNTIF(Play!AE24,Play!$BI$17)+COUNTIF(Play!AG26,Play!$BI$17)+COUNTIF(Play!AI28,Play!$BI$17)+COUNTIF(Play!AK30,Play!$BI$17)+COUNTIF(Play!AM32,Play!$BI$17)</f>
        <v>0</v>
      </c>
      <c r="K40" s="1">
        <f>COUNTIF(Play!AE22,Play!$BI$17)+COUNTIF(Play!AG24,Play!$BI$17)+COUNTIF(Play!AI26,Play!$BI$17)+COUNTIF(Play!AK28,Play!$BI$17)+COUNTIF(Play!AM30,Play!$BI$17)+COUNTIF(Play!AO32,Play!$BI$17)</f>
        <v>0</v>
      </c>
      <c r="L40" s="1">
        <f>COUNTIF(Play!AG22,Play!$BI$17)+COUNTIF(Play!AI24,Play!$BI$17)+COUNTIF(Play!AK26,Play!$BI$17)+COUNTIF(Play!AM28,Play!$BI$17)+COUNTIF(Play!AO30,Play!$BI$17)+COUNTIF(Play!AQ32,Play!$BI$17)</f>
        <v>0</v>
      </c>
      <c r="M40" s="1">
        <f>COUNTIF(Play!AI22,Play!$BI$17)+COUNTIF(Play!AK24,Play!$BI$17)+COUNTIF(Play!AM26,Play!$BI$17)+COUNTIF(Play!AO28,Play!$BI$17)+COUNTIF(Play!AQ30,Play!$BI$17)+COUNTIF(Play!AS32,Play!$BI$17)</f>
        <v>0</v>
      </c>
      <c r="N40" s="1">
        <f>COUNTIF(Play!AK22,Play!$BI$17)+COUNTIF(Play!AM24,Play!$BI$17)+COUNTIF(Play!AO26,Play!$BI$17)+COUNTIF(Play!AQ28,Play!$BI$17)+COUNTIF(Play!AS30,Play!$BI$17)+COUNTIF(Play!AU32,Play!$BI$17)</f>
        <v>0</v>
      </c>
      <c r="O40" s="1">
        <f>COUNTIF(Play!AM22,Play!$BI$17)+COUNTIF(Play!AO24,Play!$BI$17)+COUNTIF(Play!AQ26,Play!$BI$17)+COUNTIF(Play!AS28,Play!$BI$17)+COUNTIF(Play!AU30,Play!$BI$17)+COUNTIF(Play!AW32,Play!$BI$17)</f>
        <v>0</v>
      </c>
      <c r="W40" s="1">
        <f>COUNTIF(Play!M22,Play!$CF$17)+COUNTIF(Play!O24,Play!$CF$17)+COUNTIF(Play!Q26,Play!$CF$17)+COUNTIF(Play!S28,Play!$CF$17)+COUNTIF(Play!U30,Play!$CF$17)+COUNTIF(Play!W32,Play!$CF$17)</f>
        <v>0</v>
      </c>
      <c r="X40" s="1">
        <f>COUNTIF(Play!O22,Play!$CF$17)+COUNTIF(Play!Q24,Play!$CF$17)+COUNTIF(Play!S26,Play!$CF$17)+COUNTIF(Play!U28,Play!$CF$17)+COUNTIF(Play!W30,Play!$CF$17)+COUNTIF(Play!Y32,Play!$CF$17)</f>
        <v>0</v>
      </c>
      <c r="Y40" s="1">
        <f>COUNTIF(Play!Q22,Play!$CF$17)+COUNTIF(Play!S24,Play!$CF$17)+COUNTIF(Play!U26,Play!$CF$17)+COUNTIF(Play!W28,Play!$CF$17)+COUNTIF(Play!Y30,Play!$CF$17)+COUNTIF(Play!AA32,Play!$CF$17)</f>
        <v>0</v>
      </c>
      <c r="Z40" s="1">
        <f>COUNTIF(Play!S22,Play!$CF$17)+COUNTIF(Play!U24,Play!$CF$17)+COUNTIF(Play!W26,Play!$CF$17)+COUNTIF(Play!Y28,Play!$CF$17)+COUNTIF(Play!AA30,Play!$CF$17)+COUNTIF(Play!AC32,Play!$CF$17)</f>
        <v>0</v>
      </c>
      <c r="AA40" s="1">
        <f>COUNTIF(Play!U22,Play!$CF$17)+COUNTIF(Play!W24,Play!$CF$17)+COUNTIF(Play!Y26,Play!$CF$17)+COUNTIF(Play!AA28,Play!$CF$17)+COUNTIF(Play!AC30,Play!$CF$17)+COUNTIF(Play!AE32,Play!$CF$17)</f>
        <v>0</v>
      </c>
      <c r="AB40" s="1">
        <f>COUNTIF(Play!W22,Play!$CF$17)+COUNTIF(Play!Y24,Play!$CF$17)+COUNTIF(Play!AA26,Play!$CF$17)+COUNTIF(Play!AC28,Play!$CF$17)+COUNTIF(Play!AE30,Play!$CF$17)+COUNTIF(Play!AG32,Play!$CF$17)</f>
        <v>0</v>
      </c>
      <c r="AC40" s="1">
        <f>COUNTIF(Play!Y22,Play!$CF$17)+COUNTIF(Play!AA24,Play!$CF$17)+COUNTIF(Play!AC26,Play!$CF$17)+COUNTIF(Play!AE28,Play!$CF$17)+COUNTIF(Play!AG30,Play!$CF$17)+COUNTIF(Play!AI32,Play!$CF$17)</f>
        <v>0</v>
      </c>
      <c r="AD40" s="1">
        <f>COUNTIF(Play!AA22,Play!$CF$17)+COUNTIF(Play!AC24,Play!$CF$17)+COUNTIF(Play!AE26,Play!$CF$17)+COUNTIF(Play!AG28,Play!$CF$17)+COUNTIF(Play!AI30,Play!$CF$17)+COUNTIF(Play!AK32,Play!$CF$17)</f>
        <v>0</v>
      </c>
      <c r="AE40" s="1">
        <f>COUNTIF(Play!AC22,Play!$CF$17)+COUNTIF(Play!AE24,Play!$CF$17)+COUNTIF(Play!AG26,Play!$CF$17)+COUNTIF(Play!AI28,Play!$CF$17)+COUNTIF(Play!AK30,Play!$CF$17)+COUNTIF(Play!AM32,Play!$CF$17)</f>
        <v>0</v>
      </c>
      <c r="AF40" s="1">
        <f>COUNTIF(Play!AE22,Play!$CF$17)+COUNTIF(Play!AG24,Play!$CF$17)+COUNTIF(Play!AI26,Play!$CF$17)+COUNTIF(Play!AK28,Play!$CF$17)+COUNTIF(Play!AM30,Play!$CF$17)+COUNTIF(Play!AO32,Play!$CF$17)</f>
        <v>0</v>
      </c>
      <c r="AG40" s="1">
        <f>COUNTIF(Play!AG22,Play!$CF$17)+COUNTIF(Play!AI24,Play!$CF$17)+COUNTIF(Play!AK26,Play!$CF$17)+COUNTIF(Play!AM28,Play!$CF$17)+COUNTIF(Play!AO30,Play!$CF$17)+COUNTIF(Play!AQ32,Play!$CF$17)</f>
        <v>0</v>
      </c>
      <c r="AH40" s="1">
        <f>COUNTIF(Play!AI22,Play!$CF$17)+COUNTIF(Play!AK24,Play!$CF$17)+COUNTIF(Play!AM26,Play!$CF$17)+COUNTIF(Play!AO28,Play!$CF$17)+COUNTIF(Play!AQ30,Play!$CF$17)+COUNTIF(Play!AS32,Play!$CF$17)</f>
        <v>0</v>
      </c>
      <c r="AI40" s="1">
        <f>COUNTIF(Play!AK22,Play!$CF$17)+COUNTIF(Play!AM24,Play!$CF$17)+COUNTIF(Play!AO26,Play!$CF$17)+COUNTIF(Play!AQ28,Play!$CF$17)+COUNTIF(Play!AS30,Play!$CF$17)+COUNTIF(Play!AU32,Play!$CF$17)</f>
        <v>0</v>
      </c>
      <c r="AJ40" s="1">
        <f>COUNTIF(Play!AM22,Play!$CF$17)+COUNTIF(Play!AO24,Play!$CF$17)+COUNTIF(Play!AQ26,Play!$CF$17)+COUNTIF(Play!AS28,Play!$CF$17)+COUNTIF(Play!AU30,Play!$CF$17)+COUNTIF(Play!AW32,Play!$CF$17)</f>
        <v>0</v>
      </c>
    </row>
    <row r="41" spans="2:41" ht="13" customHeight="1">
      <c r="B41" s="1">
        <f>COUNTIF(Play!M32,Play!$BI$17)+COUNTIF(Play!O30,Play!$BI$17)+COUNTIF(Play!Q28,Play!$BI$17)+COUNTIF(Play!S26,Play!$BI$17)+COUNTIF(Play!U24,Play!$BI$17)+COUNTIF(Play!W22,Play!$BI$17)</f>
        <v>0</v>
      </c>
      <c r="C41" s="1">
        <f>COUNTIF(Play!O32,Play!$BI$17)+COUNTIF(Play!Q30,Play!$BI$17)+COUNTIF(Play!S28,Play!$BI$17)+COUNTIF(Play!U26,Play!$BI$17)+COUNTIF(Play!W24,Play!$BI$17)+COUNTIF(Play!Y22,Play!$BI$17)</f>
        <v>0</v>
      </c>
      <c r="D41" s="1">
        <f>COUNTIF(Play!Q32,Play!$BI$17)+COUNTIF(Play!S30,Play!$BI$17)+COUNTIF(Play!U28,Play!$BI$17)+COUNTIF(Play!W26,Play!$BI$17)+COUNTIF(Play!Y24,Play!$BI$17)+COUNTIF(Play!AA22,Play!$BI$17)</f>
        <v>0</v>
      </c>
      <c r="E41" s="1">
        <f>COUNTIF(Play!S32,Play!$BI$17)+COUNTIF(Play!U30,Play!$BI$17)+COUNTIF(Play!W28,Play!$BI$17)+COUNTIF(Play!Y26,Play!$BI$17)+COUNTIF(Play!AA24,Play!$BI$17)+COUNTIF(Play!AC22,Play!$BI$17)</f>
        <v>0</v>
      </c>
      <c r="F41" s="1">
        <f>COUNTIF(Play!U32,Play!$BI$17)+COUNTIF(Play!W30,Play!$BI$17)+COUNTIF(Play!Y28,Play!$BI$17)+COUNTIF(Play!AA26,Play!$BI$17)+COUNTIF(Play!AC24,Play!$BI$17)+COUNTIF(Play!AE22,Play!$BI$17)</f>
        <v>0</v>
      </c>
      <c r="G41" s="1">
        <f>COUNTIF(Play!W32,Play!$BI$17)+COUNTIF(Play!Y30,Play!$BI$17)+COUNTIF(Play!AA28,Play!$BI$17)+COUNTIF(Play!AC26,Play!$BI$17)+COUNTIF(Play!AE24,Play!$BI$17)+COUNTIF(Play!AG22,Play!$BI$17)</f>
        <v>0</v>
      </c>
      <c r="H41" s="1">
        <f>COUNTIF(Play!Y32,Play!$BI$17)+COUNTIF(Play!AA30,Play!$BI$17)+COUNTIF(Play!AC28,Play!$BI$17)+COUNTIF(Play!AE26,Play!$BI$17)+COUNTIF(Play!AG24,Play!$BI$17)+COUNTIF(Play!AI22,Play!$BI$17)</f>
        <v>0</v>
      </c>
      <c r="I41" s="1">
        <f>COUNTIF(Play!AA32,Play!$BI$17)+COUNTIF(Play!AC30,Play!$BI$17)+COUNTIF(Play!AE28,Play!$BI$17)+COUNTIF(Play!AG26,Play!$BI$17)+COUNTIF(Play!AI24,Play!$BI$17)+COUNTIF(Play!AK22,Play!$BI$17)</f>
        <v>0</v>
      </c>
      <c r="J41" s="1">
        <f>COUNTIF(Play!AC32,Play!$BI$17)+COUNTIF(Play!AE30,Play!$BI$17)+COUNTIF(Play!AG28,Play!$BI$17)+COUNTIF(Play!AI26,Play!$BI$17)+COUNTIF(Play!AK24,Play!$BI$17)+COUNTIF(Play!AM22,Play!$BI$17)</f>
        <v>0</v>
      </c>
      <c r="K41" s="1">
        <f>COUNTIF(Play!AE32,Play!$BI$17)+COUNTIF(Play!AG30,Play!$BI$17)+COUNTIF(Play!AI28,Play!$BI$17)+COUNTIF(Play!AK26,Play!$BI$17)+COUNTIF(Play!AM24,Play!$BI$17)+COUNTIF(Play!AO22,Play!$BI$17)</f>
        <v>0</v>
      </c>
      <c r="L41" s="1">
        <f>COUNTIF(Play!AG32,Play!$BI$17)+COUNTIF(Play!AI30,Play!$BI$17)+COUNTIF(Play!AK28,Play!$BI$17)+COUNTIF(Play!AM26,Play!$BI$17)+COUNTIF(Play!AO24,Play!$BI$17)+COUNTIF(Play!AQ22,Play!$BI$17)</f>
        <v>0</v>
      </c>
      <c r="M41" s="1">
        <f>COUNTIF(Play!AI32,Play!$BI$17)+COUNTIF(Play!AK30,Play!$BI$17)+COUNTIF(Play!AM28,Play!$BI$17)+COUNTIF(Play!AO26,Play!$BI$17)+COUNTIF(Play!AQ24,Play!$BI$17)+COUNTIF(Play!AS22,Play!$BI$17)</f>
        <v>0</v>
      </c>
      <c r="N41" s="1">
        <f>COUNTIF(Play!AK32,Play!$BI$17)+COUNTIF(Play!AM30,Play!$BI$17)+COUNTIF(Play!AO28,Play!$BI$17)+COUNTIF(Play!AQ26,Play!$BI$17)+COUNTIF(Play!AS24,Play!$BI$17)+COUNTIF(Play!AU22,Play!$BI$17)</f>
        <v>0</v>
      </c>
      <c r="O41" s="1">
        <f>COUNTIF(Play!AM32,Play!$BI$17)+COUNTIF(Play!AO30,Play!$BI$17)+COUNTIF(Play!AQ28,Play!$BI$17)+COUNTIF(Play!AS26,Play!$BI$17)+COUNTIF(Play!AU24,Play!$BI$17)+COUNTIF(Play!AW22,Play!$BI$17)</f>
        <v>0</v>
      </c>
      <c r="W41" s="1">
        <f>COUNTIF(Play!M32,Play!$CF$17)+COUNTIF(Play!O30,Play!$CF$17)+COUNTIF(Play!Q28,Play!$CF$17)+COUNTIF(Play!S26,Play!$CF$17)+COUNTIF(Play!U24,Play!$CF$17)+COUNTIF(Play!W22,Play!$CF$17)</f>
        <v>0</v>
      </c>
      <c r="X41" s="1">
        <f>COUNTIF(Play!O32,Play!$CF$17)+COUNTIF(Play!Q30,Play!$CF$17)+COUNTIF(Play!S28,Play!$CF$17)+COUNTIF(Play!U26,Play!$CF$17)+COUNTIF(Play!W24,Play!$CF$17)+COUNTIF(Play!Y22,Play!$CF$17)</f>
        <v>0</v>
      </c>
      <c r="Y41" s="1">
        <f>COUNTIF(Play!Q32,Play!$CF$17)+COUNTIF(Play!S30,Play!$CF$17)+COUNTIF(Play!U28,Play!$CF$17)+COUNTIF(Play!W26,Play!$CF$17)+COUNTIF(Play!Y24,Play!$CF$17)+COUNTIF(Play!AA22,Play!$CF$17)</f>
        <v>0</v>
      </c>
      <c r="Z41" s="1">
        <f>COUNTIF(Play!S32,Play!$CF$17)+COUNTIF(Play!U30,Play!$CF$17)+COUNTIF(Play!W28,Play!$CF$17)+COUNTIF(Play!Y26,Play!$CF$17)+COUNTIF(Play!AA24,Play!$CF$17)+COUNTIF(Play!AC22,Play!$CF$17)</f>
        <v>0</v>
      </c>
      <c r="AA41" s="1">
        <f>COUNTIF(Play!U32,Play!$CF$17)+COUNTIF(Play!W30,Play!$CF$17)+COUNTIF(Play!Y28,Play!$CF$17)+COUNTIF(Play!AA26,Play!$CF$17)+COUNTIF(Play!AC24,Play!$CF$17)+COUNTIF(Play!AE22,Play!$CF$17)</f>
        <v>0</v>
      </c>
      <c r="AB41" s="1">
        <f>COUNTIF(Play!W32,Play!$CF$17)+COUNTIF(Play!Y30,Play!$CF$17)+COUNTIF(Play!AA28,Play!$CF$17)+COUNTIF(Play!AC26,Play!$CF$17)+COUNTIF(Play!AE24,Play!$CF$17)+COUNTIF(Play!AG22,Play!$CF$17)</f>
        <v>0</v>
      </c>
      <c r="AC41" s="1">
        <f>COUNTIF(Play!Y32,Play!$CF$17)+COUNTIF(Play!AA30,Play!$CF$17)+COUNTIF(Play!AC28,Play!$CF$17)+COUNTIF(Play!AE26,Play!$CF$17)+COUNTIF(Play!AG24,Play!$CF$17)+COUNTIF(Play!AI22,Play!$CF$17)</f>
        <v>0</v>
      </c>
      <c r="AD41" s="1">
        <f>COUNTIF(Play!AA32,Play!$CF$17)+COUNTIF(Play!AC30,Play!$CF$17)+COUNTIF(Play!AE28,Play!$CF$17)+COUNTIF(Play!AG26,Play!$CF$17)+COUNTIF(Play!AI24,Play!$CF$17)+COUNTIF(Play!AK22,Play!$CF$17)</f>
        <v>0</v>
      </c>
      <c r="AE41" s="1">
        <f>COUNTIF(Play!AC32,Play!$CF$17)+COUNTIF(Play!AE30,Play!$CF$17)+COUNTIF(Play!AG28,Play!$CF$17)+COUNTIF(Play!AI26,Play!$CF$17)+COUNTIF(Play!AK24,Play!$CF$17)+COUNTIF(Play!AM22,Play!$CF$17)</f>
        <v>0</v>
      </c>
      <c r="AF41" s="1">
        <f>COUNTIF(Play!AE32,Play!$CF$17)+COUNTIF(Play!AG30,Play!$CF$17)+COUNTIF(Play!AI28,Play!$CF$17)+COUNTIF(Play!AK26,Play!$CF$17)+COUNTIF(Play!AM24,Play!$CF$17)+COUNTIF(Play!AO22,Play!$CF$17)</f>
        <v>0</v>
      </c>
      <c r="AG41" s="1">
        <f>COUNTIF(Play!AG32,Play!$CF$17)+COUNTIF(Play!AI30,Play!$CF$17)+COUNTIF(Play!AK28,Play!$CF$17)+COUNTIF(Play!AM26,Play!$CF$17)+COUNTIF(Play!AO24,Play!$CF$17)+COUNTIF(Play!AQ22,Play!$CF$17)</f>
        <v>0</v>
      </c>
      <c r="AH41" s="1">
        <f>COUNTIF(Play!AI32,Play!$CF$17)+COUNTIF(Play!AK30,Play!$CF$17)+COUNTIF(Play!AM28,Play!$CF$17)+COUNTIF(Play!AO26,Play!$CF$17)+COUNTIF(Play!AQ24,Play!$CF$17)+COUNTIF(Play!AS22,Play!$CF$17)</f>
        <v>0</v>
      </c>
      <c r="AI41" s="1">
        <f>COUNTIF(Play!AK32,Play!$CF$17)+COUNTIF(Play!AM30,Play!$CF$17)+COUNTIF(Play!AO28,Play!$CF$17)+COUNTIF(Play!AQ26,Play!$CF$17)+COUNTIF(Play!AS24,Play!$CF$17)+COUNTIF(Play!AU22,Play!$CF$17)</f>
        <v>0</v>
      </c>
      <c r="AJ41" s="1">
        <f>COUNTIF(Play!AM32,Play!$CF$17)+COUNTIF(Play!AO30,Play!$CF$17)+COUNTIF(Play!AQ28,Play!$CF$17)+COUNTIF(Play!AS26,Play!$CF$17)+COUNTIF(Play!AU24,Play!$CF$17)+COUNTIF(Play!AW22,Play!$CF$17)</f>
        <v>0</v>
      </c>
    </row>
    <row r="42" spans="2:41" ht="13" customHeight="1">
      <c r="B42" s="1">
        <f>COUNTIF(Play!M24:W24,Play!$BI$17)</f>
        <v>0</v>
      </c>
      <c r="C42" s="1">
        <f>COUNTIF(Play!O24:Y24,Play!$BI$17)</f>
        <v>0</v>
      </c>
      <c r="D42" s="1">
        <f>COUNTIF(Play!Q24:AA24,Play!$BI$17)</f>
        <v>0</v>
      </c>
      <c r="E42" s="1">
        <f>COUNTIF(Play!S24:AC24,Play!$BI$17)</f>
        <v>0</v>
      </c>
      <c r="F42" s="1">
        <f>COUNTIF(Play!U24:AE24,Play!$BI$17)</f>
        <v>0</v>
      </c>
      <c r="G42" s="1">
        <f>COUNTIF(Play!W24:AG24,Play!$BI$17)</f>
        <v>0</v>
      </c>
      <c r="H42" s="1">
        <f>COUNTIF(Play!Y24:AI24,Play!$BI$17)</f>
        <v>0</v>
      </c>
      <c r="I42" s="1">
        <f>COUNTIF(Play!AA24:AK24,Play!$BI$17)</f>
        <v>0</v>
      </c>
      <c r="J42" s="1">
        <f>COUNTIF(Play!AC24:AM24,Play!$BI$17)</f>
        <v>0</v>
      </c>
      <c r="K42" s="1">
        <f>COUNTIF(Play!AE24:AO24,Play!$BI$17)</f>
        <v>0</v>
      </c>
      <c r="L42" s="1">
        <f>COUNTIF(Play!AG24:AQ24,Play!$BI$17)</f>
        <v>0</v>
      </c>
      <c r="M42" s="1">
        <f>COUNTIF(Play!AI24:AS24,Play!$BI$17)</f>
        <v>0</v>
      </c>
      <c r="N42" s="1">
        <f>COUNTIF(Play!AK24:AU24,Play!$BI$17)</f>
        <v>0</v>
      </c>
      <c r="O42" s="1">
        <f>COUNTIF(Play!AM24:AW24,Play!$BI$17)</f>
        <v>0</v>
      </c>
      <c r="W42" s="1">
        <f>COUNTIF(Play!M24:W24,Play!$CF$17)</f>
        <v>0</v>
      </c>
      <c r="X42" s="1">
        <f>COUNTIF(Play!O24:Y24,Play!$CF$17)</f>
        <v>0</v>
      </c>
      <c r="Y42" s="1">
        <f>COUNTIF(Play!Q24:AA24,Play!$CF$17)</f>
        <v>0</v>
      </c>
      <c r="Z42" s="1">
        <f>COUNTIF(Play!S24:AC24,Play!$CF$17)</f>
        <v>0</v>
      </c>
      <c r="AA42" s="1">
        <f>COUNTIF(Play!U24:AE24,Play!$CF$17)</f>
        <v>0</v>
      </c>
      <c r="AB42" s="1">
        <f>COUNTIF(Play!W24:AG24,Play!$CF$17)</f>
        <v>0</v>
      </c>
      <c r="AC42" s="1">
        <f>COUNTIF(Play!Y24:AI24,Play!$CF$17)</f>
        <v>0</v>
      </c>
      <c r="AD42" s="1">
        <f>COUNTIF(Play!AA24:AK24,Play!$CF$17)</f>
        <v>0</v>
      </c>
      <c r="AE42" s="1">
        <f>COUNTIF(Play!AC24:AM24,Play!$CF$17)</f>
        <v>0</v>
      </c>
      <c r="AF42" s="1">
        <f>COUNTIF(Play!AE24:AO24,Play!$CF$17)</f>
        <v>0</v>
      </c>
      <c r="AG42" s="1">
        <f>COUNTIF(Play!AG24:AQ24,Play!$CF$17)</f>
        <v>0</v>
      </c>
      <c r="AH42" s="1">
        <f>COUNTIF(Play!AI24:AS24,Play!$CF$17)</f>
        <v>0</v>
      </c>
      <c r="AI42" s="1">
        <f>COUNTIF(Play!AK24:AU24,Play!$CF$17)</f>
        <v>0</v>
      </c>
      <c r="AJ42" s="1">
        <f>COUNTIF(Play!AM24:AW24,Play!$CF$17)</f>
        <v>0</v>
      </c>
    </row>
    <row r="43" spans="2:41" ht="13" customHeight="1">
      <c r="B43" s="1">
        <f>COUNTIF(Play!M24:M34,Play!$BI$17)</f>
        <v>0</v>
      </c>
      <c r="C43" s="1">
        <f>COUNTIF(Play!O24:O34,Play!$BI$17)</f>
        <v>0</v>
      </c>
      <c r="D43" s="1">
        <f>COUNTIF(Play!Q24:Q34,Play!$BI$17)</f>
        <v>0</v>
      </c>
      <c r="E43" s="1">
        <f>COUNTIF(Play!S24:S34,Play!$BI$17)</f>
        <v>0</v>
      </c>
      <c r="F43" s="1">
        <f>COUNTIF(Play!U24:U34,Play!$BI$17)</f>
        <v>0</v>
      </c>
      <c r="G43" s="1">
        <f>COUNTIF(Play!W24:W34,Play!$BI$17)</f>
        <v>0</v>
      </c>
      <c r="H43" s="1">
        <f>COUNTIF(Play!Y24:Y34,Play!$BI$17)</f>
        <v>0</v>
      </c>
      <c r="I43" s="1">
        <f>COUNTIF(Play!AA24:AA34,Play!$BI$17)</f>
        <v>0</v>
      </c>
      <c r="J43" s="1">
        <f>COUNTIF(Play!AC24:AC34,Play!$BI$17)</f>
        <v>0</v>
      </c>
      <c r="K43" s="1">
        <f>COUNTIF(Play!AE24:AE34,Play!$BI$17)</f>
        <v>0</v>
      </c>
      <c r="L43" s="1">
        <f>COUNTIF(Play!AG24:AG34,Play!$BI$17)</f>
        <v>0</v>
      </c>
      <c r="M43" s="1">
        <f>COUNTIF(Play!AI24:AI34,Play!$BI$17)</f>
        <v>0</v>
      </c>
      <c r="N43" s="1">
        <f>COUNTIF(Play!AK24:AK34,Play!$BI$17)</f>
        <v>0</v>
      </c>
      <c r="O43" s="1">
        <f>COUNTIF(Play!AM24:AM34,Play!$BI$17)</f>
        <v>0</v>
      </c>
      <c r="P43" s="1">
        <f>COUNTIF(Play!AO24:AO34,Play!$BI$17)</f>
        <v>0</v>
      </c>
      <c r="Q43" s="1">
        <f>COUNTIF(Play!AQ24:AQ34,Play!$BI$17)</f>
        <v>0</v>
      </c>
      <c r="R43" s="1">
        <f>COUNTIF(Play!AS24:AS34,Play!$BI$17)</f>
        <v>0</v>
      </c>
      <c r="S43" s="1">
        <f>COUNTIF(Play!AU24:AU34,Play!$BI$17)</f>
        <v>0</v>
      </c>
      <c r="T43" s="1">
        <f>COUNTIF(Play!AW24:AW34,Play!$BI$17)</f>
        <v>0</v>
      </c>
      <c r="W43" s="1">
        <f>COUNTIF(Play!M24:M34,Play!$CF$17)</f>
        <v>0</v>
      </c>
      <c r="X43" s="1">
        <f>COUNTIF(Play!O24:O34,Play!$CF$17)</f>
        <v>0</v>
      </c>
      <c r="Y43" s="1">
        <f>COUNTIF(Play!Q24:Q34,Play!$CF$17)</f>
        <v>0</v>
      </c>
      <c r="Z43" s="1">
        <f>COUNTIF(Play!S24:S34,Play!$CF$17)</f>
        <v>0</v>
      </c>
      <c r="AA43" s="1">
        <f>COUNTIF(Play!U24:U34,Play!$CF$17)</f>
        <v>0</v>
      </c>
      <c r="AB43" s="1">
        <f>COUNTIF(Play!W24:W34,Play!$CF$17)</f>
        <v>0</v>
      </c>
      <c r="AC43" s="1">
        <f>COUNTIF(Play!Y24:Y34,Play!$CF$17)</f>
        <v>0</v>
      </c>
      <c r="AD43" s="1">
        <f>COUNTIF(Play!AA24:AA34,Play!$CF$17)</f>
        <v>0</v>
      </c>
      <c r="AE43" s="1">
        <f>COUNTIF(Play!AC24:AC34,Play!$CF$17)</f>
        <v>0</v>
      </c>
      <c r="AF43" s="1">
        <f>COUNTIF(Play!AE24:AE34,Play!$CF$17)</f>
        <v>0</v>
      </c>
      <c r="AG43" s="1">
        <f>COUNTIF(Play!AG24:AG34,Play!$CF$17)</f>
        <v>0</v>
      </c>
      <c r="AH43" s="1">
        <f>COUNTIF(Play!AI24:AI34,Play!$CF$17)</f>
        <v>0</v>
      </c>
      <c r="AI43" s="1">
        <f>COUNTIF(Play!AK24:AK34,Play!$CF$17)</f>
        <v>0</v>
      </c>
      <c r="AJ43" s="1">
        <f>COUNTIF(Play!AM24:AM34,Play!$CF$17)</f>
        <v>0</v>
      </c>
      <c r="AK43" s="1">
        <f>COUNTIF(Play!AO24:AO34,Play!$CF$17)</f>
        <v>0</v>
      </c>
      <c r="AL43" s="1">
        <f>COUNTIF(Play!AQ24:AQ34,Play!$CF$17)</f>
        <v>0</v>
      </c>
      <c r="AM43" s="1">
        <f>COUNTIF(Play!AS24:AS34,Play!$CF$17)</f>
        <v>0</v>
      </c>
      <c r="AN43" s="1">
        <f>COUNTIF(Play!AU24:AU34,Play!$CF$17)</f>
        <v>0</v>
      </c>
      <c r="AO43" s="1">
        <f>COUNTIF(Play!AW24:AW34,Play!$CF$17)</f>
        <v>0</v>
      </c>
    </row>
    <row r="44" spans="2:41" ht="13" customHeight="1">
      <c r="B44" s="1">
        <f>COUNTIF(Play!M24,Play!$BI$17)+COUNTIF(Play!O26,Play!$BI$17)+COUNTIF(Play!Q28,Play!$BI$17)+COUNTIF(Play!S30,Play!$BI$17)+COUNTIF(Play!U32,Play!$BI$17)+COUNTIF(Play!W34,Play!$BI$17)</f>
        <v>0</v>
      </c>
      <c r="C44" s="1">
        <f>COUNTIF(Play!O24,Play!$BI$17)+COUNTIF(Play!Q26,Play!$BI$17)+COUNTIF(Play!S28,Play!$BI$17)+COUNTIF(Play!U30,Play!$BI$17)+COUNTIF(Play!W32,Play!$BI$17)+COUNTIF(Play!Y34,Play!$BI$17)</f>
        <v>0</v>
      </c>
      <c r="D44" s="1">
        <f>COUNTIF(Play!Q24,Play!$BI$17)+COUNTIF(Play!S26,Play!$BI$17)+COUNTIF(Play!U28,Play!$BI$17)+COUNTIF(Play!W30,Play!$BI$17)+COUNTIF(Play!Y32,Play!$BI$17)+COUNTIF(Play!AA34,Play!$BI$17)</f>
        <v>0</v>
      </c>
      <c r="E44" s="1">
        <f>COUNTIF(Play!S24,Play!$BI$17)+COUNTIF(Play!U26,Play!$BI$17)+COUNTIF(Play!W28,Play!$BI$17)+COUNTIF(Play!Y30,Play!$BI$17)+COUNTIF(Play!AA32,Play!$BI$17)+COUNTIF(Play!AC34,Play!$BI$17)</f>
        <v>0</v>
      </c>
      <c r="F44" s="1">
        <f>COUNTIF(Play!U24,Play!$BI$17)+COUNTIF(Play!W26,Play!$BI$17)+COUNTIF(Play!Y28,Play!$BI$17)+COUNTIF(Play!AA30,Play!$BI$17)+COUNTIF(Play!AC32,Play!$BI$17)+COUNTIF(Play!AE34,Play!$BI$17)</f>
        <v>0</v>
      </c>
      <c r="G44" s="1">
        <f>COUNTIF(Play!W24,Play!$BI$17)+COUNTIF(Play!Y26,Play!$BI$17)+COUNTIF(Play!AA28,Play!$BI$17)+COUNTIF(Play!AC30,Play!$BI$17)+COUNTIF(Play!AE32,Play!$BI$17)+COUNTIF(Play!AG34,Play!$BI$17)</f>
        <v>0</v>
      </c>
      <c r="H44" s="1">
        <f>COUNTIF(Play!Y24,Play!$BI$17)+COUNTIF(Play!AA26,Play!$BI$17)+COUNTIF(Play!AC28,Play!$BI$17)+COUNTIF(Play!AE30,Play!$BI$17)+COUNTIF(Play!AG32,Play!$BI$17)+COUNTIF(Play!AI34,Play!$BI$17)</f>
        <v>0</v>
      </c>
      <c r="I44" s="1">
        <f>COUNTIF(Play!AA24,Play!$BI$17)+COUNTIF(Play!AC26,Play!$BI$17)+COUNTIF(Play!AE28,Play!$BI$17)+COUNTIF(Play!AG30,Play!$BI$17)+COUNTIF(Play!AI32,Play!$BI$17)+COUNTIF(Play!AK34,Play!$BI$17)</f>
        <v>0</v>
      </c>
      <c r="J44" s="1">
        <f>COUNTIF(Play!AC24,Play!$BI$17)+COUNTIF(Play!AE26,Play!$BI$17)+COUNTIF(Play!AG28,Play!$BI$17)+COUNTIF(Play!AI30,Play!$BI$17)+COUNTIF(Play!AK32,Play!$BI$17)+COUNTIF(Play!AM34,Play!$BI$17)</f>
        <v>0</v>
      </c>
      <c r="K44" s="1">
        <f>COUNTIF(Play!AE24,Play!$BI$17)+COUNTIF(Play!AG26,Play!$BI$17)+COUNTIF(Play!AI28,Play!$BI$17)+COUNTIF(Play!AK30,Play!$BI$17)+COUNTIF(Play!AM32,Play!$BI$17)+COUNTIF(Play!AO34,Play!$BI$17)</f>
        <v>0</v>
      </c>
      <c r="L44" s="1">
        <f>COUNTIF(Play!AG24,Play!$BI$17)+COUNTIF(Play!AI26,Play!$BI$17)+COUNTIF(Play!AK28,Play!$BI$17)+COUNTIF(Play!AM30,Play!$BI$17)+COUNTIF(Play!AO32,Play!$BI$17)+COUNTIF(Play!AQ34,Play!$BI$17)</f>
        <v>0</v>
      </c>
      <c r="M44" s="1">
        <f>COUNTIF(Play!AI24,Play!$BI$17)+COUNTIF(Play!AK26,Play!$BI$17)+COUNTIF(Play!AM28,Play!$BI$17)+COUNTIF(Play!AO30,Play!$BI$17)+COUNTIF(Play!AQ32,Play!$BI$17)+COUNTIF(Play!AS34,Play!$BI$17)</f>
        <v>0</v>
      </c>
      <c r="N44" s="1">
        <f>COUNTIF(Play!AK24,Play!$BI$17)+COUNTIF(Play!AM26,Play!$BI$17)+COUNTIF(Play!AO28,Play!$BI$17)+COUNTIF(Play!AQ30,Play!$BI$17)+COUNTIF(Play!AS32,Play!$BI$17)+COUNTIF(Play!AU34,Play!$BI$17)</f>
        <v>0</v>
      </c>
      <c r="O44" s="1">
        <f>COUNTIF(Play!AM24,Play!$BI$17)+COUNTIF(Play!AO26,Play!$BI$17)+COUNTIF(Play!AQ28,Play!$BI$17)+COUNTIF(Play!AS30,Play!$BI$17)+COUNTIF(Play!AU32,Play!$BI$17)+COUNTIF(Play!AW34,Play!$BI$17)</f>
        <v>0</v>
      </c>
      <c r="W44" s="1">
        <f>COUNTIF(Play!M24,Play!$CF$17)+COUNTIF(Play!O26,Play!$CF$17)+COUNTIF(Play!Q28,Play!$CF$17)+COUNTIF(Play!S30,Play!$CF$17)+COUNTIF(Play!U32,Play!$CF$17)+COUNTIF(Play!W34,Play!$CF$17)</f>
        <v>0</v>
      </c>
      <c r="X44" s="1">
        <f>COUNTIF(Play!O24,Play!$CF$17)+COUNTIF(Play!Q26,Play!$CF$17)+COUNTIF(Play!S28,Play!$CF$17)+COUNTIF(Play!U30,Play!$CF$17)+COUNTIF(Play!W32,Play!$CF$17)+COUNTIF(Play!Y34,Play!$CF$17)</f>
        <v>0</v>
      </c>
      <c r="Y44" s="1">
        <f>COUNTIF(Play!Q24,Play!$CF$17)+COUNTIF(Play!S26,Play!$CF$17)+COUNTIF(Play!U28,Play!$CF$17)+COUNTIF(Play!W30,Play!$CF$17)+COUNTIF(Play!Y32,Play!$CF$17)+COUNTIF(Play!AA34,Play!$CF$17)</f>
        <v>0</v>
      </c>
      <c r="Z44" s="1">
        <f>COUNTIF(Play!S24,Play!$CF$17)+COUNTIF(Play!U26,Play!$CF$17)+COUNTIF(Play!W28,Play!$CF$17)+COUNTIF(Play!Y30,Play!$CF$17)+COUNTIF(Play!AA32,Play!$CF$17)+COUNTIF(Play!AC34,Play!$CF$17)</f>
        <v>0</v>
      </c>
      <c r="AA44" s="1">
        <f>COUNTIF(Play!U24,Play!$CF$17)+COUNTIF(Play!W26,Play!$CF$17)+COUNTIF(Play!Y28,Play!$CF$17)+COUNTIF(Play!AA30,Play!$CF$17)+COUNTIF(Play!AC32,Play!$CF$17)+COUNTIF(Play!AE34,Play!$CF$17)</f>
        <v>0</v>
      </c>
      <c r="AB44" s="1">
        <f>COUNTIF(Play!W24,Play!$CF$17)+COUNTIF(Play!Y26,Play!$CF$17)+COUNTIF(Play!AA28,Play!$CF$17)+COUNTIF(Play!AC30,Play!$CF$17)+COUNTIF(Play!AE32,Play!$CF$17)+COUNTIF(Play!AG34,Play!$CF$17)</f>
        <v>0</v>
      </c>
      <c r="AC44" s="1">
        <f>COUNTIF(Play!Y24,Play!$CF$17)+COUNTIF(Play!AA26,Play!$CF$17)+COUNTIF(Play!AC28,Play!$CF$17)+COUNTIF(Play!AE30,Play!$CF$17)+COUNTIF(Play!AG32,Play!$CF$17)+COUNTIF(Play!AI34,Play!$CF$17)</f>
        <v>0</v>
      </c>
      <c r="AD44" s="1">
        <f>COUNTIF(Play!AA24,Play!$CF$17)+COUNTIF(Play!AC26,Play!$CF$17)+COUNTIF(Play!AE28,Play!$CF$17)+COUNTIF(Play!AG30,Play!$CF$17)+COUNTIF(Play!AI32,Play!$CF$17)+COUNTIF(Play!AK34,Play!$CF$17)</f>
        <v>0</v>
      </c>
      <c r="AE44" s="1">
        <f>COUNTIF(Play!AC24,Play!$CF$17)+COUNTIF(Play!AE26,Play!$CF$17)+COUNTIF(Play!AG28,Play!$CF$17)+COUNTIF(Play!AI30,Play!$CF$17)+COUNTIF(Play!AK32,Play!$CF$17)+COUNTIF(Play!AM34,Play!$CF$17)</f>
        <v>0</v>
      </c>
      <c r="AF44" s="1">
        <f>COUNTIF(Play!AE24,Play!$CF$17)+COUNTIF(Play!AG26,Play!$CF$17)+COUNTIF(Play!AI28,Play!$CF$17)+COUNTIF(Play!AK30,Play!$CF$17)+COUNTIF(Play!AM32,Play!$CF$17)+COUNTIF(Play!AO34,Play!$CF$17)</f>
        <v>0</v>
      </c>
      <c r="AG44" s="1">
        <f>COUNTIF(Play!AG24,Play!$CF$17)+COUNTIF(Play!AI26,Play!$CF$17)+COUNTIF(Play!AK28,Play!$CF$17)+COUNTIF(Play!AM30,Play!$CF$17)+COUNTIF(Play!AO32,Play!$CF$17)+COUNTIF(Play!AQ34,Play!$CF$17)</f>
        <v>0</v>
      </c>
      <c r="AH44" s="1">
        <f>COUNTIF(Play!AI24,Play!$CF$17)+COUNTIF(Play!AK26,Play!$CF$17)+COUNTIF(Play!AM28,Play!$CF$17)+COUNTIF(Play!AO30,Play!$CF$17)+COUNTIF(Play!AQ32,Play!$CF$17)+COUNTIF(Play!AS34,Play!$CF$17)</f>
        <v>0</v>
      </c>
      <c r="AI44" s="1">
        <f>COUNTIF(Play!AK24,Play!$CF$17)+COUNTIF(Play!AM26,Play!$CF$17)+COUNTIF(Play!AO28,Play!$CF$17)+COUNTIF(Play!AQ30,Play!$CF$17)+COUNTIF(Play!AS32,Play!$CF$17)+COUNTIF(Play!AU34,Play!$CF$17)</f>
        <v>0</v>
      </c>
      <c r="AJ44" s="1">
        <f>COUNTIF(Play!AM24,Play!$CF$17)+COUNTIF(Play!AO26,Play!$CF$17)+COUNTIF(Play!AQ28,Play!$CF$17)+COUNTIF(Play!AS30,Play!$CF$17)+COUNTIF(Play!AU32,Play!$CF$17)+COUNTIF(Play!AW34,Play!$CF$17)</f>
        <v>0</v>
      </c>
    </row>
    <row r="45" spans="2:41" ht="13" customHeight="1">
      <c r="B45" s="1">
        <f>COUNTIF(Play!M34,Play!$BI$17)+COUNTIF(Play!O32,Play!$BI$17)+COUNTIF(Play!Q30,Play!$BI$17)+COUNTIF(Play!S28,Play!$BI$17)+COUNTIF(Play!U26,Play!$BI$17)+COUNTIF(Play!W24,Play!$BI$17)</f>
        <v>0</v>
      </c>
      <c r="C45" s="1">
        <f>COUNTIF(Play!O34,Play!$BI$17)+COUNTIF(Play!Q32,Play!$BI$17)+COUNTIF(Play!S30,Play!$BI$17)+COUNTIF(Play!U28,Play!$BI$17)+COUNTIF(Play!W26,Play!$BI$17)+COUNTIF(Play!Y24,Play!$BI$17)</f>
        <v>0</v>
      </c>
      <c r="D45" s="1">
        <f>COUNTIF(Play!Q34,Play!$BI$17)+COUNTIF(Play!S32,Play!$BI$17)+COUNTIF(Play!U30,Play!$BI$17)+COUNTIF(Play!W28,Play!$BI$17)+COUNTIF(Play!Y26,Play!$BI$17)+COUNTIF(Play!AA24,Play!$BI$17)</f>
        <v>0</v>
      </c>
      <c r="E45" s="1">
        <f>COUNTIF(Play!S34,Play!$BI$17)+COUNTIF(Play!U32,Play!$BI$17)+COUNTIF(Play!W30,Play!$BI$17)+COUNTIF(Play!Y28,Play!$BI$17)+COUNTIF(Play!AA26,Play!$BI$17)+COUNTIF(Play!AC24,Play!$BI$17)</f>
        <v>0</v>
      </c>
      <c r="F45" s="1">
        <f>COUNTIF(Play!U34,Play!$BI$17)+COUNTIF(Play!W32,Play!$BI$17)+COUNTIF(Play!Y30,Play!$BI$17)+COUNTIF(Play!AA28,Play!$BI$17)+COUNTIF(Play!AC26,Play!$BI$17)+COUNTIF(Play!AE24,Play!$BI$17)</f>
        <v>0</v>
      </c>
      <c r="G45" s="1">
        <f>COUNTIF(Play!W34,Play!$BI$17)+COUNTIF(Play!Y32,Play!$BI$17)+COUNTIF(Play!AA30,Play!$BI$17)+COUNTIF(Play!AC28,Play!$BI$17)+COUNTIF(Play!AE26,Play!$BI$17)+COUNTIF(Play!AG24,Play!$BI$17)</f>
        <v>0</v>
      </c>
      <c r="H45" s="1">
        <f>COUNTIF(Play!Y34,Play!$BI$17)+COUNTIF(Play!AA32,Play!$BI$17)+COUNTIF(Play!AC30,Play!$BI$17)+COUNTIF(Play!AE28,Play!$BI$17)+COUNTIF(Play!AG26,Play!$BI$17)+COUNTIF(Play!AI24,Play!$BI$17)</f>
        <v>0</v>
      </c>
      <c r="I45" s="1">
        <f>COUNTIF(Play!AA34,Play!$BI$17)+COUNTIF(Play!AC32,Play!$BI$17)+COUNTIF(Play!AE30,Play!$BI$17)+COUNTIF(Play!AG28,Play!$BI$17)+COUNTIF(Play!AI26,Play!$BI$17)+COUNTIF(Play!AK24,Play!$BI$17)</f>
        <v>0</v>
      </c>
      <c r="J45" s="1">
        <f>COUNTIF(Play!AC34,Play!$BI$17)+COUNTIF(Play!AE32,Play!$BI$17)+COUNTIF(Play!AG30,Play!$BI$17)+COUNTIF(Play!AI28,Play!$BI$17)+COUNTIF(Play!AK26,Play!$BI$17)+COUNTIF(Play!AM24,Play!$BI$17)</f>
        <v>0</v>
      </c>
      <c r="K45" s="1">
        <f>COUNTIF(Play!AE34,Play!$BI$17)+COUNTIF(Play!AG32,Play!$BI$17)+COUNTIF(Play!AI30,Play!$BI$17)+COUNTIF(Play!AK28,Play!$BI$17)+COUNTIF(Play!AM26,Play!$BI$17)+COUNTIF(Play!AO24,Play!$BI$17)</f>
        <v>0</v>
      </c>
      <c r="L45" s="1">
        <f>COUNTIF(Play!AG34,Play!$BI$17)+COUNTIF(Play!AI32,Play!$BI$17)+COUNTIF(Play!AK30,Play!$BI$17)+COUNTIF(Play!AM28,Play!$BI$17)+COUNTIF(Play!AO26,Play!$BI$17)+COUNTIF(Play!AQ24,Play!$BI$17)</f>
        <v>0</v>
      </c>
      <c r="M45" s="1">
        <f>COUNTIF(Play!AI34,Play!$BI$17)+COUNTIF(Play!AK32,Play!$BI$17)+COUNTIF(Play!AM30,Play!$BI$17)+COUNTIF(Play!AO28,Play!$BI$17)+COUNTIF(Play!AQ26,Play!$BI$17)+COUNTIF(Play!AS24,Play!$BI$17)</f>
        <v>0</v>
      </c>
      <c r="N45" s="1">
        <f>COUNTIF(Play!AK34,Play!$BI$17)+COUNTIF(Play!AM32,Play!$BI$17)+COUNTIF(Play!AO30,Play!$BI$17)+COUNTIF(Play!AQ28,Play!$BI$17)+COUNTIF(Play!AS26,Play!$BI$17)+COUNTIF(Play!AU24,Play!$BI$17)</f>
        <v>0</v>
      </c>
      <c r="O45" s="1">
        <f>COUNTIF(Play!AM34,Play!$BI$17)+COUNTIF(Play!AO32,Play!$BI$17)+COUNTIF(Play!AQ30,Play!$BI$17)+COUNTIF(Play!AS28,Play!$BI$17)+COUNTIF(Play!AU26,Play!$BI$17)+COUNTIF(Play!AW24,Play!$BI$17)</f>
        <v>0</v>
      </c>
      <c r="W45" s="1">
        <f>COUNTIF(Play!M34,Play!$CF$17)+COUNTIF(Play!O32,Play!$CF$17)+COUNTIF(Play!Q30,Play!$CF$17)+COUNTIF(Play!S28,Play!$CF$17)+COUNTIF(Play!U26,Play!$CF$17)+COUNTIF(Play!W24,Play!$CF$17)</f>
        <v>0</v>
      </c>
      <c r="X45" s="1">
        <f>COUNTIF(Play!O34,Play!$CF$17)+COUNTIF(Play!Q32,Play!$CF$17)+COUNTIF(Play!S30,Play!$CF$17)+COUNTIF(Play!U28,Play!$CF$17)+COUNTIF(Play!W26,Play!$CF$17)+COUNTIF(Play!Y24,Play!$CF$17)</f>
        <v>0</v>
      </c>
      <c r="Y45" s="1">
        <f>COUNTIF(Play!Q34,Play!$CF$17)+COUNTIF(Play!S32,Play!$CF$17)+COUNTIF(Play!U30,Play!$CF$17)+COUNTIF(Play!W28,Play!$CF$17)+COUNTIF(Play!Y26,Play!$CF$17)+COUNTIF(Play!AA24,Play!$CF$17)</f>
        <v>0</v>
      </c>
      <c r="Z45" s="1">
        <f>COUNTIF(Play!S34,Play!$CF$17)+COUNTIF(Play!U32,Play!$CF$17)+COUNTIF(Play!W30,Play!$CF$17)+COUNTIF(Play!Y28,Play!$CF$17)+COUNTIF(Play!AA26,Play!$CF$17)+COUNTIF(Play!AC24,Play!$CF$17)</f>
        <v>0</v>
      </c>
      <c r="AA45" s="1">
        <f>COUNTIF(Play!U34,Play!$CF$17)+COUNTIF(Play!W32,Play!$CF$17)+COUNTIF(Play!Y30,Play!$CF$17)+COUNTIF(Play!AA28,Play!$CF$17)+COUNTIF(Play!AC26,Play!$CF$17)+COUNTIF(Play!AE24,Play!$CF$17)</f>
        <v>0</v>
      </c>
      <c r="AB45" s="1">
        <f>COUNTIF(Play!W34,Play!$CF$17)+COUNTIF(Play!Y32,Play!$CF$17)+COUNTIF(Play!AA30,Play!$CF$17)+COUNTIF(Play!AC28,Play!$CF$17)+COUNTIF(Play!AE26,Play!$CF$17)+COUNTIF(Play!AG24,Play!$CF$17)</f>
        <v>0</v>
      </c>
      <c r="AC45" s="1">
        <f>COUNTIF(Play!Y34,Play!$CF$17)+COUNTIF(Play!AA32,Play!$CF$17)+COUNTIF(Play!AC30,Play!$CF$17)+COUNTIF(Play!AE28,Play!$CF$17)+COUNTIF(Play!AG26,Play!$CF$17)+COUNTIF(Play!AI24,Play!$CF$17)</f>
        <v>0</v>
      </c>
      <c r="AD45" s="1">
        <f>COUNTIF(Play!AA34,Play!$CF$17)+COUNTIF(Play!AC32,Play!$CF$17)+COUNTIF(Play!AE30,Play!$CF$17)+COUNTIF(Play!AG28,Play!$CF$17)+COUNTIF(Play!AI26,Play!$CF$17)+COUNTIF(Play!AK24,Play!$CF$17)</f>
        <v>0</v>
      </c>
      <c r="AE45" s="1">
        <f>COUNTIF(Play!AC34,Play!$CF$17)+COUNTIF(Play!AE32,Play!$CF$17)+COUNTIF(Play!AG30,Play!$CF$17)+COUNTIF(Play!AI28,Play!$CF$17)+COUNTIF(Play!AK26,Play!$CF$17)+COUNTIF(Play!AM24,Play!$CF$17)</f>
        <v>0</v>
      </c>
      <c r="AF45" s="1">
        <f>COUNTIF(Play!AE34,Play!$CF$17)+COUNTIF(Play!AG32,Play!$CF$17)+COUNTIF(Play!AI30,Play!$CF$17)+COUNTIF(Play!AK28,Play!$CF$17)+COUNTIF(Play!AM26,Play!$CF$17)+COUNTIF(Play!AO24,Play!$CF$17)</f>
        <v>0</v>
      </c>
      <c r="AG45" s="1">
        <f>COUNTIF(Play!AG34,Play!$CF$17)+COUNTIF(Play!AI32,Play!$CF$17)+COUNTIF(Play!AK30,Play!$CF$17)+COUNTIF(Play!AM28,Play!$CF$17)+COUNTIF(Play!AO26,Play!$CF$17)+COUNTIF(Play!AQ24,Play!$CF$17)</f>
        <v>0</v>
      </c>
      <c r="AH45" s="1">
        <f>COUNTIF(Play!AI34,Play!$CF$17)+COUNTIF(Play!AK32,Play!$CF$17)+COUNTIF(Play!AM30,Play!$CF$17)+COUNTIF(Play!AO28,Play!$CF$17)+COUNTIF(Play!AQ26,Play!$CF$17)+COUNTIF(Play!AS24,Play!$CF$17)</f>
        <v>0</v>
      </c>
      <c r="AI45" s="1">
        <f>COUNTIF(Play!AK34,Play!$CF$17)+COUNTIF(Play!AM32,Play!$CF$17)+COUNTIF(Play!AO30,Play!$CF$17)+COUNTIF(Play!AQ28,Play!$CF$17)+COUNTIF(Play!AS26,Play!$CF$17)+COUNTIF(Play!AU24,Play!$CF$17)</f>
        <v>0</v>
      </c>
      <c r="AJ45" s="1">
        <f>COUNTIF(Play!AM34,Play!$CF$17)+COUNTIF(Play!AO32,Play!$CF$17)+COUNTIF(Play!AQ30,Play!$CF$17)+COUNTIF(Play!AS28,Play!$CF$17)+COUNTIF(Play!AU26,Play!$CF$17)+COUNTIF(Play!AW24,Play!$CF$17)</f>
        <v>0</v>
      </c>
    </row>
    <row r="46" spans="2:41" ht="13" customHeight="1">
      <c r="B46" s="1">
        <f>COUNTIF(Play!M26:W26,Play!$BI$17)</f>
        <v>0</v>
      </c>
      <c r="C46" s="1">
        <f>COUNTIF(Play!O26:Y26,Play!$BI$17)</f>
        <v>0</v>
      </c>
      <c r="D46" s="1">
        <f>COUNTIF(Play!Q26:AA26,Play!$BI$17)</f>
        <v>0</v>
      </c>
      <c r="E46" s="1">
        <f>COUNTIF(Play!S26:AC26,Play!$BI$17)</f>
        <v>0</v>
      </c>
      <c r="F46" s="1">
        <f>COUNTIF(Play!U26:AE26,Play!$BI$17)</f>
        <v>0</v>
      </c>
      <c r="G46" s="1">
        <f>COUNTIF(Play!W26:AG26,Play!$BI$17)</f>
        <v>0</v>
      </c>
      <c r="H46" s="1">
        <f>COUNTIF(Play!Y26:AI26,Play!$BI$17)</f>
        <v>0</v>
      </c>
      <c r="I46" s="1">
        <f>COUNTIF(Play!AA26:AK26,Play!$BI$17)</f>
        <v>0</v>
      </c>
      <c r="J46" s="1">
        <f>COUNTIF(Play!AC26:AM26,Play!$BI$17)</f>
        <v>0</v>
      </c>
      <c r="K46" s="1">
        <f>COUNTIF(Play!AE26:AO26,Play!$BI$17)</f>
        <v>0</v>
      </c>
      <c r="L46" s="1">
        <f>COUNTIF(Play!AG26:AQ26,Play!$BI$17)</f>
        <v>0</v>
      </c>
      <c r="M46" s="1">
        <f>COUNTIF(Play!AI26:AS26,Play!$BI$17)</f>
        <v>0</v>
      </c>
      <c r="N46" s="1">
        <f>COUNTIF(Play!AK26:AU26,Play!$BI$17)</f>
        <v>0</v>
      </c>
      <c r="O46" s="1">
        <f>COUNTIF(Play!AM26:AW26,Play!$BI$17)</f>
        <v>0</v>
      </c>
      <c r="W46" s="1">
        <f>COUNTIF(Play!M26:W26,Play!$CF$17)</f>
        <v>0</v>
      </c>
      <c r="X46" s="1">
        <f>COUNTIF(Play!O26:Y26,Play!$CF$17)</f>
        <v>0</v>
      </c>
      <c r="Y46" s="1">
        <f>COUNTIF(Play!Q26:AA26,Play!$CF$17)</f>
        <v>0</v>
      </c>
      <c r="Z46" s="1">
        <f>COUNTIF(Play!S26:AC26,Play!$CF$17)</f>
        <v>0</v>
      </c>
      <c r="AA46" s="1">
        <f>COUNTIF(Play!U26:AE26,Play!$CF$17)</f>
        <v>0</v>
      </c>
      <c r="AB46" s="1">
        <f>COUNTIF(Play!W26:AG26,Play!$CF$17)</f>
        <v>0</v>
      </c>
      <c r="AC46" s="1">
        <f>COUNTIF(Play!Y26:AI26,Play!$CF$17)</f>
        <v>0</v>
      </c>
      <c r="AD46" s="1">
        <f>COUNTIF(Play!AA26:AK26,Play!$CF$17)</f>
        <v>0</v>
      </c>
      <c r="AE46" s="1">
        <f>COUNTIF(Play!AC26:AM26,Play!$CF$17)</f>
        <v>0</v>
      </c>
      <c r="AF46" s="1">
        <f>COUNTIF(Play!AE26:AO26,Play!$CF$17)</f>
        <v>0</v>
      </c>
      <c r="AG46" s="1">
        <f>COUNTIF(Play!AG26:AQ26,Play!$CF$17)</f>
        <v>0</v>
      </c>
      <c r="AH46" s="1">
        <f>COUNTIF(Play!AI26:AS26,Play!$CF$17)</f>
        <v>0</v>
      </c>
      <c r="AI46" s="1">
        <f>COUNTIF(Play!AK26:AU26,Play!$CF$17)</f>
        <v>0</v>
      </c>
      <c r="AJ46" s="1">
        <f>COUNTIF(Play!AM26:AW26,Play!$CF$17)</f>
        <v>0</v>
      </c>
    </row>
    <row r="47" spans="2:41" ht="13" customHeight="1">
      <c r="B47" s="1">
        <f>COUNTIF(Play!M26:M36,Play!$BI$17)</f>
        <v>0</v>
      </c>
      <c r="C47" s="1">
        <f>COUNTIF(Play!O26:O36,Play!$BI$17)</f>
        <v>0</v>
      </c>
      <c r="D47" s="1">
        <f>COUNTIF(Play!Q26:Q36,Play!$BI$17)</f>
        <v>0</v>
      </c>
      <c r="E47" s="1">
        <f>COUNTIF(Play!S26:S36,Play!$BI$17)</f>
        <v>0</v>
      </c>
      <c r="F47" s="1">
        <f>COUNTIF(Play!U26:U36,Play!$BI$17)</f>
        <v>0</v>
      </c>
      <c r="G47" s="1">
        <f>COUNTIF(Play!W26:W36,Play!$BI$17)</f>
        <v>0</v>
      </c>
      <c r="H47" s="1">
        <f>COUNTIF(Play!Y26:Y36,Play!$BI$17)</f>
        <v>0</v>
      </c>
      <c r="I47" s="1">
        <f>COUNTIF(Play!AA26:AA36,Play!$BI$17)</f>
        <v>0</v>
      </c>
      <c r="J47" s="1">
        <f>COUNTIF(Play!AC26:AC36,Play!$BI$17)</f>
        <v>0</v>
      </c>
      <c r="K47" s="1">
        <f>COUNTIF(Play!AE26:AE36,Play!$BI$17)</f>
        <v>0</v>
      </c>
      <c r="L47" s="1">
        <f>COUNTIF(Play!AG26:AG36,Play!$BI$17)</f>
        <v>0</v>
      </c>
      <c r="M47" s="1">
        <f>COUNTIF(Play!AI26:AI36,Play!$BI$17)</f>
        <v>0</v>
      </c>
      <c r="N47" s="1">
        <f>COUNTIF(Play!AK26:AK36,Play!$BI$17)</f>
        <v>0</v>
      </c>
      <c r="O47" s="1">
        <f>COUNTIF(Play!AM26:AM36,Play!$BI$17)</f>
        <v>0</v>
      </c>
      <c r="P47" s="1">
        <f>COUNTIF(Play!AO26:AO36,Play!$BI$17)</f>
        <v>0</v>
      </c>
      <c r="Q47" s="1">
        <f>COUNTIF(Play!AQ26:AQ36,Play!$BI$17)</f>
        <v>0</v>
      </c>
      <c r="R47" s="1">
        <f>COUNTIF(Play!AS26:AS36,Play!$BI$17)</f>
        <v>0</v>
      </c>
      <c r="S47" s="1">
        <f>COUNTIF(Play!AU26:AU36,Play!$BI$17)</f>
        <v>0</v>
      </c>
      <c r="T47" s="1">
        <f>COUNTIF(Play!AW26:AW36,Play!$BI$17)</f>
        <v>0</v>
      </c>
      <c r="W47" s="1">
        <f>COUNTIF(Play!M26:M36,Play!$CF$17)</f>
        <v>0</v>
      </c>
      <c r="X47" s="1">
        <f>COUNTIF(Play!O26:O36,Play!$CF$17)</f>
        <v>0</v>
      </c>
      <c r="Y47" s="1">
        <f>COUNTIF(Play!Q26:Q36,Play!$CF$17)</f>
        <v>0</v>
      </c>
      <c r="Z47" s="1">
        <f>COUNTIF(Play!S26:S36,Play!$CF$17)</f>
        <v>0</v>
      </c>
      <c r="AA47" s="1">
        <f>COUNTIF(Play!U26:U36,Play!$CF$17)</f>
        <v>0</v>
      </c>
      <c r="AB47" s="1">
        <f>COUNTIF(Play!W26:W36,Play!$CF$17)</f>
        <v>0</v>
      </c>
      <c r="AC47" s="1">
        <f>COUNTIF(Play!Y26:Y36,Play!$CF$17)</f>
        <v>0</v>
      </c>
      <c r="AD47" s="1">
        <f>COUNTIF(Play!AA26:AA36,Play!$CF$17)</f>
        <v>0</v>
      </c>
      <c r="AE47" s="1">
        <f>COUNTIF(Play!AC26:AC36,Play!$CF$17)</f>
        <v>0</v>
      </c>
      <c r="AF47" s="1">
        <f>COUNTIF(Play!AE26:AE36,Play!$CF$17)</f>
        <v>0</v>
      </c>
      <c r="AG47" s="1">
        <f>COUNTIF(Play!AG26:AG36,Play!$CF$17)</f>
        <v>0</v>
      </c>
      <c r="AH47" s="1">
        <f>COUNTIF(Play!AI26:AI36,Play!$CF$17)</f>
        <v>0</v>
      </c>
      <c r="AI47" s="1">
        <f>COUNTIF(Play!AK26:AK36,Play!$CF$17)</f>
        <v>0</v>
      </c>
      <c r="AJ47" s="1">
        <f>COUNTIF(Play!AM26:AM36,Play!$CF$17)</f>
        <v>0</v>
      </c>
      <c r="AK47" s="1">
        <f>COUNTIF(Play!AO26:AO36,Play!$CF$17)</f>
        <v>0</v>
      </c>
      <c r="AL47" s="1">
        <f>COUNTIF(Play!AQ26:AQ36,Play!$CF$17)</f>
        <v>0</v>
      </c>
      <c r="AM47" s="1">
        <f>COUNTIF(Play!AS26:AS36,Play!$CF$17)</f>
        <v>0</v>
      </c>
      <c r="AN47" s="1">
        <f>COUNTIF(Play!AU26:AU36,Play!$CF$17)</f>
        <v>0</v>
      </c>
      <c r="AO47" s="1">
        <f>COUNTIF(Play!AW26:AW36,Play!$CF$17)</f>
        <v>0</v>
      </c>
    </row>
    <row r="48" spans="2:41" ht="13" customHeight="1">
      <c r="B48" s="1">
        <f>COUNTIF(Play!M26,Play!$BI$17)+COUNTIF(Play!O28,Play!$BI$17)+COUNTIF(Play!Q30,Play!$BI$17)+COUNTIF(Play!S32,Play!$BI$17)+COUNTIF(Play!U34,Play!$BI$17)+COUNTIF(Play!W36,Play!$BI$17)</f>
        <v>0</v>
      </c>
      <c r="C48" s="1">
        <f>COUNTIF(Play!O26,Play!$BI$17)+COUNTIF(Play!Q28,Play!$BI$17)+COUNTIF(Play!S30,Play!$BI$17)+COUNTIF(Play!U32,Play!$BI$17)+COUNTIF(Play!W34,Play!$BI$17)+COUNTIF(Play!Y36,Play!$BI$17)</f>
        <v>0</v>
      </c>
      <c r="D48" s="1">
        <f>COUNTIF(Play!Q26,Play!$BI$17)+COUNTIF(Play!S28,Play!$BI$17)+COUNTIF(Play!U30,Play!$BI$17)+COUNTIF(Play!W32,Play!$BI$17)+COUNTIF(Play!Y34,Play!$BI$17)+COUNTIF(Play!AA36,Play!$BI$17)</f>
        <v>0</v>
      </c>
      <c r="E48" s="1">
        <f>COUNTIF(Play!S26,Play!$BI$17)+COUNTIF(Play!U28,Play!$BI$17)+COUNTIF(Play!W30,Play!$BI$17)+COUNTIF(Play!Y32,Play!$BI$17)+COUNTIF(Play!AA34,Play!$BI$17)+COUNTIF(Play!AC36,Play!$BI$17)</f>
        <v>0</v>
      </c>
      <c r="F48" s="1">
        <f>COUNTIF(Play!U26,Play!$BI$17)+COUNTIF(Play!W28,Play!$BI$17)+COUNTIF(Play!Y30,Play!$BI$17)+COUNTIF(Play!AA32,Play!$BI$17)+COUNTIF(Play!AC34,Play!$BI$17)+COUNTIF(Play!AE36,Play!$BI$17)</f>
        <v>0</v>
      </c>
      <c r="G48" s="1">
        <f>COUNTIF(Play!W26,Play!$BI$17)+COUNTIF(Play!Y28,Play!$BI$17)+COUNTIF(Play!AA30,Play!$BI$17)+COUNTIF(Play!AC32,Play!$BI$17)+COUNTIF(Play!AE34,Play!$BI$17)+COUNTIF(Play!AG36,Play!$BI$17)</f>
        <v>0</v>
      </c>
      <c r="H48" s="1">
        <f>COUNTIF(Play!Y26,Play!$BI$17)+COUNTIF(Play!AA28,Play!$BI$17)+COUNTIF(Play!AC30,Play!$BI$17)+COUNTIF(Play!AE32,Play!$BI$17)+COUNTIF(Play!AG34,Play!$BI$17)+COUNTIF(Play!AI36,Play!$BI$17)</f>
        <v>0</v>
      </c>
      <c r="I48" s="1">
        <f>COUNTIF(Play!AA26,Play!$BI$17)+COUNTIF(Play!AC28,Play!$BI$17)+COUNTIF(Play!AE30,Play!$BI$17)+COUNTIF(Play!AG32,Play!$BI$17)+COUNTIF(Play!AI34,Play!$BI$17)+COUNTIF(Play!AK36,Play!$BI$17)</f>
        <v>0</v>
      </c>
      <c r="J48" s="1">
        <f>COUNTIF(Play!AC26,Play!$BI$17)+COUNTIF(Play!AE28,Play!$BI$17)+COUNTIF(Play!AG30,Play!$BI$17)+COUNTIF(Play!AI32,Play!$BI$17)+COUNTIF(Play!AK34,Play!$BI$17)+COUNTIF(Play!AM36,Play!$BI$17)</f>
        <v>0</v>
      </c>
      <c r="K48" s="1">
        <f>COUNTIF(Play!AE26,Play!$BI$17)+COUNTIF(Play!AG28,Play!$BI$17)+COUNTIF(Play!AI30,Play!$BI$17)+COUNTIF(Play!AK32,Play!$BI$17)+COUNTIF(Play!AM34,Play!$BI$17)+COUNTIF(Play!AO36,Play!$BI$17)</f>
        <v>0</v>
      </c>
      <c r="L48" s="1">
        <f>COUNTIF(Play!AG26,Play!$BI$17)+COUNTIF(Play!AI28,Play!$BI$17)+COUNTIF(Play!AK30,Play!$BI$17)+COUNTIF(Play!AM32,Play!$BI$17)+COUNTIF(Play!AO34,Play!$BI$17)+COUNTIF(Play!AQ36,Play!$BI$17)</f>
        <v>0</v>
      </c>
      <c r="M48" s="1">
        <f>COUNTIF(Play!AI26,Play!$BI$17)+COUNTIF(Play!AK28,Play!$BI$17)+COUNTIF(Play!AM30,Play!$BI$17)+COUNTIF(Play!AO32,Play!$BI$17)+COUNTIF(Play!AQ34,Play!$BI$17)+COUNTIF(Play!AS36,Play!$BI$17)</f>
        <v>0</v>
      </c>
      <c r="N48" s="1">
        <f>COUNTIF(Play!AK26,Play!$BI$17)+COUNTIF(Play!AM28,Play!$BI$17)+COUNTIF(Play!AO30,Play!$BI$17)+COUNTIF(Play!AQ32,Play!$BI$17)+COUNTIF(Play!AS34,Play!$BI$17)+COUNTIF(Play!AU36,Play!$BI$17)</f>
        <v>0</v>
      </c>
      <c r="O48" s="1">
        <f>COUNTIF(Play!AM26,Play!$BI$17)+COUNTIF(Play!AO28,Play!$BI$17)+COUNTIF(Play!AQ30,Play!$BI$17)+COUNTIF(Play!AS32,Play!$BI$17)+COUNTIF(Play!AU34,Play!$BI$17)+COUNTIF(Play!AW36,Play!$BI$17)</f>
        <v>0</v>
      </c>
      <c r="W48" s="1">
        <f>COUNTIF(Play!M26,Play!$CF$17)+COUNTIF(Play!O28,Play!$CF$17)+COUNTIF(Play!Q30,Play!$CF$17)+COUNTIF(Play!S32,Play!$CF$17)+COUNTIF(Play!U34,Play!$CF$17)+COUNTIF(Play!W36,Play!$CF$17)</f>
        <v>0</v>
      </c>
      <c r="X48" s="1">
        <f>COUNTIF(Play!O26,Play!$CF$17)+COUNTIF(Play!Q28,Play!$CF$17)+COUNTIF(Play!S30,Play!$CF$17)+COUNTIF(Play!U32,Play!$CF$17)+COUNTIF(Play!W34,Play!$CF$17)+COUNTIF(Play!Y36,Play!$CF$17)</f>
        <v>0</v>
      </c>
      <c r="Y48" s="1">
        <f>COUNTIF(Play!Q26,Play!$CF$17)+COUNTIF(Play!S28,Play!$CF$17)+COUNTIF(Play!U30,Play!$CF$17)+COUNTIF(Play!W32,Play!$CF$17)+COUNTIF(Play!Y34,Play!$CF$17)+COUNTIF(Play!AA36,Play!$CF$17)</f>
        <v>0</v>
      </c>
      <c r="Z48" s="1">
        <f>COUNTIF(Play!S26,Play!$CF$17)+COUNTIF(Play!U28,Play!$CF$17)+COUNTIF(Play!W30,Play!$CF$17)+COUNTIF(Play!Y32,Play!$CF$17)+COUNTIF(Play!AA34,Play!$CF$17)+COUNTIF(Play!AC36,Play!$CF$17)</f>
        <v>0</v>
      </c>
      <c r="AA48" s="1">
        <f>COUNTIF(Play!U26,Play!$CF$17)+COUNTIF(Play!W28,Play!$CF$17)+COUNTIF(Play!Y30,Play!$CF$17)+COUNTIF(Play!AA32,Play!$CF$17)+COUNTIF(Play!AC34,Play!$CF$17)+COUNTIF(Play!AE36,Play!$CF$17)</f>
        <v>0</v>
      </c>
      <c r="AB48" s="1">
        <f>COUNTIF(Play!W26,Play!$CF$17)+COUNTIF(Play!Y28,Play!$CF$17)+COUNTIF(Play!AA30,Play!$CF$17)+COUNTIF(Play!AC32,Play!$CF$17)+COUNTIF(Play!AE34,Play!$CF$17)+COUNTIF(Play!AG36,Play!$CF$17)</f>
        <v>0</v>
      </c>
      <c r="AC48" s="1">
        <f>COUNTIF(Play!Y26,Play!$CF$17)+COUNTIF(Play!AA28,Play!$CF$17)+COUNTIF(Play!AC30,Play!$CF$17)+COUNTIF(Play!AE32,Play!$CF$17)+COUNTIF(Play!AG34,Play!$CF$17)+COUNTIF(Play!AI36,Play!$CF$17)</f>
        <v>0</v>
      </c>
      <c r="AD48" s="1">
        <f>COUNTIF(Play!AA26,Play!$CF$17)+COUNTIF(Play!AC28,Play!$CF$17)+COUNTIF(Play!AE30,Play!$CF$17)+COUNTIF(Play!AG32,Play!$CF$17)+COUNTIF(Play!AI34,Play!$CF$17)+COUNTIF(Play!AK36,Play!$CF$17)</f>
        <v>0</v>
      </c>
      <c r="AE48" s="1">
        <f>COUNTIF(Play!AC26,Play!$CF$17)+COUNTIF(Play!AE28,Play!$CF$17)+COUNTIF(Play!AG30,Play!$CF$17)+COUNTIF(Play!AI32,Play!$CF$17)+COUNTIF(Play!AK34,Play!$CF$17)+COUNTIF(Play!AM36,Play!$CF$17)</f>
        <v>0</v>
      </c>
      <c r="AF48" s="1">
        <f>COUNTIF(Play!AE26,Play!$CF$17)+COUNTIF(Play!AG28,Play!$CF$17)+COUNTIF(Play!AI30,Play!$CF$17)+COUNTIF(Play!AK32,Play!$CF$17)+COUNTIF(Play!AM34,Play!$CF$17)+COUNTIF(Play!AO36,Play!$CF$17)</f>
        <v>0</v>
      </c>
      <c r="AG48" s="1">
        <f>COUNTIF(Play!AG26,Play!$CF$17)+COUNTIF(Play!AI28,Play!$CF$17)+COUNTIF(Play!AK30,Play!$CF$17)+COUNTIF(Play!AM32,Play!$CF$17)+COUNTIF(Play!AO34,Play!$CF$17)+COUNTIF(Play!AQ36,Play!$CF$17)</f>
        <v>0</v>
      </c>
      <c r="AH48" s="1">
        <f>COUNTIF(Play!AI26,Play!$CF$17)+COUNTIF(Play!AK28,Play!$CF$17)+COUNTIF(Play!AM30,Play!$CF$17)+COUNTIF(Play!AO32,Play!$CF$17)+COUNTIF(Play!AQ34,Play!$CF$17)+COUNTIF(Play!AS36,Play!$CF$17)</f>
        <v>0</v>
      </c>
      <c r="AI48" s="1">
        <f>COUNTIF(Play!AK26,Play!$CF$17)+COUNTIF(Play!AM28,Play!$CF$17)+COUNTIF(Play!AO30,Play!$CF$17)+COUNTIF(Play!AQ32,Play!$CF$17)+COUNTIF(Play!AS34,Play!$CF$17)+COUNTIF(Play!AU36,Play!$CF$17)</f>
        <v>0</v>
      </c>
      <c r="AJ48" s="1">
        <f>COUNTIF(Play!AM26,Play!$CF$17)+COUNTIF(Play!AO28,Play!$CF$17)+COUNTIF(Play!AQ30,Play!$CF$17)+COUNTIF(Play!AS32,Play!$CF$17)+COUNTIF(Play!AU34,Play!$CF$17)+COUNTIF(Play!AW36,Play!$CF$17)</f>
        <v>0</v>
      </c>
    </row>
    <row r="49" spans="2:41" ht="13" customHeight="1">
      <c r="B49" s="1">
        <f>COUNTIF(Play!M36,Play!$BI$17)+COUNTIF(Play!O34,Play!$BI$17)+COUNTIF(Play!Q32,Play!$BI$17)+COUNTIF(Play!S30,Play!$BI$17)+COUNTIF(Play!U28,Play!$BI$17)+COUNTIF(Play!W26,Play!$BI$17)</f>
        <v>0</v>
      </c>
      <c r="C49" s="1">
        <f>COUNTIF(Play!O36,Play!$BI$17)+COUNTIF(Play!Q34,Play!$BI$17)+COUNTIF(Play!S32,Play!$BI$17)+COUNTIF(Play!U30,Play!$BI$17)+COUNTIF(Play!W28,Play!$BI$17)+COUNTIF(Play!Y26,Play!$BI$17)</f>
        <v>0</v>
      </c>
      <c r="D49" s="1">
        <f>COUNTIF(Play!Q36,Play!$BI$17)+COUNTIF(Play!S34,Play!$BI$17)+COUNTIF(Play!U32,Play!$BI$17)+COUNTIF(Play!W30,Play!$BI$17)+COUNTIF(Play!Y28,Play!$BI$17)+COUNTIF(Play!AA26,Play!$BI$17)</f>
        <v>0</v>
      </c>
      <c r="E49" s="1">
        <f>COUNTIF(Play!S36,Play!$BI$17)+COUNTIF(Play!U34,Play!$BI$17)+COUNTIF(Play!W32,Play!$BI$17)+COUNTIF(Play!Y30,Play!$BI$17)+COUNTIF(Play!AA28,Play!$BI$17)+COUNTIF(Play!AC26,Play!$BI$17)</f>
        <v>0</v>
      </c>
      <c r="F49" s="1">
        <f>COUNTIF(Play!U36,Play!$BI$17)+COUNTIF(Play!W34,Play!$BI$17)+COUNTIF(Play!Y32,Play!$BI$17)+COUNTIF(Play!AA30,Play!$BI$17)+COUNTIF(Play!AC28,Play!$BI$17)+COUNTIF(Play!AE26,Play!$BI$17)</f>
        <v>0</v>
      </c>
      <c r="G49" s="1">
        <f>COUNTIF(Play!W36,Play!$BI$17)+COUNTIF(Play!Y34,Play!$BI$17)+COUNTIF(Play!AA32,Play!$BI$17)+COUNTIF(Play!AC30,Play!$BI$17)+COUNTIF(Play!AE28,Play!$BI$17)+COUNTIF(Play!AG26,Play!$BI$17)</f>
        <v>0</v>
      </c>
      <c r="H49" s="1">
        <f>COUNTIF(Play!Y36,Play!$BI$17)+COUNTIF(Play!AA34,Play!$BI$17)+COUNTIF(Play!AC32,Play!$BI$17)+COUNTIF(Play!AE30,Play!$BI$17)+COUNTIF(Play!AG28,Play!$BI$17)+COUNTIF(Play!AI26,Play!$BI$17)</f>
        <v>0</v>
      </c>
      <c r="I49" s="1">
        <f>COUNTIF(Play!AA36,Play!$BI$17)+COUNTIF(Play!AC34,Play!$BI$17)+COUNTIF(Play!AE32,Play!$BI$17)+COUNTIF(Play!AG30,Play!$BI$17)+COUNTIF(Play!AI28,Play!$BI$17)+COUNTIF(Play!AK26,Play!$BI$17)</f>
        <v>0</v>
      </c>
      <c r="J49" s="1">
        <f>COUNTIF(Play!AC36,Play!$BI$17)+COUNTIF(Play!AE34,Play!$BI$17)+COUNTIF(Play!AG32,Play!$BI$17)+COUNTIF(Play!AI30,Play!$BI$17)+COUNTIF(Play!AK28,Play!$BI$17)+COUNTIF(Play!AM26,Play!$BI$17)</f>
        <v>0</v>
      </c>
      <c r="K49" s="1">
        <f>COUNTIF(Play!AE36,Play!$BI$17)+COUNTIF(Play!AG34,Play!$BI$17)+COUNTIF(Play!AI32,Play!$BI$17)+COUNTIF(Play!AK30,Play!$BI$17)+COUNTIF(Play!AM28,Play!$BI$17)+COUNTIF(Play!AO26,Play!$BI$17)</f>
        <v>0</v>
      </c>
      <c r="L49" s="1">
        <f>COUNTIF(Play!AG36,Play!$BI$17)+COUNTIF(Play!AI34,Play!$BI$17)+COUNTIF(Play!AK32,Play!$BI$17)+COUNTIF(Play!AM30,Play!$BI$17)+COUNTIF(Play!AO28,Play!$BI$17)+COUNTIF(Play!AQ26,Play!$BI$17)</f>
        <v>0</v>
      </c>
      <c r="M49" s="1">
        <f>COUNTIF(Play!AI36,Play!$BI$17)+COUNTIF(Play!AK34,Play!$BI$17)+COUNTIF(Play!AM32,Play!$BI$17)+COUNTIF(Play!AO30,Play!$BI$17)+COUNTIF(Play!AQ28,Play!$BI$17)+COUNTIF(Play!AS26,Play!$BI$17)</f>
        <v>0</v>
      </c>
      <c r="N49" s="1">
        <f>COUNTIF(Play!AK36,Play!$BI$17)+COUNTIF(Play!AM34,Play!$BI$17)+COUNTIF(Play!AO32,Play!$BI$17)+COUNTIF(Play!AQ30,Play!$BI$17)+COUNTIF(Play!AS28,Play!$BI$17)+COUNTIF(Play!AU26,Play!$BI$17)</f>
        <v>0</v>
      </c>
      <c r="O49" s="1">
        <f>COUNTIF(Play!AM36,Play!$BI$17)+COUNTIF(Play!AO34,Play!$BI$17)+COUNTIF(Play!AQ32,Play!$BI$17)+COUNTIF(Play!AS30,Play!$BI$17)+COUNTIF(Play!AU28,Play!$BI$17)+COUNTIF(Play!AW26,Play!$BI$17)</f>
        <v>0</v>
      </c>
      <c r="W49" s="1">
        <f>COUNTIF(Play!M36,Play!$CF$17)+COUNTIF(Play!O34,Play!$CF$17)+COUNTIF(Play!Q32,Play!$CF$17)+COUNTIF(Play!S30,Play!$CF$17)+COUNTIF(Play!U28,Play!$CF$17)+COUNTIF(Play!W26,Play!$CF$17)</f>
        <v>0</v>
      </c>
      <c r="X49" s="1">
        <f>COUNTIF(Play!O36,Play!$CF$17)+COUNTIF(Play!Q34,Play!$CF$17)+COUNTIF(Play!S32,Play!$CF$17)+COUNTIF(Play!U30,Play!$CF$17)+COUNTIF(Play!W28,Play!$CF$17)+COUNTIF(Play!Y26,Play!$CF$17)</f>
        <v>0</v>
      </c>
      <c r="Y49" s="1">
        <f>COUNTIF(Play!Q36,Play!$CF$17)+COUNTIF(Play!S34,Play!$CF$17)+COUNTIF(Play!U32,Play!$CF$17)+COUNTIF(Play!W30,Play!$CF$17)+COUNTIF(Play!Y28,Play!$CF$17)+COUNTIF(Play!AA26,Play!$CF$17)</f>
        <v>0</v>
      </c>
      <c r="Z49" s="1">
        <f>COUNTIF(Play!S36,Play!$CF$17)+COUNTIF(Play!U34,Play!$CF$17)+COUNTIF(Play!W32,Play!$CF$17)+COUNTIF(Play!Y30,Play!$CF$17)+COUNTIF(Play!AA28,Play!$CF$17)+COUNTIF(Play!AC26,Play!$CF$17)</f>
        <v>0</v>
      </c>
      <c r="AA49" s="1">
        <f>COUNTIF(Play!U36,Play!$CF$17)+COUNTIF(Play!W34,Play!$CF$17)+COUNTIF(Play!Y32,Play!$CF$17)+COUNTIF(Play!AA30,Play!$CF$17)+COUNTIF(Play!AC28,Play!$CF$17)+COUNTIF(Play!AE26,Play!$CF$17)</f>
        <v>0</v>
      </c>
      <c r="AB49" s="1">
        <f>COUNTIF(Play!W36,Play!$CF$17)+COUNTIF(Play!Y34,Play!$CF$17)+COUNTIF(Play!AA32,Play!$CF$17)+COUNTIF(Play!AC30,Play!$CF$17)+COUNTIF(Play!AE28,Play!$CF$17)+COUNTIF(Play!AG26,Play!$CF$17)</f>
        <v>0</v>
      </c>
      <c r="AC49" s="1">
        <f>COUNTIF(Play!Y36,Play!$CF$17)+COUNTIF(Play!AA34,Play!$CF$17)+COUNTIF(Play!AC32,Play!$CF$17)+COUNTIF(Play!AE30,Play!$CF$17)+COUNTIF(Play!AG28,Play!$CF$17)+COUNTIF(Play!AI26,Play!$CF$17)</f>
        <v>0</v>
      </c>
      <c r="AD49" s="1">
        <f>COUNTIF(Play!AA36,Play!$CF$17)+COUNTIF(Play!AC34,Play!$CF$17)+COUNTIF(Play!AE32,Play!$CF$17)+COUNTIF(Play!AG30,Play!$CF$17)+COUNTIF(Play!AI28,Play!$CF$17)+COUNTIF(Play!AK26,Play!$CF$17)</f>
        <v>0</v>
      </c>
      <c r="AE49" s="1">
        <f>COUNTIF(Play!AC36,Play!$CF$17)+COUNTIF(Play!AE34,Play!$CF$17)+COUNTIF(Play!AG32,Play!$CF$17)+COUNTIF(Play!AI30,Play!$CF$17)+COUNTIF(Play!AK28,Play!$CF$17)+COUNTIF(Play!AM26,Play!$CF$17)</f>
        <v>0</v>
      </c>
      <c r="AF49" s="1">
        <f>COUNTIF(Play!AE36,Play!$CF$17)+COUNTIF(Play!AG34,Play!$CF$17)+COUNTIF(Play!AI32,Play!$CF$17)+COUNTIF(Play!AK30,Play!$CF$17)+COUNTIF(Play!AM28,Play!$CF$17)+COUNTIF(Play!AO26,Play!$CF$17)</f>
        <v>0</v>
      </c>
      <c r="AG49" s="1">
        <f>COUNTIF(Play!AG36,Play!$CF$17)+COUNTIF(Play!AI34,Play!$CF$17)+COUNTIF(Play!AK32,Play!$CF$17)+COUNTIF(Play!AM30,Play!$CF$17)+COUNTIF(Play!AO28,Play!$CF$17)+COUNTIF(Play!AQ26,Play!$CF$17)</f>
        <v>0</v>
      </c>
      <c r="AH49" s="1">
        <f>COUNTIF(Play!AI36,Play!$CF$17)+COUNTIF(Play!AK34,Play!$CF$17)+COUNTIF(Play!AM32,Play!$CF$17)+COUNTIF(Play!AO30,Play!$CF$17)+COUNTIF(Play!AQ28,Play!$CF$17)+COUNTIF(Play!AS26,Play!$CF$17)</f>
        <v>0</v>
      </c>
      <c r="AI49" s="1">
        <f>COUNTIF(Play!AK36,Play!$CF$17)+COUNTIF(Play!AM34,Play!$CF$17)+COUNTIF(Play!AO32,Play!$CF$17)+COUNTIF(Play!AQ30,Play!$CF$17)+COUNTIF(Play!AS28,Play!$CF$17)+COUNTIF(Play!AU26,Play!$CF$17)</f>
        <v>0</v>
      </c>
      <c r="AJ49" s="1">
        <f>COUNTIF(Play!AM36,Play!$CF$17)+COUNTIF(Play!AO34,Play!$CF$17)+COUNTIF(Play!AQ32,Play!$CF$17)+COUNTIF(Play!AS30,Play!$CF$17)+COUNTIF(Play!AU28,Play!$CF$17)+COUNTIF(Play!AW26,Play!$CF$17)</f>
        <v>0</v>
      </c>
    </row>
    <row r="50" spans="2:41" ht="13" customHeight="1">
      <c r="B50" s="1">
        <f>COUNTIF(Play!M28:W28,Play!$BI$17)</f>
        <v>0</v>
      </c>
      <c r="C50" s="1">
        <f>COUNTIF(Play!O28:Y28,Play!$BI$17)</f>
        <v>0</v>
      </c>
      <c r="D50" s="1">
        <f>COUNTIF(Play!Q28:AA28,Play!$BI$17)</f>
        <v>0</v>
      </c>
      <c r="E50" s="1">
        <f>COUNTIF(Play!S28:AC28,Play!$BI$17)</f>
        <v>0</v>
      </c>
      <c r="F50" s="1">
        <f>COUNTIF(Play!U28:AE28,Play!$BI$17)</f>
        <v>0</v>
      </c>
      <c r="G50" s="1">
        <f>COUNTIF(Play!W28:AG28,Play!$BI$17)</f>
        <v>0</v>
      </c>
      <c r="H50" s="1">
        <f>COUNTIF(Play!Y28:AI28,Play!$BI$17)</f>
        <v>0</v>
      </c>
      <c r="I50" s="1">
        <f>COUNTIF(Play!AA28:AK28,Play!$BI$17)</f>
        <v>0</v>
      </c>
      <c r="J50" s="1">
        <f>COUNTIF(Play!AC28:AM28,Play!$BI$17)</f>
        <v>0</v>
      </c>
      <c r="K50" s="1">
        <f>COUNTIF(Play!AE28:AO28,Play!$BI$17)</f>
        <v>0</v>
      </c>
      <c r="L50" s="1">
        <f>COUNTIF(Play!AG28:AQ28,Play!$BI$17)</f>
        <v>0</v>
      </c>
      <c r="M50" s="1">
        <f>COUNTIF(Play!AI28:AS28,Play!$BI$17)</f>
        <v>0</v>
      </c>
      <c r="N50" s="1">
        <f>COUNTIF(Play!AK28:AU28,Play!$BI$17)</f>
        <v>0</v>
      </c>
      <c r="O50" s="1">
        <f>COUNTIF(Play!AM28:AW28,Play!$BI$17)</f>
        <v>0</v>
      </c>
      <c r="W50" s="1">
        <f>COUNTIF(Play!M28:W28,Play!$CF$17)</f>
        <v>0</v>
      </c>
      <c r="X50" s="1">
        <f>COUNTIF(Play!O28:Y28,Play!$CF$17)</f>
        <v>0</v>
      </c>
      <c r="Y50" s="1">
        <f>COUNTIF(Play!Q28:AA28,Play!$CF$17)</f>
        <v>0</v>
      </c>
      <c r="Z50" s="1">
        <f>COUNTIF(Play!S28:AC28,Play!$CF$17)</f>
        <v>0</v>
      </c>
      <c r="AA50" s="1">
        <f>COUNTIF(Play!U28:AE28,Play!$CF$17)</f>
        <v>0</v>
      </c>
      <c r="AB50" s="1">
        <f>COUNTIF(Play!W28:AG28,Play!$CF$17)</f>
        <v>0</v>
      </c>
      <c r="AC50" s="1">
        <f>COUNTIF(Play!Y28:AI28,Play!$CF$17)</f>
        <v>0</v>
      </c>
      <c r="AD50" s="1">
        <f>COUNTIF(Play!AA28:AK28,Play!$CF$17)</f>
        <v>0</v>
      </c>
      <c r="AE50" s="1">
        <f>COUNTIF(Play!AC28:AM28,Play!$CF$17)</f>
        <v>0</v>
      </c>
      <c r="AF50" s="1">
        <f>COUNTIF(Play!AE28:AO28,Play!$CF$17)</f>
        <v>0</v>
      </c>
      <c r="AG50" s="1">
        <f>COUNTIF(Play!AG28:AQ28,Play!$CF$17)</f>
        <v>0</v>
      </c>
      <c r="AH50" s="1">
        <f>COUNTIF(Play!AI28:AS28,Play!$CF$17)</f>
        <v>0</v>
      </c>
      <c r="AI50" s="1">
        <f>COUNTIF(Play!AK28:AU28,Play!$CF$17)</f>
        <v>0</v>
      </c>
      <c r="AJ50" s="1">
        <f>COUNTIF(Play!AM28:AW28,Play!$CF$17)</f>
        <v>0</v>
      </c>
    </row>
    <row r="51" spans="2:41" ht="13" customHeight="1">
      <c r="B51" s="1">
        <f>COUNTIF(Play!M28:M38,Play!$BI$17)</f>
        <v>0</v>
      </c>
      <c r="C51" s="1">
        <f>COUNTIF(Play!O28:O38,Play!$BI$17)</f>
        <v>0</v>
      </c>
      <c r="D51" s="1">
        <f>COUNTIF(Play!Q28:Q38,Play!$BI$17)</f>
        <v>0</v>
      </c>
      <c r="E51" s="1">
        <f>COUNTIF(Play!S28:S38,Play!$BI$17)</f>
        <v>0</v>
      </c>
      <c r="F51" s="1">
        <f>COUNTIF(Play!U28:U38,Play!$BI$17)</f>
        <v>0</v>
      </c>
      <c r="G51" s="1">
        <f>COUNTIF(Play!W28:W38,Play!$BI$17)</f>
        <v>0</v>
      </c>
      <c r="H51" s="1">
        <f>COUNTIF(Play!Y28:Y38,Play!$BI$17)</f>
        <v>0</v>
      </c>
      <c r="I51" s="1">
        <f>COUNTIF(Play!AA28:AA38,Play!$BI$17)</f>
        <v>0</v>
      </c>
      <c r="J51" s="1">
        <f>COUNTIF(Play!AC28:AC38,Play!$BI$17)</f>
        <v>0</v>
      </c>
      <c r="K51" s="1">
        <f>COUNTIF(Play!AE28:AE38,Play!$BI$17)</f>
        <v>0</v>
      </c>
      <c r="L51" s="1">
        <f>COUNTIF(Play!AG28:AG38,Play!$BI$17)</f>
        <v>0</v>
      </c>
      <c r="M51" s="1">
        <f>COUNTIF(Play!AI28:AI38,Play!$BI$17)</f>
        <v>0</v>
      </c>
      <c r="N51" s="1">
        <f>COUNTIF(Play!AK28:AK38,Play!$BI$17)</f>
        <v>0</v>
      </c>
      <c r="O51" s="1">
        <f>COUNTIF(Play!AM28:AM38,Play!$BI$17)</f>
        <v>0</v>
      </c>
      <c r="P51" s="1">
        <f>COUNTIF(Play!AO28:AO38,Play!$BI$17)</f>
        <v>0</v>
      </c>
      <c r="Q51" s="1">
        <f>COUNTIF(Play!AQ28:AQ38,Play!$BI$17)</f>
        <v>0</v>
      </c>
      <c r="R51" s="1">
        <f>COUNTIF(Play!AS28:AS38,Play!$BI$17)</f>
        <v>0</v>
      </c>
      <c r="S51" s="1">
        <f>COUNTIF(Play!AU28:AU38,Play!$BI$17)</f>
        <v>0</v>
      </c>
      <c r="T51" s="1">
        <f>COUNTIF(Play!AW28:AW38,Play!$BI$17)</f>
        <v>0</v>
      </c>
      <c r="W51" s="1">
        <f>COUNTIF(Play!M28:M38,Play!$CF$17)</f>
        <v>0</v>
      </c>
      <c r="X51" s="1">
        <f>COUNTIF(Play!O28:O38,Play!$CF$17)</f>
        <v>0</v>
      </c>
      <c r="Y51" s="1">
        <f>COUNTIF(Play!Q28:Q38,Play!$CF$17)</f>
        <v>0</v>
      </c>
      <c r="Z51" s="1">
        <f>COUNTIF(Play!S28:S38,Play!$CF$17)</f>
        <v>0</v>
      </c>
      <c r="AA51" s="1">
        <f>COUNTIF(Play!U28:U38,Play!$CF$17)</f>
        <v>0</v>
      </c>
      <c r="AB51" s="1">
        <f>COUNTIF(Play!W28:W38,Play!$CF$17)</f>
        <v>0</v>
      </c>
      <c r="AC51" s="1">
        <f>COUNTIF(Play!Y28:Y38,Play!$CF$17)</f>
        <v>0</v>
      </c>
      <c r="AD51" s="1">
        <f>COUNTIF(Play!AA28:AA38,Play!$CF$17)</f>
        <v>0</v>
      </c>
      <c r="AE51" s="1">
        <f>COUNTIF(Play!AC28:AC38,Play!$CF$17)</f>
        <v>0</v>
      </c>
      <c r="AF51" s="1">
        <f>COUNTIF(Play!AE28:AE38,Play!$CF$17)</f>
        <v>0</v>
      </c>
      <c r="AG51" s="1">
        <f>COUNTIF(Play!AG28:AG38,Play!$CF$17)</f>
        <v>0</v>
      </c>
      <c r="AH51" s="1">
        <f>COUNTIF(Play!AI28:AI38,Play!$CF$17)</f>
        <v>0</v>
      </c>
      <c r="AI51" s="1">
        <f>COUNTIF(Play!AK28:AK38,Play!$CF$17)</f>
        <v>0</v>
      </c>
      <c r="AJ51" s="1">
        <f>COUNTIF(Play!AM28:AM38,Play!$CF$17)</f>
        <v>0</v>
      </c>
      <c r="AK51" s="1">
        <f>COUNTIF(Play!AO28:AO38,Play!$CF$17)</f>
        <v>0</v>
      </c>
      <c r="AL51" s="1">
        <f>COUNTIF(Play!AQ28:AQ38,Play!$CF$17)</f>
        <v>0</v>
      </c>
      <c r="AM51" s="1">
        <f>COUNTIF(Play!AS28:AS38,Play!$CF$17)</f>
        <v>0</v>
      </c>
      <c r="AN51" s="1">
        <f>COUNTIF(Play!AU28:AU38,Play!$CF$17)</f>
        <v>0</v>
      </c>
      <c r="AO51" s="1">
        <f>COUNTIF(Play!AW28:AW38,Play!$CF$17)</f>
        <v>0</v>
      </c>
    </row>
    <row r="52" spans="2:41" ht="13" customHeight="1">
      <c r="B52" s="1">
        <f>COUNTIF(Play!M28,Play!$BI$17)+COUNTIF(Play!O30,Play!$BI$17)+COUNTIF(Play!Q32,Play!$BI$17)+COUNTIF(Play!S34,Play!$BI$17)+COUNTIF(Play!U36,Play!$BI$17)+COUNTIF(Play!W38,Play!$BI$17)</f>
        <v>0</v>
      </c>
      <c r="C52" s="1">
        <f>COUNTIF(Play!O28,Play!$BI$17)+COUNTIF(Play!Q30,Play!$BI$17)+COUNTIF(Play!S32,Play!$BI$17)+COUNTIF(Play!U34,Play!$BI$17)+COUNTIF(Play!W36,Play!$BI$17)+COUNTIF(Play!Y38,Play!$BI$17)</f>
        <v>0</v>
      </c>
      <c r="D52" s="1">
        <f>COUNTIF(Play!Q28,Play!$BI$17)+COUNTIF(Play!S30,Play!$BI$17)+COUNTIF(Play!U32,Play!$BI$17)+COUNTIF(Play!W34,Play!$BI$17)+COUNTIF(Play!Y36,Play!$BI$17)+COUNTIF(Play!AA38,Play!$BI$17)</f>
        <v>0</v>
      </c>
      <c r="E52" s="1">
        <f>COUNTIF(Play!S28,Play!$BI$17)+COUNTIF(Play!U30,Play!$BI$17)+COUNTIF(Play!W32,Play!$BI$17)+COUNTIF(Play!Y34,Play!$BI$17)+COUNTIF(Play!AA36,Play!$BI$17)+COUNTIF(Play!AC38,Play!$BI$17)</f>
        <v>0</v>
      </c>
      <c r="F52" s="1">
        <f>COUNTIF(Play!U28,Play!$BI$17)+COUNTIF(Play!W30,Play!$BI$17)+COUNTIF(Play!Y32,Play!$BI$17)+COUNTIF(Play!AA34,Play!$BI$17)+COUNTIF(Play!AC36,Play!$BI$17)+COUNTIF(Play!AE38,Play!$BI$17)</f>
        <v>0</v>
      </c>
      <c r="G52" s="1">
        <f>COUNTIF(Play!W28,Play!$BI$17)+COUNTIF(Play!Y30,Play!$BI$17)+COUNTIF(Play!AA32,Play!$BI$17)+COUNTIF(Play!AC34,Play!$BI$17)+COUNTIF(Play!AE36,Play!$BI$17)+COUNTIF(Play!AG38,Play!$BI$17)</f>
        <v>0</v>
      </c>
      <c r="H52" s="1">
        <f>COUNTIF(Play!Y28,Play!$BI$17)+COUNTIF(Play!AA30,Play!$BI$17)+COUNTIF(Play!AC32,Play!$BI$17)+COUNTIF(Play!AE34,Play!$BI$17)+COUNTIF(Play!AG36,Play!$BI$17)+COUNTIF(Play!AI38,Play!$BI$17)</f>
        <v>0</v>
      </c>
      <c r="I52" s="1">
        <f>COUNTIF(Play!AA28,Play!$BI$17)+COUNTIF(Play!AC30,Play!$BI$17)+COUNTIF(Play!AE32,Play!$BI$17)+COUNTIF(Play!AG34,Play!$BI$17)+COUNTIF(Play!AI36,Play!$BI$17)+COUNTIF(Play!AK38,Play!$BI$17)</f>
        <v>0</v>
      </c>
      <c r="J52" s="1">
        <f>COUNTIF(Play!AC28,Play!$BI$17)+COUNTIF(Play!AE30,Play!$BI$17)+COUNTIF(Play!AG32,Play!$BI$17)+COUNTIF(Play!AI34,Play!$BI$17)+COUNTIF(Play!AK36,Play!$BI$17)+COUNTIF(Play!AM38,Play!$BI$17)</f>
        <v>0</v>
      </c>
      <c r="K52" s="1">
        <f>COUNTIF(Play!AE28,Play!$BI$17)+COUNTIF(Play!AG30,Play!$BI$17)+COUNTIF(Play!AI32,Play!$BI$17)+COUNTIF(Play!AK34,Play!$BI$17)+COUNTIF(Play!AM36,Play!$BI$17)+COUNTIF(Play!AO38,Play!$BI$17)</f>
        <v>0</v>
      </c>
      <c r="L52" s="1">
        <f>COUNTIF(Play!AG28,Play!$BI$17)+COUNTIF(Play!AI30,Play!$BI$17)+COUNTIF(Play!AK32,Play!$BI$17)+COUNTIF(Play!AM34,Play!$BI$17)+COUNTIF(Play!AO36,Play!$BI$17)+COUNTIF(Play!AQ38,Play!$BI$17)</f>
        <v>0</v>
      </c>
      <c r="M52" s="1">
        <f>COUNTIF(Play!AI28,Play!$BI$17)+COUNTIF(Play!AK30,Play!$BI$17)+COUNTIF(Play!AM32,Play!$BI$17)+COUNTIF(Play!AO34,Play!$BI$17)+COUNTIF(Play!AQ36,Play!$BI$17)+COUNTIF(Play!AS38,Play!$BI$17)</f>
        <v>0</v>
      </c>
      <c r="N52" s="1">
        <f>COUNTIF(Play!AK28,Play!$BI$17)+COUNTIF(Play!AM30,Play!$BI$17)+COUNTIF(Play!AO32,Play!$BI$17)+COUNTIF(Play!AQ34,Play!$BI$17)+COUNTIF(Play!AS36,Play!$BI$17)+COUNTIF(Play!AU38,Play!$BI$17)</f>
        <v>0</v>
      </c>
      <c r="O52" s="1">
        <f>COUNTIF(Play!AM28,Play!$BI$17)+COUNTIF(Play!AO30,Play!$BI$17)+COUNTIF(Play!AQ32,Play!$BI$17)+COUNTIF(Play!AS34,Play!$BI$17)+COUNTIF(Play!AU36,Play!$BI$17)+COUNTIF(Play!AW38,Play!$BI$17)</f>
        <v>0</v>
      </c>
      <c r="W52" s="1">
        <f>COUNTIF(Play!M28,Play!$CF$17)+COUNTIF(Play!O30,Play!$CF$17)+COUNTIF(Play!Q32,Play!$CF$17)+COUNTIF(Play!S34,Play!$CF$17)+COUNTIF(Play!U36,Play!$CF$17)+COUNTIF(Play!W38,Play!$CF$17)</f>
        <v>0</v>
      </c>
      <c r="X52" s="1">
        <f>COUNTIF(Play!O28,Play!$CF$17)+COUNTIF(Play!Q30,Play!$CF$17)+COUNTIF(Play!S32,Play!$CF$17)+COUNTIF(Play!U34,Play!$CF$17)+COUNTIF(Play!W36,Play!$CF$17)+COUNTIF(Play!Y38,Play!$CF$17)</f>
        <v>0</v>
      </c>
      <c r="Y52" s="1">
        <f>COUNTIF(Play!Q28,Play!$CF$17)+COUNTIF(Play!S30,Play!$CF$17)+COUNTIF(Play!U32,Play!$CF$17)+COUNTIF(Play!W34,Play!$CF$17)+COUNTIF(Play!Y36,Play!$CF$17)+COUNTIF(Play!AA38,Play!$CF$17)</f>
        <v>0</v>
      </c>
      <c r="Z52" s="1">
        <f>COUNTIF(Play!S28,Play!$CF$17)+COUNTIF(Play!U30,Play!$CF$17)+COUNTIF(Play!W32,Play!$CF$17)+COUNTIF(Play!Y34,Play!$CF$17)+COUNTIF(Play!AA36,Play!$CF$17)+COUNTIF(Play!AC38,Play!$CF$17)</f>
        <v>0</v>
      </c>
      <c r="AA52" s="1">
        <f>COUNTIF(Play!U28,Play!$CF$17)+COUNTIF(Play!W30,Play!$CF$17)+COUNTIF(Play!Y32,Play!$CF$17)+COUNTIF(Play!AA34,Play!$CF$17)+COUNTIF(Play!AC36,Play!$CF$17)+COUNTIF(Play!AE38,Play!$CF$17)</f>
        <v>0</v>
      </c>
      <c r="AB52" s="1">
        <f>COUNTIF(Play!W28,Play!$CF$17)+COUNTIF(Play!Y30,Play!$CF$17)+COUNTIF(Play!AA32,Play!$CF$17)+COUNTIF(Play!AC34,Play!$CF$17)+COUNTIF(Play!AE36,Play!$CF$17)+COUNTIF(Play!AG38,Play!$CF$17)</f>
        <v>0</v>
      </c>
      <c r="AC52" s="1">
        <f>COUNTIF(Play!Y28,Play!$CF$17)+COUNTIF(Play!AA30,Play!$CF$17)+COUNTIF(Play!AC32,Play!$CF$17)+COUNTIF(Play!AE34,Play!$CF$17)+COUNTIF(Play!AG36,Play!$CF$17)+COUNTIF(Play!AI38,Play!$CF$17)</f>
        <v>0</v>
      </c>
      <c r="AD52" s="1">
        <f>COUNTIF(Play!AA28,Play!$CF$17)+COUNTIF(Play!AC30,Play!$CF$17)+COUNTIF(Play!AE32,Play!$CF$17)+COUNTIF(Play!AG34,Play!$CF$17)+COUNTIF(Play!AI36,Play!$CF$17)+COUNTIF(Play!AK38,Play!$CF$17)</f>
        <v>0</v>
      </c>
      <c r="AE52" s="1">
        <f>COUNTIF(Play!AC28,Play!$CF$17)+COUNTIF(Play!AE30,Play!$CF$17)+COUNTIF(Play!AG32,Play!$CF$17)+COUNTIF(Play!AI34,Play!$CF$17)+COUNTIF(Play!AK36,Play!$CF$17)+COUNTIF(Play!AM38,Play!$CF$17)</f>
        <v>0</v>
      </c>
      <c r="AF52" s="1">
        <f>COUNTIF(Play!AE28,Play!$CF$17)+COUNTIF(Play!AG30,Play!$CF$17)+COUNTIF(Play!AI32,Play!$CF$17)+COUNTIF(Play!AK34,Play!$CF$17)+COUNTIF(Play!AM36,Play!$CF$17)+COUNTIF(Play!AO38,Play!$CF$17)</f>
        <v>0</v>
      </c>
      <c r="AG52" s="1">
        <f>COUNTIF(Play!AG28,Play!$CF$17)+COUNTIF(Play!AI30,Play!$CF$17)+COUNTIF(Play!AK32,Play!$CF$17)+COUNTIF(Play!AM34,Play!$CF$17)+COUNTIF(Play!AO36,Play!$CF$17)+COUNTIF(Play!AQ38,Play!$CF$17)</f>
        <v>0</v>
      </c>
      <c r="AH52" s="1">
        <f>COUNTIF(Play!AI28,Play!$CF$17)+COUNTIF(Play!AK30,Play!$CF$17)+COUNTIF(Play!AM32,Play!$CF$17)+COUNTIF(Play!AO34,Play!$CF$17)+COUNTIF(Play!AQ36,Play!$CF$17)+COUNTIF(Play!AS38,Play!$CF$17)</f>
        <v>0</v>
      </c>
      <c r="AI52" s="1">
        <f>COUNTIF(Play!AK28,Play!$CF$17)+COUNTIF(Play!AM30,Play!$CF$17)+COUNTIF(Play!AO32,Play!$CF$17)+COUNTIF(Play!AQ34,Play!$CF$17)+COUNTIF(Play!AS36,Play!$CF$17)+COUNTIF(Play!AU38,Play!$CF$17)</f>
        <v>0</v>
      </c>
      <c r="AJ52" s="1">
        <f>COUNTIF(Play!AM28,Play!$CF$17)+COUNTIF(Play!AO30,Play!$CF$17)+COUNTIF(Play!AQ32,Play!$CF$17)+COUNTIF(Play!AS34,Play!$CF$17)+COUNTIF(Play!AU36,Play!$CF$17)+COUNTIF(Play!AW38,Play!$CF$17)</f>
        <v>0</v>
      </c>
    </row>
    <row r="53" spans="2:41" ht="13" customHeight="1">
      <c r="B53" s="1">
        <f>COUNTIF(Play!M38,Play!$BI$17)+COUNTIF(Play!O36,Play!$BI$17)+COUNTIF(Play!Q34,Play!$BI$17)+COUNTIF(Play!S32,Play!$BI$17)+COUNTIF(Play!U30,Play!$BI$17)+COUNTIF(Play!W28,Play!$BI$17)</f>
        <v>0</v>
      </c>
      <c r="C53" s="1">
        <f>COUNTIF(Play!O38,Play!$BI$17)+COUNTIF(Play!Q36,Play!$BI$17)+COUNTIF(Play!S34,Play!$BI$17)+COUNTIF(Play!U32,Play!$BI$17)+COUNTIF(Play!W30,Play!$BI$17)+COUNTIF(Play!Y28,Play!$BI$17)</f>
        <v>0</v>
      </c>
      <c r="D53" s="1">
        <f>COUNTIF(Play!Q38,Play!$BI$17)+COUNTIF(Play!S36,Play!$BI$17)+COUNTIF(Play!U34,Play!$BI$17)+COUNTIF(Play!W32,Play!$BI$17)+COUNTIF(Play!Y30,Play!$BI$17)+COUNTIF(Play!AA28,Play!$BI$17)</f>
        <v>0</v>
      </c>
      <c r="E53" s="1">
        <f>COUNTIF(Play!S38,Play!$BI$17)+COUNTIF(Play!U36,Play!$BI$17)+COUNTIF(Play!W34,Play!$BI$17)+COUNTIF(Play!Y32,Play!$BI$17)+COUNTIF(Play!AA30,Play!$BI$17)+COUNTIF(Play!AC28,Play!$BI$17)</f>
        <v>0</v>
      </c>
      <c r="F53" s="1">
        <f>COUNTIF(Play!U38,Play!$BI$17)+COUNTIF(Play!W36,Play!$BI$17)+COUNTIF(Play!Y34,Play!$BI$17)+COUNTIF(Play!AA32,Play!$BI$17)+COUNTIF(Play!AC30,Play!$BI$17)+COUNTIF(Play!AE28,Play!$BI$17)</f>
        <v>0</v>
      </c>
      <c r="G53" s="1">
        <f>COUNTIF(Play!W38,Play!$BI$17)+COUNTIF(Play!Y36,Play!$BI$17)+COUNTIF(Play!AA34,Play!$BI$17)+COUNTIF(Play!AC32,Play!$BI$17)+COUNTIF(Play!AE30,Play!$BI$17)+COUNTIF(Play!AG28,Play!$BI$17)</f>
        <v>0</v>
      </c>
      <c r="H53" s="1">
        <f>COUNTIF(Play!Y38,Play!$BI$17)+COUNTIF(Play!AA36,Play!$BI$17)+COUNTIF(Play!AC34,Play!$BI$17)+COUNTIF(Play!AE32,Play!$BI$17)+COUNTIF(Play!AG30,Play!$BI$17)+COUNTIF(Play!AI28,Play!$BI$17)</f>
        <v>0</v>
      </c>
      <c r="I53" s="1">
        <f>COUNTIF(Play!AA38,Play!$BI$17)+COUNTIF(Play!AC36,Play!$BI$17)+COUNTIF(Play!AE34,Play!$BI$17)+COUNTIF(Play!AG32,Play!$BI$17)+COUNTIF(Play!AI30,Play!$BI$17)+COUNTIF(Play!AK28,Play!$BI$17)</f>
        <v>0</v>
      </c>
      <c r="J53" s="1">
        <f>COUNTIF(Play!AC38,Play!$BI$17)+COUNTIF(Play!AE36,Play!$BI$17)+COUNTIF(Play!AG34,Play!$BI$17)+COUNTIF(Play!AI32,Play!$BI$17)+COUNTIF(Play!AK30,Play!$BI$17)+COUNTIF(Play!AM28,Play!$BI$17)</f>
        <v>0</v>
      </c>
      <c r="K53" s="1">
        <f>COUNTIF(Play!AE38,Play!$BI$17)+COUNTIF(Play!AG36,Play!$BI$17)+COUNTIF(Play!AI34,Play!$BI$17)+COUNTIF(Play!AK32,Play!$BI$17)+COUNTIF(Play!AM30,Play!$BI$17)+COUNTIF(Play!AO28,Play!$BI$17)</f>
        <v>0</v>
      </c>
      <c r="L53" s="1">
        <f>COUNTIF(Play!AG38,Play!$BI$17)+COUNTIF(Play!AI36,Play!$BI$17)+COUNTIF(Play!AK34,Play!$BI$17)+COUNTIF(Play!AM32,Play!$BI$17)+COUNTIF(Play!AO30,Play!$BI$17)+COUNTIF(Play!AQ28,Play!$BI$17)</f>
        <v>0</v>
      </c>
      <c r="M53" s="1">
        <f>COUNTIF(Play!AI38,Play!$BI$17)+COUNTIF(Play!AK36,Play!$BI$17)+COUNTIF(Play!AM34,Play!$BI$17)+COUNTIF(Play!AO32,Play!$BI$17)+COUNTIF(Play!AQ30,Play!$BI$17)+COUNTIF(Play!AS28,Play!$BI$17)</f>
        <v>0</v>
      </c>
      <c r="N53" s="1">
        <f>COUNTIF(Play!AK38,Play!$BI$17)+COUNTIF(Play!AM36,Play!$BI$17)+COUNTIF(Play!AO34,Play!$BI$17)+COUNTIF(Play!AQ32,Play!$BI$17)+COUNTIF(Play!AS30,Play!$BI$17)+COUNTIF(Play!AU28,Play!$BI$17)</f>
        <v>0</v>
      </c>
      <c r="O53" s="1">
        <f>COUNTIF(Play!AM38,Play!$BI$17)+COUNTIF(Play!AO36,Play!$BI$17)+COUNTIF(Play!AQ34,Play!$BI$17)+COUNTIF(Play!AS32,Play!$BI$17)+COUNTIF(Play!AU30,Play!$BI$17)+COUNTIF(Play!AW28,Play!$BI$17)</f>
        <v>0</v>
      </c>
      <c r="W53" s="1">
        <f>COUNTIF(Play!M38,Play!$CF$17)+COUNTIF(Play!O36,Play!$CF$17)+COUNTIF(Play!Q34,Play!$CF$17)+COUNTIF(Play!S32,Play!$CF$17)+COUNTIF(Play!U30,Play!$CF$17)+COUNTIF(Play!W28,Play!$CF$17)</f>
        <v>0</v>
      </c>
      <c r="X53" s="1">
        <f>COUNTIF(Play!O38,Play!$CF$17)+COUNTIF(Play!Q36,Play!$CF$17)+COUNTIF(Play!S34,Play!$CF$17)+COUNTIF(Play!U32,Play!$CF$17)+COUNTIF(Play!W30,Play!$CF$17)+COUNTIF(Play!Y28,Play!$CF$17)</f>
        <v>0</v>
      </c>
      <c r="Y53" s="1">
        <f>COUNTIF(Play!Q38,Play!$CF$17)+COUNTIF(Play!S36,Play!$CF$17)+COUNTIF(Play!U34,Play!$CF$17)+COUNTIF(Play!W32,Play!$CF$17)+COUNTIF(Play!Y30,Play!$CF$17)+COUNTIF(Play!AA28,Play!$CF$17)</f>
        <v>0</v>
      </c>
      <c r="Z53" s="1">
        <f>COUNTIF(Play!S38,Play!$CF$17)+COUNTIF(Play!U36,Play!$CF$17)+COUNTIF(Play!W34,Play!$CF$17)+COUNTIF(Play!Y32,Play!$CF$17)+COUNTIF(Play!AA30,Play!$CF$17)+COUNTIF(Play!AC28,Play!$CF$17)</f>
        <v>0</v>
      </c>
      <c r="AA53" s="1">
        <f>COUNTIF(Play!U38,Play!$CF$17)+COUNTIF(Play!W36,Play!$CF$17)+COUNTIF(Play!Y34,Play!$CF$17)+COUNTIF(Play!AA32,Play!$CF$17)+COUNTIF(Play!AC30,Play!$CF$17)+COUNTIF(Play!AE28,Play!$CF$17)</f>
        <v>0</v>
      </c>
      <c r="AB53" s="1">
        <f>COUNTIF(Play!W38,Play!$CF$17)+COUNTIF(Play!Y36,Play!$CF$17)+COUNTIF(Play!AA34,Play!$CF$17)+COUNTIF(Play!AC32,Play!$CF$17)+COUNTIF(Play!AE30,Play!$CF$17)+COUNTIF(Play!AG28,Play!$CF$17)</f>
        <v>0</v>
      </c>
      <c r="AC53" s="1">
        <f>COUNTIF(Play!Y38,Play!$CF$17)+COUNTIF(Play!AA36,Play!$CF$17)+COUNTIF(Play!AC34,Play!$CF$17)+COUNTIF(Play!AE32,Play!$CF$17)+COUNTIF(Play!AG30,Play!$CF$17)+COUNTIF(Play!AI28,Play!$CF$17)</f>
        <v>0</v>
      </c>
      <c r="AD53" s="1">
        <f>COUNTIF(Play!AA38,Play!$CF$17)+COUNTIF(Play!AC36,Play!$CF$17)+COUNTIF(Play!AE34,Play!$CF$17)+COUNTIF(Play!AG32,Play!$CF$17)+COUNTIF(Play!AI30,Play!$CF$17)+COUNTIF(Play!AK28,Play!$CF$17)</f>
        <v>0</v>
      </c>
      <c r="AE53" s="1">
        <f>COUNTIF(Play!AC38,Play!$CF$17)+COUNTIF(Play!AE36,Play!$CF$17)+COUNTIF(Play!AG34,Play!$CF$17)+COUNTIF(Play!AI32,Play!$CF$17)+COUNTIF(Play!AK30,Play!$CF$17)+COUNTIF(Play!AM28,Play!$CF$17)</f>
        <v>0</v>
      </c>
      <c r="AF53" s="1">
        <f>COUNTIF(Play!AE38,Play!$CF$17)+COUNTIF(Play!AG36,Play!$CF$17)+COUNTIF(Play!AI34,Play!$CF$17)+COUNTIF(Play!AK32,Play!$CF$17)+COUNTIF(Play!AM30,Play!$CF$17)+COUNTIF(Play!AO28,Play!$CF$17)</f>
        <v>0</v>
      </c>
      <c r="AG53" s="1">
        <f>COUNTIF(Play!AG38,Play!$CF$17)+COUNTIF(Play!AI36,Play!$CF$17)+COUNTIF(Play!AK34,Play!$CF$17)+COUNTIF(Play!AM32,Play!$CF$17)+COUNTIF(Play!AO30,Play!$CF$17)+COUNTIF(Play!AQ28,Play!$CF$17)</f>
        <v>0</v>
      </c>
      <c r="AH53" s="1">
        <f>COUNTIF(Play!AI38,Play!$CF$17)+COUNTIF(Play!AK36,Play!$CF$17)+COUNTIF(Play!AM34,Play!$CF$17)+COUNTIF(Play!AO32,Play!$CF$17)+COUNTIF(Play!AQ30,Play!$CF$17)+COUNTIF(Play!AS28,Play!$CF$17)</f>
        <v>0</v>
      </c>
      <c r="AI53" s="1">
        <f>COUNTIF(Play!AK38,Play!$CF$17)+COUNTIF(Play!AM36,Play!$CF$17)+COUNTIF(Play!AO34,Play!$CF$17)+COUNTIF(Play!AQ32,Play!$CF$17)+COUNTIF(Play!AS30,Play!$CF$17)+COUNTIF(Play!AU28,Play!$CF$17)</f>
        <v>0</v>
      </c>
      <c r="AJ53" s="1">
        <f>COUNTIF(Play!AM38,Play!$CF$17)+COUNTIF(Play!AO36,Play!$CF$17)+COUNTIF(Play!AQ34,Play!$CF$17)+COUNTIF(Play!AS32,Play!$CF$17)+COUNTIF(Play!AU30,Play!$CF$17)+COUNTIF(Play!AW28,Play!$CF$17)</f>
        <v>0</v>
      </c>
    </row>
    <row r="54" spans="2:41" ht="13" customHeight="1">
      <c r="B54" s="1">
        <f>COUNTIF(Play!M30:W30,Play!$BI$17)</f>
        <v>0</v>
      </c>
      <c r="C54" s="1">
        <f>COUNTIF(Play!O30:Y30,Play!$BI$17)</f>
        <v>0</v>
      </c>
      <c r="D54" s="1">
        <f>COUNTIF(Play!Q30:AA30,Play!$BI$17)</f>
        <v>0</v>
      </c>
      <c r="E54" s="1">
        <f>COUNTIF(Play!S30:AC30,Play!$BI$17)</f>
        <v>0</v>
      </c>
      <c r="F54" s="1">
        <f>COUNTIF(Play!U30:AE30,Play!$BI$17)</f>
        <v>0</v>
      </c>
      <c r="G54" s="1">
        <f>COUNTIF(Play!W30:AG30,Play!$BI$17)</f>
        <v>0</v>
      </c>
      <c r="H54" s="1">
        <f>COUNTIF(Play!Y30:AI30,Play!$BI$17)</f>
        <v>0</v>
      </c>
      <c r="I54" s="1">
        <f>COUNTIF(Play!AA30:AK30,Play!$BI$17)</f>
        <v>0</v>
      </c>
      <c r="J54" s="1">
        <f>COUNTIF(Play!AC30:AM30,Play!$BI$17)</f>
        <v>0</v>
      </c>
      <c r="K54" s="1">
        <f>COUNTIF(Play!AE30:AO30,Play!$BI$17)</f>
        <v>0</v>
      </c>
      <c r="L54" s="1">
        <f>COUNTIF(Play!AG30:AQ30,Play!$BI$17)</f>
        <v>0</v>
      </c>
      <c r="M54" s="1">
        <f>COUNTIF(Play!AI30:AS30,Play!$BI$17)</f>
        <v>0</v>
      </c>
      <c r="N54" s="1">
        <f>COUNTIF(Play!AK30:AU30,Play!$BI$17)</f>
        <v>0</v>
      </c>
      <c r="O54" s="1">
        <f>COUNTIF(Play!AM30:AW30,Play!$BI$17)</f>
        <v>0</v>
      </c>
      <c r="W54" s="1">
        <f>COUNTIF(Play!M30:W30,Play!$CF$17)</f>
        <v>0</v>
      </c>
      <c r="X54" s="1">
        <f>COUNTIF(Play!O30:Y30,Play!$CF$17)</f>
        <v>0</v>
      </c>
      <c r="Y54" s="1">
        <f>COUNTIF(Play!Q30:AA30,Play!$CF$17)</f>
        <v>0</v>
      </c>
      <c r="Z54" s="1">
        <f>COUNTIF(Play!S30:AC30,Play!$CF$17)</f>
        <v>0</v>
      </c>
      <c r="AA54" s="1">
        <f>COUNTIF(Play!U30:AE30,Play!$CF$17)</f>
        <v>0</v>
      </c>
      <c r="AB54" s="1">
        <f>COUNTIF(Play!W30:AG30,Play!$CF$17)</f>
        <v>0</v>
      </c>
      <c r="AC54" s="1">
        <f>COUNTIF(Play!Y30:AI30,Play!$CF$17)</f>
        <v>0</v>
      </c>
      <c r="AD54" s="1">
        <f>COUNTIF(Play!AA30:AK30,Play!$CF$17)</f>
        <v>0</v>
      </c>
      <c r="AE54" s="1">
        <f>COUNTIF(Play!AC30:AM30,Play!$CF$17)</f>
        <v>0</v>
      </c>
      <c r="AF54" s="1">
        <f>COUNTIF(Play!AE30:AO30,Play!$CF$17)</f>
        <v>0</v>
      </c>
      <c r="AG54" s="1">
        <f>COUNTIF(Play!AG30:AQ30,Play!$CF$17)</f>
        <v>0</v>
      </c>
      <c r="AH54" s="1">
        <f>COUNTIF(Play!AI30:AS30,Play!$CF$17)</f>
        <v>0</v>
      </c>
      <c r="AI54" s="1">
        <f>COUNTIF(Play!AK30:AU30,Play!$CF$17)</f>
        <v>0</v>
      </c>
      <c r="AJ54" s="1">
        <f>COUNTIF(Play!AM30:AW30,Play!$CF$17)</f>
        <v>0</v>
      </c>
    </row>
    <row r="55" spans="2:41" ht="13" customHeight="1">
      <c r="B55" s="1">
        <f>COUNTIF(Play!M30:M40,Play!$BI$17)</f>
        <v>0</v>
      </c>
      <c r="C55" s="1">
        <f>COUNTIF(Play!O30:O40,Play!$BI$17)</f>
        <v>0</v>
      </c>
      <c r="D55" s="1">
        <f>COUNTIF(Play!Q30:Q40,Play!$BI$17)</f>
        <v>0</v>
      </c>
      <c r="E55" s="1">
        <f>COUNTIF(Play!S30:S40,Play!$BI$17)</f>
        <v>0</v>
      </c>
      <c r="F55" s="1">
        <f>COUNTIF(Play!U30:U40,Play!$BI$17)</f>
        <v>0</v>
      </c>
      <c r="G55" s="1">
        <f>COUNTIF(Play!W30:W40,Play!$BI$17)</f>
        <v>0</v>
      </c>
      <c r="H55" s="1">
        <f>COUNTIF(Play!Y30:Y40,Play!$BI$17)</f>
        <v>0</v>
      </c>
      <c r="I55" s="1">
        <f>COUNTIF(Play!AA30:AA40,Play!$BI$17)</f>
        <v>0</v>
      </c>
      <c r="J55" s="1">
        <f>COUNTIF(Play!AC30:AC40,Play!$BI$17)</f>
        <v>0</v>
      </c>
      <c r="K55" s="1">
        <f>COUNTIF(Play!AE30:AE40,Play!$BI$17)</f>
        <v>0</v>
      </c>
      <c r="L55" s="1">
        <f>COUNTIF(Play!AG30:AG40,Play!$BI$17)</f>
        <v>0</v>
      </c>
      <c r="M55" s="1">
        <f>COUNTIF(Play!AI30:AI40,Play!$BI$17)</f>
        <v>0</v>
      </c>
      <c r="N55" s="1">
        <f>COUNTIF(Play!AK30:AK40,Play!$BI$17)</f>
        <v>0</v>
      </c>
      <c r="O55" s="1">
        <f>COUNTIF(Play!AM30:AM40,Play!$BI$17)</f>
        <v>0</v>
      </c>
      <c r="P55" s="1">
        <f>COUNTIF(Play!AO30:AO40,Play!$BI$17)</f>
        <v>0</v>
      </c>
      <c r="Q55" s="1">
        <f>COUNTIF(Play!AQ30:AQ40,Play!$BI$17)</f>
        <v>0</v>
      </c>
      <c r="R55" s="1">
        <f>COUNTIF(Play!AS30:AS40,Play!$BI$17)</f>
        <v>0</v>
      </c>
      <c r="S55" s="1">
        <f>COUNTIF(Play!AU30:AU40,Play!$BI$17)</f>
        <v>0</v>
      </c>
      <c r="T55" s="1">
        <f>COUNTIF(Play!AW30:AW40,Play!$BI$17)</f>
        <v>0</v>
      </c>
      <c r="W55" s="1">
        <f>COUNTIF(Play!M30:M40,Play!$CF$17)</f>
        <v>0</v>
      </c>
      <c r="X55" s="1">
        <f>COUNTIF(Play!O30:O40,Play!$CF$17)</f>
        <v>0</v>
      </c>
      <c r="Y55" s="1">
        <f>COUNTIF(Play!Q30:Q40,Play!$CF$17)</f>
        <v>0</v>
      </c>
      <c r="Z55" s="1">
        <f>COUNTIF(Play!S30:S40,Play!$CF$17)</f>
        <v>0</v>
      </c>
      <c r="AA55" s="1">
        <f>COUNTIF(Play!U30:U40,Play!$CF$17)</f>
        <v>0</v>
      </c>
      <c r="AB55" s="1">
        <f>COUNTIF(Play!W30:W40,Play!$CF$17)</f>
        <v>0</v>
      </c>
      <c r="AC55" s="1">
        <f>COUNTIF(Play!Y30:Y40,Play!$CF$17)</f>
        <v>0</v>
      </c>
      <c r="AD55" s="1">
        <f>COUNTIF(Play!AA30:AA40,Play!$CF$17)</f>
        <v>0</v>
      </c>
      <c r="AE55" s="1">
        <f>COUNTIF(Play!AC30:AC40,Play!$CF$17)</f>
        <v>0</v>
      </c>
      <c r="AF55" s="1">
        <f>COUNTIF(Play!AE30:AE40,Play!$CF$17)</f>
        <v>0</v>
      </c>
      <c r="AG55" s="1">
        <f>COUNTIF(Play!AG30:AG40,Play!$CF$17)</f>
        <v>0</v>
      </c>
      <c r="AH55" s="1">
        <f>COUNTIF(Play!AI30:AI40,Play!$CF$17)</f>
        <v>0</v>
      </c>
      <c r="AI55" s="1">
        <f>COUNTIF(Play!AK30:AK40,Play!$CF$17)</f>
        <v>0</v>
      </c>
      <c r="AJ55" s="1">
        <f>COUNTIF(Play!AM30:AM40,Play!$CF$17)</f>
        <v>0</v>
      </c>
      <c r="AK55" s="1">
        <f>COUNTIF(Play!AO30:AO40,Play!$CF$17)</f>
        <v>0</v>
      </c>
      <c r="AL55" s="1">
        <f>COUNTIF(Play!AQ30:AQ40,Play!$CF$17)</f>
        <v>0</v>
      </c>
      <c r="AM55" s="1">
        <f>COUNTIF(Play!AS30:AS40,Play!$CF$17)</f>
        <v>0</v>
      </c>
      <c r="AN55" s="1">
        <f>COUNTIF(Play!AU30:AU40,Play!$CF$17)</f>
        <v>0</v>
      </c>
      <c r="AO55" s="1">
        <f>COUNTIF(Play!AW30:AW40,Play!$CF$17)</f>
        <v>0</v>
      </c>
    </row>
    <row r="56" spans="2:41" ht="13" customHeight="1">
      <c r="B56" s="1">
        <f>COUNTIF(Play!M30,Play!$BI$17)+COUNTIF(Play!O32,Play!$BI$17)+COUNTIF(Play!Q34,Play!$BI$17)+COUNTIF(Play!S36,Play!$BI$17)+COUNTIF(Play!U38,Play!$BI$17)+COUNTIF(Play!W40,Play!$BI$17)</f>
        <v>0</v>
      </c>
      <c r="C56" s="1">
        <f>COUNTIF(Play!O30,Play!$BI$17)+COUNTIF(Play!Q32,Play!$BI$17)+COUNTIF(Play!S34,Play!$BI$17)+COUNTIF(Play!U36,Play!$BI$17)+COUNTIF(Play!W38,Play!$BI$17)+COUNTIF(Play!Y40,Play!$BI$17)</f>
        <v>0</v>
      </c>
      <c r="D56" s="1">
        <f>COUNTIF(Play!Q30,Play!$BI$17)+COUNTIF(Play!S32,Play!$BI$17)+COUNTIF(Play!U34,Play!$BI$17)+COUNTIF(Play!W36,Play!$BI$17)+COUNTIF(Play!Y38,Play!$BI$17)+COUNTIF(Play!AA40,Play!$BI$17)</f>
        <v>0</v>
      </c>
      <c r="E56" s="1">
        <f>COUNTIF(Play!S30,Play!$BI$17)+COUNTIF(Play!U32,Play!$BI$17)+COUNTIF(Play!W34,Play!$BI$17)+COUNTIF(Play!Y36,Play!$BI$17)+COUNTIF(Play!AA38,Play!$BI$17)+COUNTIF(Play!AC40,Play!$BI$17)</f>
        <v>0</v>
      </c>
      <c r="F56" s="1">
        <f>COUNTIF(Play!U30,Play!$BI$17)+COUNTIF(Play!W32,Play!$BI$17)+COUNTIF(Play!Y34,Play!$BI$17)+COUNTIF(Play!AA36,Play!$BI$17)+COUNTIF(Play!AC38,Play!$BI$17)+COUNTIF(Play!AE40,Play!$BI$17)</f>
        <v>0</v>
      </c>
      <c r="G56" s="1">
        <f>COUNTIF(Play!W30,Play!$BI$17)+COUNTIF(Play!Y32,Play!$BI$17)+COUNTIF(Play!AA34,Play!$BI$17)+COUNTIF(Play!AC36,Play!$BI$17)+COUNTIF(Play!AE38,Play!$BI$17)+COUNTIF(Play!AG40,Play!$BI$17)</f>
        <v>0</v>
      </c>
      <c r="H56" s="1">
        <f>COUNTIF(Play!Y30,Play!$BI$17)+COUNTIF(Play!AA32,Play!$BI$17)+COUNTIF(Play!AC34,Play!$BI$17)+COUNTIF(Play!AE36,Play!$BI$17)+COUNTIF(Play!AG38,Play!$BI$17)+COUNTIF(Play!AI40,Play!$BI$17)</f>
        <v>0</v>
      </c>
      <c r="I56" s="1">
        <f>COUNTIF(Play!AA30,Play!$BI$17)+COUNTIF(Play!AC32,Play!$BI$17)+COUNTIF(Play!AE34,Play!$BI$17)+COUNTIF(Play!AG36,Play!$BI$17)+COUNTIF(Play!AI38,Play!$BI$17)+COUNTIF(Play!AK40,Play!$BI$17)</f>
        <v>0</v>
      </c>
      <c r="J56" s="1">
        <f>COUNTIF(Play!AC30,Play!$BI$17)+COUNTIF(Play!AE32,Play!$BI$17)+COUNTIF(Play!AG34,Play!$BI$17)+COUNTIF(Play!AI36,Play!$BI$17)+COUNTIF(Play!AK38,Play!$BI$17)+COUNTIF(Play!AM40,Play!$BI$17)</f>
        <v>0</v>
      </c>
      <c r="K56" s="1">
        <f>COUNTIF(Play!AE30,Play!$BI$17)+COUNTIF(Play!AG32,Play!$BI$17)+COUNTIF(Play!AI34,Play!$BI$17)+COUNTIF(Play!AK36,Play!$BI$17)+COUNTIF(Play!AM38,Play!$BI$17)+COUNTIF(Play!AO40,Play!$BI$17)</f>
        <v>0</v>
      </c>
      <c r="L56" s="1">
        <f>COUNTIF(Play!AG30,Play!$BI$17)+COUNTIF(Play!AI32,Play!$BI$17)+COUNTIF(Play!AK34,Play!$BI$17)+COUNTIF(Play!AM36,Play!$BI$17)+COUNTIF(Play!AO38,Play!$BI$17)+COUNTIF(Play!AQ40,Play!$BI$17)</f>
        <v>0</v>
      </c>
      <c r="M56" s="1">
        <f>COUNTIF(Play!AI30,Play!$BI$17)+COUNTIF(Play!AK32,Play!$BI$17)+COUNTIF(Play!AM34,Play!$BI$17)+COUNTIF(Play!AO36,Play!$BI$17)+COUNTIF(Play!AQ38,Play!$BI$17)+COUNTIF(Play!AS40,Play!$BI$17)</f>
        <v>0</v>
      </c>
      <c r="N56" s="1">
        <f>COUNTIF(Play!AK30,Play!$BI$17)+COUNTIF(Play!AM32,Play!$BI$17)+COUNTIF(Play!AO34,Play!$BI$17)+COUNTIF(Play!AQ36,Play!$BI$17)+COUNTIF(Play!AS38,Play!$BI$17)+COUNTIF(Play!AU40,Play!$BI$17)</f>
        <v>0</v>
      </c>
      <c r="O56" s="1">
        <f>COUNTIF(Play!AM30,Play!$BI$17)+COUNTIF(Play!AO32,Play!$BI$17)+COUNTIF(Play!AQ34,Play!$BI$17)+COUNTIF(Play!AS36,Play!$BI$17)+COUNTIF(Play!AU38,Play!$BI$17)+COUNTIF(Play!AW40,Play!$BI$17)</f>
        <v>0</v>
      </c>
      <c r="W56" s="1">
        <f>COUNTIF(Play!M30,Play!$CF$17)+COUNTIF(Play!O32,Play!$CF$17)+COUNTIF(Play!Q34,Play!$CF$17)+COUNTIF(Play!S36,Play!$CF$17)+COUNTIF(Play!U38,Play!$CF$17)+COUNTIF(Play!W40,Play!$CF$17)</f>
        <v>0</v>
      </c>
      <c r="X56" s="1">
        <f>COUNTIF(Play!O30,Play!$CF$17)+COUNTIF(Play!Q32,Play!$CF$17)+COUNTIF(Play!S34,Play!$CF$17)+COUNTIF(Play!U36,Play!$CF$17)+COUNTIF(Play!W38,Play!$CF$17)+COUNTIF(Play!Y40,Play!$CF$17)</f>
        <v>0</v>
      </c>
      <c r="Y56" s="1">
        <f>COUNTIF(Play!Q30,Play!$CF$17)+COUNTIF(Play!S32,Play!$CF$17)+COUNTIF(Play!U34,Play!$CF$17)+COUNTIF(Play!W36,Play!$CF$17)+COUNTIF(Play!Y38,Play!$CF$17)+COUNTIF(Play!AA40,Play!$CF$17)</f>
        <v>0</v>
      </c>
      <c r="Z56" s="1">
        <f>COUNTIF(Play!S30,Play!$CF$17)+COUNTIF(Play!U32,Play!$CF$17)+COUNTIF(Play!W34,Play!$CF$17)+COUNTIF(Play!Y36,Play!$CF$17)+COUNTIF(Play!AA38,Play!$CF$17)+COUNTIF(Play!AC40,Play!$CF$17)</f>
        <v>0</v>
      </c>
      <c r="AA56" s="1">
        <f>COUNTIF(Play!U30,Play!$CF$17)+COUNTIF(Play!W32,Play!$CF$17)+COUNTIF(Play!Y34,Play!$CF$17)+COUNTIF(Play!AA36,Play!$CF$17)+COUNTIF(Play!AC38,Play!$CF$17)+COUNTIF(Play!AE40,Play!$CF$17)</f>
        <v>0</v>
      </c>
      <c r="AB56" s="1">
        <f>COUNTIF(Play!W30,Play!$CF$17)+COUNTIF(Play!Y32,Play!$CF$17)+COUNTIF(Play!AA34,Play!$CF$17)+COUNTIF(Play!AC36,Play!$CF$17)+COUNTIF(Play!AE38,Play!$CF$17)+COUNTIF(Play!AG40,Play!$CF$17)</f>
        <v>0</v>
      </c>
      <c r="AC56" s="1">
        <f>COUNTIF(Play!Y30,Play!$CF$17)+COUNTIF(Play!AA32,Play!$CF$17)+COUNTIF(Play!AC34,Play!$CF$17)+COUNTIF(Play!AE36,Play!$CF$17)+COUNTIF(Play!AG38,Play!$CF$17)+COUNTIF(Play!AI40,Play!$CF$17)</f>
        <v>0</v>
      </c>
      <c r="AD56" s="1">
        <f>COUNTIF(Play!AA30,Play!$CF$17)+COUNTIF(Play!AC32,Play!$CF$17)+COUNTIF(Play!AE34,Play!$CF$17)+COUNTIF(Play!AG36,Play!$CF$17)+COUNTIF(Play!AI38,Play!$CF$17)+COUNTIF(Play!AK40,Play!$CF$17)</f>
        <v>0</v>
      </c>
      <c r="AE56" s="1">
        <f>COUNTIF(Play!AC30,Play!$CF$17)+COUNTIF(Play!AE32,Play!$CF$17)+COUNTIF(Play!AG34,Play!$CF$17)+COUNTIF(Play!AI36,Play!$CF$17)+COUNTIF(Play!AK38,Play!$CF$17)+COUNTIF(Play!AM40,Play!$CF$17)</f>
        <v>0</v>
      </c>
      <c r="AF56" s="1">
        <f>COUNTIF(Play!AE30,Play!$CF$17)+COUNTIF(Play!AG32,Play!$CF$17)+COUNTIF(Play!AI34,Play!$CF$17)+COUNTIF(Play!AK36,Play!$CF$17)+COUNTIF(Play!AM38,Play!$CF$17)+COUNTIF(Play!AO40,Play!$CF$17)</f>
        <v>0</v>
      </c>
      <c r="AG56" s="1">
        <f>COUNTIF(Play!AG30,Play!$CF$17)+COUNTIF(Play!AI32,Play!$CF$17)+COUNTIF(Play!AK34,Play!$CF$17)+COUNTIF(Play!AM36,Play!$CF$17)+COUNTIF(Play!AO38,Play!$CF$17)+COUNTIF(Play!AQ40,Play!$CF$17)</f>
        <v>0</v>
      </c>
      <c r="AH56" s="1">
        <f>COUNTIF(Play!AI30,Play!$CF$17)+COUNTIF(Play!AK32,Play!$CF$17)+COUNTIF(Play!AM34,Play!$CF$17)+COUNTIF(Play!AO36,Play!$CF$17)+COUNTIF(Play!AQ38,Play!$CF$17)+COUNTIF(Play!AS40,Play!$CF$17)</f>
        <v>0</v>
      </c>
      <c r="AI56" s="1">
        <f>COUNTIF(Play!AK30,Play!$CF$17)+COUNTIF(Play!AM32,Play!$CF$17)+COUNTIF(Play!AO34,Play!$CF$17)+COUNTIF(Play!AQ36,Play!$CF$17)+COUNTIF(Play!AS38,Play!$CF$17)+COUNTIF(Play!AU40,Play!$CF$17)</f>
        <v>0</v>
      </c>
      <c r="AJ56" s="1">
        <f>COUNTIF(Play!AM30,Play!$CF$17)+COUNTIF(Play!AO32,Play!$CF$17)+COUNTIF(Play!AQ34,Play!$CF$17)+COUNTIF(Play!AS36,Play!$CF$17)+COUNTIF(Play!AU38,Play!$CF$17)+COUNTIF(Play!AW40,Play!$CF$17)</f>
        <v>0</v>
      </c>
    </row>
    <row r="57" spans="2:41" ht="13" customHeight="1">
      <c r="B57" s="1">
        <f>COUNTIF(Play!M40,Play!$BI$17)+COUNTIF(Play!O38,Play!$BI$17)+COUNTIF(Play!Q36,Play!$BI$17)+COUNTIF(Play!S34,Play!$BI$17)+COUNTIF(Play!U32,Play!$BI$17)+COUNTIF(Play!W30,Play!$BI$17)</f>
        <v>0</v>
      </c>
      <c r="C57" s="1">
        <f>COUNTIF(Play!O40,Play!$BI$17)+COUNTIF(Play!Q38,Play!$BI$17)+COUNTIF(Play!S36,Play!$BI$17)+COUNTIF(Play!U34,Play!$BI$17)+COUNTIF(Play!W32,Play!$BI$17)+COUNTIF(Play!Y30,Play!$BI$17)</f>
        <v>0</v>
      </c>
      <c r="D57" s="1">
        <f>COUNTIF(Play!Q40,Play!$BI$17)+COUNTIF(Play!S38,Play!$BI$17)+COUNTIF(Play!U36,Play!$BI$17)+COUNTIF(Play!W34,Play!$BI$17)+COUNTIF(Play!Y32,Play!$BI$17)+COUNTIF(Play!AA30,Play!$BI$17)</f>
        <v>0</v>
      </c>
      <c r="E57" s="1">
        <f>COUNTIF(Play!S40,Play!$BI$17)+COUNTIF(Play!U38,Play!$BI$17)+COUNTIF(Play!W36,Play!$BI$17)+COUNTIF(Play!Y34,Play!$BI$17)+COUNTIF(Play!AA32,Play!$BI$17)+COUNTIF(Play!AC30,Play!$BI$17)</f>
        <v>0</v>
      </c>
      <c r="F57" s="1">
        <f>COUNTIF(Play!U40,Play!$BI$17)+COUNTIF(Play!W38,Play!$BI$17)+COUNTIF(Play!Y36,Play!$BI$17)+COUNTIF(Play!AA34,Play!$BI$17)+COUNTIF(Play!AC32,Play!$BI$17)+COUNTIF(Play!AE30,Play!$BI$17)</f>
        <v>0</v>
      </c>
      <c r="G57" s="1">
        <f>COUNTIF(Play!W40,Play!$BI$17)+COUNTIF(Play!Y38,Play!$BI$17)+COUNTIF(Play!AA36,Play!$BI$17)+COUNTIF(Play!AC34,Play!$BI$17)+COUNTIF(Play!AE32,Play!$BI$17)+COUNTIF(Play!AG30,Play!$BI$17)</f>
        <v>0</v>
      </c>
      <c r="H57" s="1">
        <f>COUNTIF(Play!Y40,Play!$BI$17)+COUNTIF(Play!AA38,Play!$BI$17)+COUNTIF(Play!AC36,Play!$BI$17)+COUNTIF(Play!AE34,Play!$BI$17)+COUNTIF(Play!AG32,Play!$BI$17)+COUNTIF(Play!AI30,Play!$BI$17)</f>
        <v>0</v>
      </c>
      <c r="I57" s="1">
        <f>COUNTIF(Play!AA40,Play!$BI$17)+COUNTIF(Play!AC38,Play!$BI$17)+COUNTIF(Play!AE36,Play!$BI$17)+COUNTIF(Play!AG34,Play!$BI$17)+COUNTIF(Play!AI32,Play!$BI$17)+COUNTIF(Play!AK30,Play!$BI$17)</f>
        <v>0</v>
      </c>
      <c r="J57" s="1">
        <f>COUNTIF(Play!AC40,Play!$BI$17)+COUNTIF(Play!AE38,Play!$BI$17)+COUNTIF(Play!AG36,Play!$BI$17)+COUNTIF(Play!AI34,Play!$BI$17)+COUNTIF(Play!AK32,Play!$BI$17)+COUNTIF(Play!AM30,Play!$BI$17)</f>
        <v>0</v>
      </c>
      <c r="K57" s="1">
        <f>COUNTIF(Play!AE40,Play!$BI$17)+COUNTIF(Play!AG38,Play!$BI$17)+COUNTIF(Play!AI36,Play!$BI$17)+COUNTIF(Play!AK34,Play!$BI$17)+COUNTIF(Play!AM32,Play!$BI$17)+COUNTIF(Play!AO30,Play!$BI$17)</f>
        <v>0</v>
      </c>
      <c r="L57" s="1">
        <f>COUNTIF(Play!AG40,Play!$BI$17)+COUNTIF(Play!AI38,Play!$BI$17)+COUNTIF(Play!AK36,Play!$BI$17)+COUNTIF(Play!AM34,Play!$BI$17)+COUNTIF(Play!AO32,Play!$BI$17)+COUNTIF(Play!AQ30,Play!$BI$17)</f>
        <v>0</v>
      </c>
      <c r="M57" s="1">
        <f>COUNTIF(Play!AI40,Play!$BI$17)+COUNTIF(Play!AK38,Play!$BI$17)+COUNTIF(Play!AM36,Play!$BI$17)+COUNTIF(Play!AO34,Play!$BI$17)+COUNTIF(Play!AQ32,Play!$BI$17)+COUNTIF(Play!AS30,Play!$BI$17)</f>
        <v>0</v>
      </c>
      <c r="N57" s="1">
        <f>COUNTIF(Play!AK40,Play!$BI$17)+COUNTIF(Play!AM38,Play!$BI$17)+COUNTIF(Play!AO36,Play!$BI$17)+COUNTIF(Play!AQ34,Play!$BI$17)+COUNTIF(Play!AS32,Play!$BI$17)+COUNTIF(Play!AU30,Play!$BI$17)</f>
        <v>0</v>
      </c>
      <c r="O57" s="1">
        <f>COUNTIF(Play!AM40,Play!$BI$17)+COUNTIF(Play!AO38,Play!$BI$17)+COUNTIF(Play!AQ36,Play!$BI$17)+COUNTIF(Play!AS34,Play!$BI$17)+COUNTIF(Play!AU32,Play!$BI$17)+COUNTIF(Play!AW30,Play!$BI$17)</f>
        <v>0</v>
      </c>
      <c r="W57" s="1">
        <f>COUNTIF(Play!M40,Play!$CF$17)+COUNTIF(Play!O38,Play!$CF$17)+COUNTIF(Play!Q36,Play!$CF$17)+COUNTIF(Play!S34,Play!$CF$17)+COUNTIF(Play!U32,Play!$CF$17)+COUNTIF(Play!W30,Play!$CF$17)</f>
        <v>0</v>
      </c>
      <c r="X57" s="1">
        <f>COUNTIF(Play!O40,Play!$CF$17)+COUNTIF(Play!Q38,Play!$CF$17)+COUNTIF(Play!S36,Play!$CF$17)+COUNTIF(Play!U34,Play!$CF$17)+COUNTIF(Play!W32,Play!$CF$17)+COUNTIF(Play!Y30,Play!$CF$17)</f>
        <v>0</v>
      </c>
      <c r="Y57" s="1">
        <f>COUNTIF(Play!Q40,Play!$CF$17)+COUNTIF(Play!S38,Play!$CF$17)+COUNTIF(Play!U36,Play!$CF$17)+COUNTIF(Play!W34,Play!$CF$17)+COUNTIF(Play!Y32,Play!$CF$17)+COUNTIF(Play!AA30,Play!$CF$17)</f>
        <v>0</v>
      </c>
      <c r="Z57" s="1">
        <f>COUNTIF(Play!S40,Play!$CF$17)+COUNTIF(Play!U38,Play!$CF$17)+COUNTIF(Play!W36,Play!$CF$17)+COUNTIF(Play!Y34,Play!$CF$17)+COUNTIF(Play!AA32,Play!$CF$17)+COUNTIF(Play!AC30,Play!$CF$17)</f>
        <v>0</v>
      </c>
      <c r="AA57" s="1">
        <f>COUNTIF(Play!U40,Play!$CF$17)+COUNTIF(Play!W38,Play!$CF$17)+COUNTIF(Play!Y36,Play!$CF$17)+COUNTIF(Play!AA34,Play!$CF$17)+COUNTIF(Play!AC32,Play!$CF$17)+COUNTIF(Play!AE30,Play!$CF$17)</f>
        <v>0</v>
      </c>
      <c r="AB57" s="1">
        <f>COUNTIF(Play!W40,Play!$CF$17)+COUNTIF(Play!Y38,Play!$CF$17)+COUNTIF(Play!AA36,Play!$CF$17)+COUNTIF(Play!AC34,Play!$CF$17)+COUNTIF(Play!AE32,Play!$CF$17)+COUNTIF(Play!AG30,Play!$CF$17)</f>
        <v>0</v>
      </c>
      <c r="AC57" s="1">
        <f>COUNTIF(Play!Y40,Play!$CF$17)+COUNTIF(Play!AA38,Play!$CF$17)+COUNTIF(Play!AC36,Play!$CF$17)+COUNTIF(Play!AE34,Play!$CF$17)+COUNTIF(Play!AG32,Play!$CF$17)+COUNTIF(Play!AI30,Play!$CF$17)</f>
        <v>0</v>
      </c>
      <c r="AD57" s="1">
        <f>COUNTIF(Play!AA40,Play!$CF$17)+COUNTIF(Play!AC38,Play!$CF$17)+COUNTIF(Play!AE36,Play!$CF$17)+COUNTIF(Play!AG34,Play!$CF$17)+COUNTIF(Play!AI32,Play!$CF$17)+COUNTIF(Play!AK30,Play!$CF$17)</f>
        <v>0</v>
      </c>
      <c r="AE57" s="1">
        <f>COUNTIF(Play!AC40,Play!$CF$17)+COUNTIF(Play!AE38,Play!$CF$17)+COUNTIF(Play!AG36,Play!$CF$17)+COUNTIF(Play!AI34,Play!$CF$17)+COUNTIF(Play!AK32,Play!$CF$17)+COUNTIF(Play!AM30,Play!$CF$17)</f>
        <v>0</v>
      </c>
      <c r="AF57" s="1">
        <f>COUNTIF(Play!AE40,Play!$CF$17)+COUNTIF(Play!AG38,Play!$CF$17)+COUNTIF(Play!AI36,Play!$CF$17)+COUNTIF(Play!AK34,Play!$CF$17)+COUNTIF(Play!AM32,Play!$CF$17)+COUNTIF(Play!AO30,Play!$CF$17)</f>
        <v>0</v>
      </c>
      <c r="AG57" s="1">
        <f>COUNTIF(Play!AG40,Play!$CF$17)+COUNTIF(Play!AI38,Play!$CF$17)+COUNTIF(Play!AK36,Play!$CF$17)+COUNTIF(Play!AM34,Play!$CF$17)+COUNTIF(Play!AO32,Play!$CF$17)+COUNTIF(Play!AQ30,Play!$CF$17)</f>
        <v>0</v>
      </c>
      <c r="AH57" s="1">
        <f>COUNTIF(Play!AI40,Play!$CF$17)+COUNTIF(Play!AK38,Play!$CF$17)+COUNTIF(Play!AM36,Play!$CF$17)+COUNTIF(Play!AO34,Play!$CF$17)+COUNTIF(Play!AQ32,Play!$CF$17)+COUNTIF(Play!AS30,Play!$CF$17)</f>
        <v>0</v>
      </c>
      <c r="AI57" s="1">
        <f>COUNTIF(Play!AK40,Play!$CF$17)+COUNTIF(Play!AM38,Play!$CF$17)+COUNTIF(Play!AO36,Play!$CF$17)+COUNTIF(Play!AQ34,Play!$CF$17)+COUNTIF(Play!AS32,Play!$CF$17)+COUNTIF(Play!AU30,Play!$CF$17)</f>
        <v>0</v>
      </c>
      <c r="AJ57" s="1">
        <f>COUNTIF(Play!AM40,Play!$CF$17)+COUNTIF(Play!AO38,Play!$CF$17)+COUNTIF(Play!AQ36,Play!$CF$17)+COUNTIF(Play!AS34,Play!$CF$17)+COUNTIF(Play!AU32,Play!$CF$17)+COUNTIF(Play!AW30,Play!$CF$17)</f>
        <v>0</v>
      </c>
    </row>
    <row r="58" spans="2:41" ht="13" customHeight="1">
      <c r="B58" s="2">
        <f>COUNTIF(Play!M32:W32,Play!$BI$17)</f>
        <v>0</v>
      </c>
      <c r="C58" s="2">
        <f>COUNTIF(Play!O32:Y32,Play!$BI$17)</f>
        <v>0</v>
      </c>
      <c r="D58" s="2">
        <f>COUNTIF(Play!Q32:AA32,Play!$BI$17)</f>
        <v>0</v>
      </c>
      <c r="E58" s="2">
        <f>COUNTIF(Play!S32:AC32,Play!$BI$17)</f>
        <v>0</v>
      </c>
      <c r="F58" s="2">
        <f>COUNTIF(Play!U32:AE32,Play!$BI$17)</f>
        <v>0</v>
      </c>
      <c r="G58" s="2">
        <f>COUNTIF(Play!W32:AG32,Play!$BI$17)</f>
        <v>0</v>
      </c>
      <c r="H58" s="2">
        <f>COUNTIF(Play!Y32:AI32,Play!$BI$17)</f>
        <v>0</v>
      </c>
      <c r="I58" s="2">
        <f>COUNTIF(Play!AA32:AK32,Play!$BI$17)</f>
        <v>0</v>
      </c>
      <c r="J58" s="2">
        <f>COUNTIF(Play!AC32:AM32,Play!$BI$17)</f>
        <v>0</v>
      </c>
      <c r="K58" s="2">
        <f>COUNTIF(Play!AE32:AO32,Play!$BI$17)</f>
        <v>0</v>
      </c>
      <c r="L58" s="2">
        <f>COUNTIF(Play!AG32:AQ32,Play!$BI$17)</f>
        <v>0</v>
      </c>
      <c r="M58" s="2">
        <f>COUNTIF(Play!AI32:AS32,Play!$BI$17)</f>
        <v>0</v>
      </c>
      <c r="N58" s="2">
        <f>COUNTIF(Play!AK32:AU32,Play!$BI$17)</f>
        <v>0</v>
      </c>
      <c r="O58" s="2">
        <f>COUNTIF(Play!AM32:AW32,Play!$BI$17)</f>
        <v>0</v>
      </c>
      <c r="P58" s="2"/>
      <c r="Q58" s="2"/>
      <c r="R58" s="2"/>
      <c r="S58" s="2"/>
      <c r="T58" s="2"/>
      <c r="U58" s="2"/>
      <c r="V58" s="2"/>
      <c r="W58" s="2">
        <f>COUNTIF(Play!M32:W32,Play!$CF$17)</f>
        <v>0</v>
      </c>
      <c r="X58" s="2">
        <f>COUNTIF(Play!O32:Y32,Play!$CF$17)</f>
        <v>0</v>
      </c>
      <c r="Y58" s="2">
        <f>COUNTIF(Play!Q32:AA32,Play!$CF$17)</f>
        <v>0</v>
      </c>
      <c r="Z58" s="2">
        <f>COUNTIF(Play!S32:AC32,Play!$CF$17)</f>
        <v>0</v>
      </c>
      <c r="AA58" s="2">
        <f>COUNTIF(Play!U32:AE32,Play!$CF$17)</f>
        <v>0</v>
      </c>
      <c r="AB58" s="2">
        <f>COUNTIF(Play!W32:AG32,Play!$CF$17)</f>
        <v>0</v>
      </c>
      <c r="AC58" s="2">
        <f>COUNTIF(Play!Y32:AI32,Play!$CF$17)</f>
        <v>0</v>
      </c>
      <c r="AD58" s="2">
        <f>COUNTIF(Play!AA32:AK32,Play!$CF$17)</f>
        <v>0</v>
      </c>
      <c r="AE58" s="2">
        <f>COUNTIF(Play!AC32:AM32,Play!$CF$17)</f>
        <v>0</v>
      </c>
      <c r="AF58" s="2">
        <f>COUNTIF(Play!AE32:AO32,Play!$CF$17)</f>
        <v>0</v>
      </c>
      <c r="AG58" s="2">
        <f>COUNTIF(Play!AG32:AQ32,Play!$CF$17)</f>
        <v>0</v>
      </c>
      <c r="AH58" s="2">
        <f>COUNTIF(Play!AI32:AS32,Play!$CF$17)</f>
        <v>0</v>
      </c>
      <c r="AI58" s="2">
        <f>COUNTIF(Play!AK32:AU32,Play!$CF$17)</f>
        <v>0</v>
      </c>
      <c r="AJ58" s="2">
        <f>COUNTIF(Play!AM32:AW32,Play!$CF$17)</f>
        <v>0</v>
      </c>
    </row>
    <row r="59" spans="2:41" ht="13" customHeight="1">
      <c r="B59" s="2">
        <f>COUNTIF(Play!M34:W34,Play!$BI$17)</f>
        <v>0</v>
      </c>
      <c r="C59" s="2">
        <f>COUNTIF(Play!O34:Y34,Play!$BI$17)</f>
        <v>0</v>
      </c>
      <c r="D59" s="2">
        <f>COUNTIF(Play!Q34:AA34,Play!$BI$17)</f>
        <v>0</v>
      </c>
      <c r="E59" s="2">
        <f>COUNTIF(Play!S34:AC34,Play!$BI$17)</f>
        <v>0</v>
      </c>
      <c r="F59" s="2">
        <f>COUNTIF(Play!U34:AE34,Play!$BI$17)</f>
        <v>0</v>
      </c>
      <c r="G59" s="2">
        <f>COUNTIF(Play!W34:AG34,Play!$BI$17)</f>
        <v>0</v>
      </c>
      <c r="H59" s="2">
        <f>COUNTIF(Play!Y34:AI34,Play!$BI$17)</f>
        <v>0</v>
      </c>
      <c r="I59" s="2">
        <f>COUNTIF(Play!AA34:AK34,Play!$BI$17)</f>
        <v>0</v>
      </c>
      <c r="J59" s="2">
        <f>COUNTIF(Play!AC34:AM34,Play!$BI$17)</f>
        <v>0</v>
      </c>
      <c r="K59" s="2">
        <f>COUNTIF(Play!AE34:AO34,Play!$BI$17)</f>
        <v>0</v>
      </c>
      <c r="L59" s="2">
        <f>COUNTIF(Play!AG34:AQ34,Play!$BI$17)</f>
        <v>0</v>
      </c>
      <c r="M59" s="2">
        <f>COUNTIF(Play!AI34:AS34,Play!$BI$17)</f>
        <v>0</v>
      </c>
      <c r="N59" s="2">
        <f>COUNTIF(Play!AK34:AU34,Play!$BI$17)</f>
        <v>0</v>
      </c>
      <c r="O59" s="2">
        <f>COUNTIF(Play!AM34:AW34,Play!$BI$17)</f>
        <v>0</v>
      </c>
      <c r="P59" s="2"/>
      <c r="Q59" s="2"/>
      <c r="R59" s="2"/>
      <c r="S59" s="2"/>
      <c r="T59" s="2"/>
      <c r="U59" s="2"/>
      <c r="V59" s="2"/>
      <c r="W59" s="2">
        <f>COUNTIF(Play!M34:W34,Play!$CF$17)</f>
        <v>0</v>
      </c>
      <c r="X59" s="2">
        <f>COUNTIF(Play!O34:Y34,Play!$CF$17)</f>
        <v>0</v>
      </c>
      <c r="Y59" s="2">
        <f>COUNTIF(Play!Q34:AA34,Play!$CF$17)</f>
        <v>0</v>
      </c>
      <c r="Z59" s="2">
        <f>COUNTIF(Play!S34:AC34,Play!$CF$17)</f>
        <v>0</v>
      </c>
      <c r="AA59" s="2">
        <f>COUNTIF(Play!U34:AE34,Play!$CF$17)</f>
        <v>0</v>
      </c>
      <c r="AB59" s="2">
        <f>COUNTIF(Play!W34:AG34,Play!$CF$17)</f>
        <v>0</v>
      </c>
      <c r="AC59" s="2">
        <f>COUNTIF(Play!Y34:AI34,Play!$CF$17)</f>
        <v>0</v>
      </c>
      <c r="AD59" s="2">
        <f>COUNTIF(Play!AA34:AK34,Play!$CF$17)</f>
        <v>0</v>
      </c>
      <c r="AE59" s="2">
        <f>COUNTIF(Play!AC34:AM34,Play!$CF$17)</f>
        <v>0</v>
      </c>
      <c r="AF59" s="2">
        <f>COUNTIF(Play!AE34:AO34,Play!$CF$17)</f>
        <v>0</v>
      </c>
      <c r="AG59" s="2">
        <f>COUNTIF(Play!AG34:AQ34,Play!$CF$17)</f>
        <v>0</v>
      </c>
      <c r="AH59" s="2">
        <f>COUNTIF(Play!AI34:AS34,Play!$CF$17)</f>
        <v>0</v>
      </c>
      <c r="AI59" s="2">
        <f>COUNTIF(Play!AK34:AU34,Play!$CF$17)</f>
        <v>0</v>
      </c>
      <c r="AJ59" s="2">
        <f>COUNTIF(Play!AM34:AW34,Play!$CF$17)</f>
        <v>0</v>
      </c>
    </row>
    <row r="60" spans="2:41" ht="13" customHeight="1">
      <c r="B60" s="2">
        <f>COUNTIF(Play!M36:W36,Play!$BI$17)</f>
        <v>0</v>
      </c>
      <c r="C60" s="2">
        <f>COUNTIF(Play!O36:Y36,Play!$BI$17)</f>
        <v>0</v>
      </c>
      <c r="D60" s="2">
        <f>COUNTIF(Play!Q36:AA36,Play!$BI$17)</f>
        <v>0</v>
      </c>
      <c r="E60" s="2">
        <f>COUNTIF(Play!S36:AC36,Play!$BI$17)</f>
        <v>0</v>
      </c>
      <c r="F60" s="2">
        <f>COUNTIF(Play!U36:AE36,Play!$BI$17)</f>
        <v>0</v>
      </c>
      <c r="G60" s="2">
        <f>COUNTIF(Play!W36:AG36,Play!$BI$17)</f>
        <v>0</v>
      </c>
      <c r="H60" s="2">
        <f>COUNTIF(Play!Y36:AI36,Play!$BI$17)</f>
        <v>0</v>
      </c>
      <c r="I60" s="2">
        <f>COUNTIF(Play!AA36:AK36,Play!$BI$17)</f>
        <v>0</v>
      </c>
      <c r="J60" s="2">
        <f>COUNTIF(Play!AC36:AM36,Play!$BI$17)</f>
        <v>0</v>
      </c>
      <c r="K60" s="2">
        <f>COUNTIF(Play!AE36:AO36,Play!$BI$17)</f>
        <v>0</v>
      </c>
      <c r="L60" s="2">
        <f>COUNTIF(Play!AG36:AQ36,Play!$BI$17)</f>
        <v>0</v>
      </c>
      <c r="M60" s="2">
        <f>COUNTIF(Play!AI36:AS36,Play!$BI$17)</f>
        <v>0</v>
      </c>
      <c r="N60" s="2">
        <f>COUNTIF(Play!AK36:AU36,Play!$BI$17)</f>
        <v>0</v>
      </c>
      <c r="O60" s="2">
        <f>COUNTIF(Play!AM36:AW36,Play!$BI$17)</f>
        <v>0</v>
      </c>
      <c r="P60" s="2"/>
      <c r="Q60" s="2"/>
      <c r="R60" s="2"/>
      <c r="S60" s="2"/>
      <c r="T60" s="2"/>
      <c r="U60" s="2"/>
      <c r="V60" s="2"/>
      <c r="W60" s="2">
        <f>COUNTIF(Play!M36:W36,Play!$CF$17)</f>
        <v>0</v>
      </c>
      <c r="X60" s="2">
        <f>COUNTIF(Play!O36:Y36,Play!$CF$17)</f>
        <v>0</v>
      </c>
      <c r="Y60" s="2">
        <f>COUNTIF(Play!Q36:AA36,Play!$CF$17)</f>
        <v>0</v>
      </c>
      <c r="Z60" s="2">
        <f>COUNTIF(Play!S36:AC36,Play!$CF$17)</f>
        <v>0</v>
      </c>
      <c r="AA60" s="2">
        <f>COUNTIF(Play!U36:AE36,Play!$CF$17)</f>
        <v>0</v>
      </c>
      <c r="AB60" s="2">
        <f>COUNTIF(Play!W36:AG36,Play!$CF$17)</f>
        <v>0</v>
      </c>
      <c r="AC60" s="2">
        <f>COUNTIF(Play!Y36:AI36,Play!$CF$17)</f>
        <v>0</v>
      </c>
      <c r="AD60" s="2">
        <f>COUNTIF(Play!AA36:AK36,Play!$CF$17)</f>
        <v>0</v>
      </c>
      <c r="AE60" s="2">
        <f>COUNTIF(Play!AC36:AM36,Play!$CF$17)</f>
        <v>0</v>
      </c>
      <c r="AF60" s="2">
        <f>COUNTIF(Play!AE36:AO36,Play!$CF$17)</f>
        <v>0</v>
      </c>
      <c r="AG60" s="2">
        <f>COUNTIF(Play!AG36:AQ36,Play!$CF$17)</f>
        <v>0</v>
      </c>
      <c r="AH60" s="2">
        <f>COUNTIF(Play!AI36:AS36,Play!$CF$17)</f>
        <v>0</v>
      </c>
      <c r="AI60" s="2">
        <f>COUNTIF(Play!AK36:AU36,Play!$CF$17)</f>
        <v>0</v>
      </c>
      <c r="AJ60" s="2">
        <f>COUNTIF(Play!AM36:AW36,Play!$CF$17)</f>
        <v>0</v>
      </c>
    </row>
    <row r="61" spans="2:41" ht="13" customHeight="1">
      <c r="B61" s="2">
        <f>COUNTIF(Play!M38:W38,Play!$BI$17)</f>
        <v>0</v>
      </c>
      <c r="C61" s="2">
        <f>COUNTIF(Play!O38:Y38,Play!$BI$17)</f>
        <v>0</v>
      </c>
      <c r="D61" s="2">
        <f>COUNTIF(Play!Q38:AA38,Play!$BI$17)</f>
        <v>0</v>
      </c>
      <c r="E61" s="2">
        <f>COUNTIF(Play!S38:AC38,Play!$BI$17)</f>
        <v>0</v>
      </c>
      <c r="F61" s="2">
        <f>COUNTIF(Play!U38:AE38,Play!$BI$17)</f>
        <v>0</v>
      </c>
      <c r="G61" s="2">
        <f>COUNTIF(Play!W38:AG38,Play!$BI$17)</f>
        <v>0</v>
      </c>
      <c r="H61" s="2">
        <f>COUNTIF(Play!Y38:AI38,Play!$BI$17)</f>
        <v>0</v>
      </c>
      <c r="I61" s="2">
        <f>COUNTIF(Play!AA38:AK38,Play!$BI$17)</f>
        <v>0</v>
      </c>
      <c r="J61" s="2">
        <f>COUNTIF(Play!AC38:AM38,Play!$BI$17)</f>
        <v>0</v>
      </c>
      <c r="K61" s="2">
        <f>COUNTIF(Play!AE38:AO38,Play!$BI$17)</f>
        <v>0</v>
      </c>
      <c r="L61" s="2">
        <f>COUNTIF(Play!AG38:AQ38,Play!$BI$17)</f>
        <v>0</v>
      </c>
      <c r="M61" s="2">
        <f>COUNTIF(Play!AI38:AS38,Play!$BI$17)</f>
        <v>0</v>
      </c>
      <c r="N61" s="2">
        <f>COUNTIF(Play!AK38:AU38,Play!$BI$17)</f>
        <v>0</v>
      </c>
      <c r="O61" s="2">
        <f>COUNTIF(Play!AM38:AW38,Play!$BI$17)</f>
        <v>0</v>
      </c>
      <c r="P61" s="2"/>
      <c r="Q61" s="2"/>
      <c r="R61" s="2"/>
      <c r="S61" s="2"/>
      <c r="T61" s="2"/>
      <c r="U61" s="2"/>
      <c r="V61" s="2"/>
      <c r="W61" s="2">
        <f>COUNTIF(Play!M38:W38,Play!$CF$17)</f>
        <v>0</v>
      </c>
      <c r="X61" s="2">
        <f>COUNTIF(Play!O38:Y38,Play!$CF$17)</f>
        <v>0</v>
      </c>
      <c r="Y61" s="2">
        <f>COUNTIF(Play!Q38:AA38,Play!$CF$17)</f>
        <v>0</v>
      </c>
      <c r="Z61" s="2">
        <f>COUNTIF(Play!S38:AC38,Play!$CF$17)</f>
        <v>0</v>
      </c>
      <c r="AA61" s="2">
        <f>COUNTIF(Play!U38:AE38,Play!$CF$17)</f>
        <v>0</v>
      </c>
      <c r="AB61" s="2">
        <f>COUNTIF(Play!W38:AG38,Play!$CF$17)</f>
        <v>0</v>
      </c>
      <c r="AC61" s="2">
        <f>COUNTIF(Play!Y38:AI38,Play!$CF$17)</f>
        <v>0</v>
      </c>
      <c r="AD61" s="2">
        <f>COUNTIF(Play!AA38:AK38,Play!$CF$17)</f>
        <v>0</v>
      </c>
      <c r="AE61" s="2">
        <f>COUNTIF(Play!AC38:AM38,Play!$CF$17)</f>
        <v>0</v>
      </c>
      <c r="AF61" s="2">
        <f>COUNTIF(Play!AE38:AO38,Play!$CF$17)</f>
        <v>0</v>
      </c>
      <c r="AG61" s="2">
        <f>COUNTIF(Play!AG38:AQ38,Play!$CF$17)</f>
        <v>0</v>
      </c>
      <c r="AH61" s="2">
        <f>COUNTIF(Play!AI38:AS38,Play!$CF$17)</f>
        <v>0</v>
      </c>
      <c r="AI61" s="2">
        <f>COUNTIF(Play!AK38:AU38,Play!$CF$17)</f>
        <v>0</v>
      </c>
      <c r="AJ61" s="2">
        <f>COUNTIF(Play!AM38:AW38,Play!$CF$17)</f>
        <v>0</v>
      </c>
    </row>
    <row r="62" spans="2:41" ht="13" customHeight="1">
      <c r="B62" s="2">
        <f>COUNTIF(Play!M40:W40,Play!$BI$17)</f>
        <v>0</v>
      </c>
      <c r="C62" s="2">
        <f>COUNTIF(Play!O40:Y40,Play!$BI$17)</f>
        <v>0</v>
      </c>
      <c r="D62" s="2">
        <f>COUNTIF(Play!Q40:AA40,Play!$BI$17)</f>
        <v>0</v>
      </c>
      <c r="E62" s="2">
        <f>COUNTIF(Play!S40:AC40,Play!$BI$17)</f>
        <v>0</v>
      </c>
      <c r="F62" s="2">
        <f>COUNTIF(Play!U40:AE40,Play!$BI$17)</f>
        <v>0</v>
      </c>
      <c r="G62" s="2">
        <f>COUNTIF(Play!W40:AG40,Play!$BI$17)</f>
        <v>0</v>
      </c>
      <c r="H62" s="2">
        <f>COUNTIF(Play!Y40:AI40,Play!$BI$17)</f>
        <v>0</v>
      </c>
      <c r="I62" s="2">
        <f>COUNTIF(Play!AA40:AK40,Play!$BI$17)</f>
        <v>0</v>
      </c>
      <c r="J62" s="2">
        <f>COUNTIF(Play!AC40:AM40,Play!$BI$17)</f>
        <v>0</v>
      </c>
      <c r="K62" s="2">
        <f>COUNTIF(Play!AE40:AO40,Play!$BI$17)</f>
        <v>0</v>
      </c>
      <c r="L62" s="2">
        <f>COUNTIF(Play!AG40:AQ40,Play!$BI$17)</f>
        <v>0</v>
      </c>
      <c r="M62" s="2">
        <f>COUNTIF(Play!AI40:AS40,Play!$BI$17)</f>
        <v>0</v>
      </c>
      <c r="N62" s="2">
        <f>COUNTIF(Play!AK40:AU40,Play!$BI$17)</f>
        <v>0</v>
      </c>
      <c r="O62" s="2">
        <f>COUNTIF(Play!AM40:AW40,Play!$BI$17)</f>
        <v>0</v>
      </c>
      <c r="P62" s="2"/>
      <c r="Q62" s="2"/>
      <c r="R62" s="2"/>
      <c r="S62" s="2"/>
      <c r="T62" s="2"/>
      <c r="U62" s="2"/>
      <c r="V62" s="2"/>
      <c r="W62" s="2">
        <f>COUNTIF(Play!M40:W40,Play!$CF$17)</f>
        <v>0</v>
      </c>
      <c r="X62" s="2">
        <f>COUNTIF(Play!O40:Y40,Play!$CF$17)</f>
        <v>0</v>
      </c>
      <c r="Y62" s="2">
        <f>COUNTIF(Play!Q40:AA40,Play!$CF$17)</f>
        <v>0</v>
      </c>
      <c r="Z62" s="2">
        <f>COUNTIF(Play!S40:AC40,Play!$CF$17)</f>
        <v>0</v>
      </c>
      <c r="AA62" s="2">
        <f>COUNTIF(Play!U40:AE40,Play!$CF$17)</f>
        <v>0</v>
      </c>
      <c r="AB62" s="2">
        <f>COUNTIF(Play!W40:AG40,Play!$CF$17)</f>
        <v>0</v>
      </c>
      <c r="AC62" s="2">
        <f>COUNTIF(Play!Y40:AI40,Play!$CF$17)</f>
        <v>0</v>
      </c>
      <c r="AD62" s="2">
        <f>COUNTIF(Play!AA40:AK40,Play!$CF$17)</f>
        <v>0</v>
      </c>
      <c r="AE62" s="2">
        <f>COUNTIF(Play!AC40:AM40,Play!$CF$17)</f>
        <v>0</v>
      </c>
      <c r="AF62" s="2">
        <f>COUNTIF(Play!AE40:AO40,Play!$CF$17)</f>
        <v>0</v>
      </c>
      <c r="AG62" s="2">
        <f>COUNTIF(Play!AG40:AQ40,Play!$CF$17)</f>
        <v>0</v>
      </c>
      <c r="AH62" s="2">
        <f>COUNTIF(Play!AI40:AS40,Play!$CF$17)</f>
        <v>0</v>
      </c>
      <c r="AI62" s="2">
        <f>COUNTIF(Play!AK40:AU40,Play!$CF$17)</f>
        <v>0</v>
      </c>
      <c r="AJ62" s="2">
        <f>COUNTIF(Play!AM40:AW40,Play!$CF$17)</f>
        <v>0</v>
      </c>
    </row>
  </sheetData>
  <phoneticPr fontId="1" type="noConversion"/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Play</vt:lpstr>
      <vt:lpstr>Stat</vt:lpstr>
      <vt:lpstr>Cal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Ng</dc:creator>
  <cp:lastModifiedBy>Alex Ng</cp:lastModifiedBy>
  <dcterms:created xsi:type="dcterms:W3CDTF">2015-10-21T08:40:15Z</dcterms:created>
  <dcterms:modified xsi:type="dcterms:W3CDTF">2016-03-30T10:33:15Z</dcterms:modified>
</cp:coreProperties>
</file>