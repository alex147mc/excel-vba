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8C4F1C90-05EB-6A55-5F09-09C24B55AC0B}"/>
  <workbookPr codeName="ThisWorkbook" autoCompressPictures="0"/>
  <bookViews>
    <workbookView xWindow="0" yWindow="0" windowWidth="25600" windowHeight="13860" tabRatio="612"/>
  </bookViews>
  <sheets>
    <sheet name="pla" sheetId="6" r:id="rId1"/>
    <sheet name="cal" sheetId="4" r:id="rId2"/>
    <sheet name="lok" sheetId="5" r:id="rId3"/>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F1" i="4" l="1"/>
  <c r="V1" i="4"/>
  <c r="L1" i="4"/>
  <c r="B1" i="4"/>
  <c r="DN35" i="6"/>
  <c r="CS35" i="6"/>
  <c r="DN19" i="6"/>
  <c r="CS19" i="6"/>
  <c r="AQ2" i="4"/>
  <c r="AW9" i="4"/>
  <c r="AU2" i="4"/>
  <c r="BH2" i="4"/>
  <c r="BH3" i="4"/>
  <c r="BD9" i="4"/>
  <c r="BH4" i="4"/>
  <c r="AQ3" i="4"/>
  <c r="BD10" i="4"/>
  <c r="BH5" i="4"/>
  <c r="BH6" i="4"/>
  <c r="BH7" i="4"/>
  <c r="BH8" i="4"/>
  <c r="BH9" i="4"/>
  <c r="BH10" i="4"/>
  <c r="BH11" i="4"/>
  <c r="BH12" i="4"/>
  <c r="BH13" i="4"/>
  <c r="BH14" i="4"/>
  <c r="BH16" i="4"/>
  <c r="BH17" i="4"/>
  <c r="BH19" i="4"/>
  <c r="BH20" i="4"/>
  <c r="BH21" i="4"/>
  <c r="BH22" i="4"/>
  <c r="BH23" i="4"/>
  <c r="BH24" i="4"/>
  <c r="BH25" i="4"/>
  <c r="BH26" i="4"/>
  <c r="BH27" i="4"/>
  <c r="BH28" i="4"/>
  <c r="BH29" i="4"/>
  <c r="BH30" i="4"/>
  <c r="BH31" i="4"/>
  <c r="BH33" i="4"/>
  <c r="BH34" i="4"/>
  <c r="BH36" i="4"/>
  <c r="BH38" i="4"/>
  <c r="BH40" i="4"/>
  <c r="BH41" i="4"/>
  <c r="BG11" i="4"/>
  <c r="BI11" i="4"/>
  <c r="BG19" i="4"/>
  <c r="BI19" i="4"/>
  <c r="BG25" i="4"/>
  <c r="BI25" i="4"/>
  <c r="BG31" i="4"/>
  <c r="BI31" i="4"/>
  <c r="BG12" i="4"/>
  <c r="BI12" i="4"/>
  <c r="BG14" i="4"/>
  <c r="BI14" i="4"/>
  <c r="BG7" i="4"/>
  <c r="BI7" i="4"/>
  <c r="BG33" i="4"/>
  <c r="BI33" i="4"/>
  <c r="BG5" i="4"/>
  <c r="BI5" i="4"/>
  <c r="BG10" i="4"/>
  <c r="BI10" i="4"/>
  <c r="BG17" i="4"/>
  <c r="BI17" i="4"/>
  <c r="BG22" i="4"/>
  <c r="BI22" i="4"/>
  <c r="BG40" i="4"/>
  <c r="BI40" i="4"/>
  <c r="AX2" i="4"/>
  <c r="AR2" i="4"/>
  <c r="AS2" i="4"/>
  <c r="AT2" i="4"/>
  <c r="AV2" i="4"/>
  <c r="AX9" i="4"/>
  <c r="AY9" i="4"/>
  <c r="AP2" i="4"/>
  <c r="AW10" i="4"/>
  <c r="AU3" i="4"/>
  <c r="BG20" i="4"/>
  <c r="BI20" i="4"/>
  <c r="BG23" i="4"/>
  <c r="BI23" i="4"/>
  <c r="BG36" i="4"/>
  <c r="BI36" i="4"/>
  <c r="BG34" i="4"/>
  <c r="BI34" i="4"/>
  <c r="BG4" i="4"/>
  <c r="BI4" i="4"/>
  <c r="BG6" i="4"/>
  <c r="BI6" i="4"/>
  <c r="BG16" i="4"/>
  <c r="BI16" i="4"/>
  <c r="BG28" i="4"/>
  <c r="BI28" i="4"/>
  <c r="BG8" i="4"/>
  <c r="BI8" i="4"/>
  <c r="BG13" i="4"/>
  <c r="BI13" i="4"/>
  <c r="BG38" i="4"/>
  <c r="BI38" i="4"/>
  <c r="BG26" i="4"/>
  <c r="BI26" i="4"/>
  <c r="BG3" i="4"/>
  <c r="BI3" i="4"/>
  <c r="BG2" i="4"/>
  <c r="BI2" i="4"/>
  <c r="AX3" i="4"/>
  <c r="AR3" i="4"/>
  <c r="AS3" i="4"/>
  <c r="AT3" i="4"/>
  <c r="AV3" i="4"/>
  <c r="AX10" i="4"/>
  <c r="AY10" i="4"/>
  <c r="AP3" i="4"/>
  <c r="AQ4" i="4"/>
  <c r="AW11" i="4"/>
  <c r="AU4" i="4"/>
  <c r="AX4" i="4"/>
  <c r="AR4" i="4"/>
  <c r="AS4" i="4"/>
  <c r="AT4" i="4"/>
  <c r="AV4" i="4"/>
  <c r="AX11" i="4"/>
  <c r="AY11" i="4"/>
  <c r="AP4" i="4"/>
  <c r="AQ5" i="4"/>
  <c r="AW12" i="4"/>
  <c r="AU5" i="4"/>
  <c r="BG24" i="4"/>
  <c r="BI24" i="4"/>
  <c r="BG30" i="4"/>
  <c r="BI30" i="4"/>
  <c r="AX5" i="4"/>
  <c r="AR5" i="4"/>
  <c r="AS5" i="4"/>
  <c r="AT5" i="4"/>
  <c r="AV5" i="4"/>
  <c r="AX12" i="4"/>
  <c r="AY12" i="4"/>
  <c r="AP5" i="4"/>
  <c r="BC5" i="4"/>
  <c r="BC2" i="4"/>
  <c r="BA2" i="4"/>
  <c r="BA9" i="4"/>
  <c r="BA4" i="4"/>
  <c r="BA5" i="4"/>
  <c r="BA12" i="4"/>
  <c r="BC4" i="4"/>
  <c r="BA11" i="4"/>
  <c r="BC3" i="4"/>
  <c r="BA3" i="4"/>
  <c r="BA10" i="4"/>
  <c r="BB2" i="4"/>
  <c r="BD2" i="4"/>
  <c r="BB3" i="4"/>
  <c r="BD3" i="4"/>
  <c r="BB4" i="4"/>
  <c r="BD4" i="4"/>
  <c r="BB5" i="4"/>
  <c r="BD5" i="4"/>
  <c r="BC1" i="4"/>
  <c r="AZ2" i="4"/>
  <c r="CY24" i="6"/>
  <c r="BK1" i="4"/>
  <c r="Z11" i="5"/>
  <c r="Z19" i="5"/>
  <c r="Z25" i="5"/>
  <c r="Z12" i="5"/>
  <c r="Z14" i="5"/>
  <c r="Z7" i="5"/>
  <c r="Z28" i="5"/>
  <c r="Z33" i="5"/>
  <c r="Z5" i="5"/>
  <c r="Z23" i="5"/>
  <c r="Z30" i="5"/>
  <c r="Z10" i="5"/>
  <c r="Z17" i="5"/>
  <c r="Z22" i="5"/>
  <c r="Z40" i="5"/>
  <c r="BK2" i="4"/>
  <c r="BK3" i="4"/>
  <c r="BK4" i="4"/>
  <c r="BK5" i="4"/>
  <c r="BK6" i="4"/>
  <c r="BK7" i="4"/>
  <c r="BK8" i="4"/>
  <c r="BK9" i="4"/>
  <c r="BK10" i="4"/>
  <c r="BK11" i="4"/>
  <c r="BK12" i="4"/>
  <c r="BK13" i="4"/>
  <c r="BK14" i="4"/>
  <c r="BK16" i="4"/>
  <c r="BK17" i="4"/>
  <c r="BK19" i="4"/>
  <c r="BK20" i="4"/>
  <c r="BK21" i="4"/>
  <c r="BK22" i="4"/>
  <c r="BK23" i="4"/>
  <c r="BK24" i="4"/>
  <c r="BK25" i="4"/>
  <c r="BK26" i="4"/>
  <c r="BK27" i="4"/>
  <c r="BK28" i="4"/>
  <c r="BK29" i="4"/>
  <c r="BK30" i="4"/>
  <c r="BK31" i="4"/>
  <c r="BK33" i="4"/>
  <c r="BK34" i="4"/>
  <c r="BK36" i="4"/>
  <c r="BK38" i="4"/>
  <c r="BK40" i="4"/>
  <c r="BK41" i="4"/>
  <c r="BK42" i="4"/>
  <c r="CQ53" i="6"/>
  <c r="DT24" i="6"/>
  <c r="AZ3" i="4"/>
  <c r="BL1" i="4"/>
  <c r="Z20" i="5"/>
  <c r="Z36" i="5"/>
  <c r="Z34" i="5"/>
  <c r="Z4" i="5"/>
  <c r="Z6" i="5"/>
  <c r="Z16" i="5"/>
  <c r="Z8" i="5"/>
  <c r="Z13" i="5"/>
  <c r="Z38" i="5"/>
  <c r="Z26" i="5"/>
  <c r="Z3" i="5"/>
  <c r="Z2" i="5"/>
  <c r="BL2" i="4"/>
  <c r="BL3" i="4"/>
  <c r="BL4" i="4"/>
  <c r="BL5" i="4"/>
  <c r="BL6" i="4"/>
  <c r="BL7" i="4"/>
  <c r="BL8" i="4"/>
  <c r="BL9" i="4"/>
  <c r="BL10" i="4"/>
  <c r="BL11" i="4"/>
  <c r="BL12" i="4"/>
  <c r="BL13" i="4"/>
  <c r="BL14" i="4"/>
  <c r="BL16" i="4"/>
  <c r="BL17" i="4"/>
  <c r="BL19" i="4"/>
  <c r="BL20" i="4"/>
  <c r="BL21" i="4"/>
  <c r="BL22" i="4"/>
  <c r="BL23" i="4"/>
  <c r="BL24" i="4"/>
  <c r="BL25" i="4"/>
  <c r="BL26" i="4"/>
  <c r="BL27" i="4"/>
  <c r="BL28" i="4"/>
  <c r="BL29" i="4"/>
  <c r="BL30" i="4"/>
  <c r="BL31" i="4"/>
  <c r="BL33" i="4"/>
  <c r="BL34" i="4"/>
  <c r="BL36" i="4"/>
  <c r="BL38" i="4"/>
  <c r="BL40" i="4"/>
  <c r="BL41" i="4"/>
  <c r="BL42" i="4"/>
  <c r="CU53" i="6"/>
  <c r="CY40" i="6"/>
  <c r="AZ4" i="4"/>
  <c r="BM1" i="4"/>
  <c r="Z31" i="5"/>
  <c r="BM2" i="4"/>
  <c r="BM3" i="4"/>
  <c r="BM4" i="4"/>
  <c r="BM5" i="4"/>
  <c r="BM6" i="4"/>
  <c r="BM7" i="4"/>
  <c r="BM8" i="4"/>
  <c r="BM9" i="4"/>
  <c r="BM10" i="4"/>
  <c r="BM11" i="4"/>
  <c r="BM12" i="4"/>
  <c r="BM13" i="4"/>
  <c r="BM14" i="4"/>
  <c r="BM16" i="4"/>
  <c r="BM17" i="4"/>
  <c r="BM19" i="4"/>
  <c r="BM20" i="4"/>
  <c r="BM21" i="4"/>
  <c r="BM22" i="4"/>
  <c r="BM23" i="4"/>
  <c r="BM24" i="4"/>
  <c r="BM25" i="4"/>
  <c r="BM26" i="4"/>
  <c r="BM27" i="4"/>
  <c r="BM28" i="4"/>
  <c r="BM29" i="4"/>
  <c r="BM30" i="4"/>
  <c r="BM31" i="4"/>
  <c r="BM33" i="4"/>
  <c r="BM34" i="4"/>
  <c r="BM36" i="4"/>
  <c r="BM38" i="4"/>
  <c r="BM40" i="4"/>
  <c r="BM41" i="4"/>
  <c r="BM42" i="4"/>
  <c r="CY53" i="6"/>
  <c r="DT40" i="6"/>
  <c r="AZ5" i="4"/>
  <c r="Z24" i="5"/>
  <c r="BN1" i="4"/>
  <c r="BN2" i="4"/>
  <c r="BN3" i="4"/>
  <c r="BN4" i="4"/>
  <c r="BN5" i="4"/>
  <c r="BN6" i="4"/>
  <c r="BN7" i="4"/>
  <c r="BN8" i="4"/>
  <c r="BN9" i="4"/>
  <c r="BN10" i="4"/>
  <c r="BN11" i="4"/>
  <c r="BN12" i="4"/>
  <c r="BN13" i="4"/>
  <c r="BN14" i="4"/>
  <c r="BN16" i="4"/>
  <c r="BN17" i="4"/>
  <c r="BN19" i="4"/>
  <c r="BN20" i="4"/>
  <c r="BN21" i="4"/>
  <c r="BN22" i="4"/>
  <c r="BN23" i="4"/>
  <c r="BN24" i="4"/>
  <c r="BN25" i="4"/>
  <c r="BN26" i="4"/>
  <c r="BN27" i="4"/>
  <c r="BN28" i="4"/>
  <c r="BN29" i="4"/>
  <c r="BN30" i="4"/>
  <c r="BN31" i="4"/>
  <c r="BN33" i="4"/>
  <c r="BN34" i="4"/>
  <c r="BN36" i="4"/>
  <c r="BN38" i="4"/>
  <c r="BN40" i="4"/>
  <c r="BN41" i="4"/>
  <c r="BN42" i="4"/>
  <c r="DC53" i="6"/>
  <c r="DS38" i="6"/>
  <c r="CX22" i="6"/>
  <c r="DS22" i="6"/>
  <c r="CX38" i="6"/>
  <c r="DC32" i="6"/>
  <c r="BD12" i="4"/>
  <c r="DG53" i="6"/>
  <c r="BP41" i="4"/>
  <c r="BP40" i="4"/>
  <c r="BP38" i="4"/>
  <c r="BP36" i="4"/>
  <c r="BP34" i="4"/>
  <c r="BP33" i="4"/>
  <c r="BP31" i="4"/>
  <c r="BP30" i="4"/>
  <c r="BP29" i="4"/>
  <c r="BP28" i="4"/>
  <c r="BP27" i="4"/>
  <c r="BP26" i="4"/>
  <c r="BP25" i="4"/>
  <c r="BP24" i="4"/>
  <c r="BP23" i="4"/>
  <c r="BP22" i="4"/>
  <c r="BP21" i="4"/>
  <c r="BP20" i="4"/>
  <c r="BP19" i="4"/>
  <c r="BP17" i="4"/>
  <c r="BP16" i="4"/>
  <c r="BP14" i="4"/>
  <c r="BP13" i="4"/>
  <c r="BP12" i="4"/>
  <c r="BP11" i="4"/>
  <c r="BP10" i="4"/>
  <c r="BP9" i="4"/>
  <c r="BP8" i="4"/>
  <c r="BP7" i="4"/>
  <c r="BP6" i="4"/>
  <c r="BP5" i="4"/>
  <c r="BP4" i="4"/>
  <c r="BP3" i="4"/>
  <c r="BP2" i="4"/>
  <c r="BD1" i="4"/>
  <c r="BB9" i="4"/>
  <c r="BB10" i="4"/>
  <c r="BB11" i="4"/>
  <c r="BB12" i="4"/>
  <c r="AW31" i="6"/>
  <c r="AM7" i="6"/>
  <c r="S20" i="6"/>
  <c r="Y14" i="6"/>
  <c r="AE11" i="6"/>
  <c r="AS7" i="6"/>
  <c r="AY7" i="6"/>
  <c r="BG9" i="6"/>
  <c r="BG9" i="4"/>
  <c r="BI9" i="4"/>
  <c r="BA13" i="6"/>
  <c r="AY19" i="6"/>
  <c r="AS19" i="6"/>
  <c r="AQ26" i="6"/>
  <c r="AW25" i="6"/>
  <c r="BE24" i="6"/>
  <c r="BG18" i="6"/>
  <c r="BO17" i="6"/>
  <c r="BX11" i="6"/>
  <c r="BG21" i="4"/>
  <c r="BI21" i="4"/>
  <c r="CC17" i="6"/>
  <c r="BU20" i="6"/>
  <c r="CA23" i="6"/>
  <c r="BW36" i="6"/>
  <c r="BO37" i="6"/>
  <c r="BG38" i="6"/>
  <c r="BG27" i="4"/>
  <c r="BI27" i="4"/>
  <c r="BL44" i="6"/>
  <c r="BE48" i="6"/>
  <c r="BG29" i="4"/>
  <c r="BI29" i="4"/>
  <c r="AR47" i="6"/>
  <c r="AQ40" i="6"/>
  <c r="AX44" i="6"/>
  <c r="AH48" i="6"/>
  <c r="T45" i="6"/>
  <c r="J41" i="6"/>
  <c r="AI32" i="6"/>
  <c r="AM17" i="6"/>
  <c r="BG41" i="4"/>
  <c r="BI41" i="4"/>
  <c r="AE21" i="6"/>
  <c r="Z9" i="5"/>
  <c r="Z29" i="5"/>
  <c r="Z27" i="5"/>
  <c r="Z21" i="5"/>
  <c r="Z41" i="5"/>
  <c r="AY2" i="4"/>
  <c r="AY3" i="4"/>
  <c r="AY4" i="4"/>
  <c r="AY5" i="4"/>
  <c r="BJ40" i="4"/>
  <c r="BG39" i="4"/>
  <c r="BG37" i="4"/>
  <c r="BJ36" i="4"/>
  <c r="BG35" i="4"/>
  <c r="BJ34" i="4"/>
  <c r="BG32" i="4"/>
  <c r="BJ30" i="4"/>
  <c r="BJ28" i="4"/>
  <c r="BJ24" i="4"/>
  <c r="BJ22" i="4"/>
  <c r="BJ20" i="4"/>
  <c r="BG18" i="4"/>
  <c r="BJ16" i="4"/>
  <c r="BG15" i="4"/>
  <c r="BJ13" i="4"/>
  <c r="BJ9" i="4"/>
  <c r="BJ7" i="4"/>
  <c r="BJ5" i="4"/>
  <c r="BJ38" i="4"/>
  <c r="BJ3" i="4"/>
  <c r="BJ11" i="4"/>
  <c r="BJ26" i="4"/>
  <c r="BJ4" i="4"/>
  <c r="BJ8" i="4"/>
  <c r="BJ12" i="4"/>
  <c r="BJ17" i="4"/>
  <c r="BJ21" i="4"/>
  <c r="BJ25" i="4"/>
  <c r="BJ29" i="4"/>
  <c r="BJ33" i="4"/>
  <c r="BJ41" i="4"/>
  <c r="BJ6" i="4"/>
  <c r="BJ10" i="4"/>
  <c r="BJ19" i="4"/>
  <c r="BJ23" i="4"/>
  <c r="BJ27" i="4"/>
  <c r="BJ31" i="4"/>
  <c r="BJ14" i="4"/>
  <c r="BJ2" i="4"/>
  <c r="BD11" i="4"/>
  <c r="AW4" i="4"/>
  <c r="CR32" i="6"/>
  <c r="BB12" i="6"/>
  <c r="DE17" i="6"/>
  <c r="DI15" i="6"/>
  <c r="DI17" i="6"/>
  <c r="DE13" i="6"/>
  <c r="DG17" i="6"/>
  <c r="BC7" i="4"/>
  <c r="DG13" i="6"/>
  <c r="DE15" i="6"/>
  <c r="DI13" i="6"/>
  <c r="DG15" i="6"/>
  <c r="BB1" i="4"/>
  <c r="AW5" i="4"/>
  <c r="DM32" i="6"/>
  <c r="AT25" i="6"/>
  <c r="BF29" i="6"/>
  <c r="BO43" i="6"/>
  <c r="AH10" i="6"/>
  <c r="BJ17" i="6"/>
  <c r="BC37" i="6"/>
  <c r="BP22" i="6"/>
  <c r="G5" i="6"/>
  <c r="BH23" i="6"/>
  <c r="BB18" i="6"/>
  <c r="AZ30" i="6"/>
  <c r="BJ8" i="6"/>
  <c r="AH20" i="6"/>
  <c r="BR36" i="6"/>
  <c r="CD22" i="6"/>
  <c r="BH47" i="6"/>
  <c r="CF16" i="6"/>
  <c r="AB38" i="6"/>
  <c r="AP16" i="6"/>
  <c r="AN23" i="6"/>
  <c r="BX19" i="6"/>
  <c r="CA10" i="6"/>
  <c r="BR16" i="6"/>
  <c r="P17" i="6"/>
  <c r="AV6" i="6"/>
  <c r="AU46" i="6"/>
  <c r="BJ37" i="6"/>
  <c r="AZ24" i="6"/>
  <c r="AT39" i="6"/>
  <c r="BZ35" i="6"/>
  <c r="CD16" i="6"/>
  <c r="AT18" i="6"/>
  <c r="AW3" i="4"/>
  <c r="DM28" i="6"/>
  <c r="BA41" i="6"/>
  <c r="BD29" i="6"/>
  <c r="AJ31" i="6"/>
  <c r="AF10" i="6"/>
  <c r="BB16" i="6"/>
  <c r="AN6" i="6"/>
  <c r="CD20" i="6"/>
  <c r="BH45" i="6"/>
  <c r="BM43" i="6"/>
  <c r="BF27" i="6"/>
  <c r="AU44" i="6"/>
  <c r="BH21" i="6"/>
  <c r="T19" i="6"/>
  <c r="AX30" i="6"/>
  <c r="AX24" i="6"/>
  <c r="AL29" i="6"/>
  <c r="W42" i="6"/>
  <c r="BF23" i="6"/>
  <c r="U44" i="6"/>
  <c r="K40" i="6"/>
  <c r="K33" i="6"/>
  <c r="M40" i="6"/>
  <c r="AP14" i="6"/>
  <c r="P15" i="6"/>
  <c r="AZ28" i="6"/>
  <c r="BR14" i="6"/>
  <c r="AZ22" i="6"/>
  <c r="K31" i="6"/>
  <c r="AB11" i="6"/>
  <c r="AT37" i="6"/>
  <c r="BJ15" i="6"/>
  <c r="M38" i="6"/>
  <c r="AZ18" i="6"/>
  <c r="AS46" i="6"/>
  <c r="AL23" i="6"/>
  <c r="BH8" i="6"/>
  <c r="BP20" i="6"/>
  <c r="V17" i="6"/>
  <c r="AH18" i="6"/>
  <c r="AR25" i="6"/>
  <c r="AN16" i="6"/>
  <c r="BA37" i="6"/>
  <c r="BY10" i="6"/>
  <c r="AL31" i="6"/>
  <c r="V19" i="6"/>
  <c r="AI47" i="6"/>
  <c r="BH37" i="6"/>
  <c r="BP36" i="6"/>
  <c r="BX35" i="6"/>
  <c r="AR39" i="6"/>
  <c r="BV19" i="6"/>
  <c r="AV18" i="6"/>
  <c r="AY43" i="6"/>
  <c r="BN22" i="6"/>
  <c r="BA43" i="6"/>
  <c r="AP6" i="6"/>
  <c r="E5" i="6"/>
  <c r="I33" i="6"/>
  <c r="BB6" i="6"/>
  <c r="AF20" i="6"/>
  <c r="CB22" i="6"/>
  <c r="AK47" i="6"/>
  <c r="BJ35" i="6"/>
  <c r="BO41" i="6"/>
  <c r="G3" i="6"/>
  <c r="BC35" i="6"/>
  <c r="Z38" i="6"/>
  <c r="CF14" i="6"/>
  <c r="CA8" i="6"/>
  <c r="BH17" i="6"/>
  <c r="BR34" i="6"/>
  <c r="BJ6" i="6"/>
  <c r="AB36" i="6"/>
  <c r="AN21" i="6"/>
  <c r="BZ33" i="6"/>
  <c r="W44" i="6"/>
  <c r="AT6" i="6"/>
  <c r="AK45" i="6"/>
  <c r="AZ6" i="6"/>
  <c r="N17" i="6"/>
  <c r="BP16" i="6"/>
  <c r="AT23" i="6"/>
  <c r="BX17" i="6"/>
  <c r="BB4" i="6"/>
  <c r="AP4" i="6"/>
  <c r="BD10" i="6"/>
  <c r="AV4" i="6"/>
  <c r="BF47" i="6"/>
  <c r="AW2" i="4"/>
  <c r="CR28" i="6"/>
  <c r="AJ29" i="6"/>
  <c r="BA35" i="6"/>
  <c r="BD27" i="6"/>
  <c r="Z11" i="6"/>
  <c r="BX33" i="6"/>
  <c r="BP14" i="6"/>
  <c r="CB20" i="6"/>
  <c r="BH35" i="6"/>
  <c r="AZ4" i="6"/>
  <c r="CD14" i="6"/>
  <c r="AR37" i="6"/>
  <c r="BF45" i="6"/>
  <c r="BH15" i="6"/>
  <c r="BF21" i="6"/>
  <c r="AX22" i="6"/>
  <c r="AT16" i="6"/>
  <c r="AX28" i="6"/>
  <c r="K38" i="6"/>
  <c r="AF18" i="6"/>
  <c r="AF8" i="6"/>
  <c r="E3" i="6"/>
  <c r="Z36" i="6"/>
  <c r="U42" i="6"/>
  <c r="BN20" i="6"/>
  <c r="AY41" i="6"/>
  <c r="N15" i="6"/>
  <c r="AN4" i="6"/>
  <c r="BP34" i="6"/>
  <c r="AN14" i="6"/>
  <c r="BY8" i="6"/>
  <c r="AZ16" i="6"/>
  <c r="AR23" i="6"/>
  <c r="BB10" i="6"/>
  <c r="I31" i="6"/>
  <c r="AL21" i="6"/>
  <c r="BV17" i="6"/>
  <c r="AI45" i="6"/>
  <c r="BM41" i="6"/>
  <c r="AS44" i="6"/>
  <c r="AT4" i="6"/>
  <c r="T17" i="6"/>
  <c r="AV16" i="6"/>
  <c r="AZ9" i="4"/>
  <c r="AZ10" i="4"/>
  <c r="AB13" i="6"/>
  <c r="Z13" i="6"/>
  <c r="AH8" i="6"/>
  <c r="BO19" i="4"/>
  <c r="BO41" i="4"/>
  <c r="BO23" i="4"/>
  <c r="BO26" i="4"/>
  <c r="BO21" i="4"/>
  <c r="BO5" i="4"/>
  <c r="BO31" i="4"/>
  <c r="BO8" i="4"/>
  <c r="BO20" i="4"/>
  <c r="BO2" i="4"/>
  <c r="BO33" i="4"/>
  <c r="BO29" i="4"/>
  <c r="BO14" i="4"/>
  <c r="BO11" i="4"/>
  <c r="BO28" i="4"/>
  <c r="BO25" i="4"/>
  <c r="BO13" i="4"/>
  <c r="BO38" i="4"/>
  <c r="BO3" i="4"/>
  <c r="BO36" i="4"/>
  <c r="BH6" i="6"/>
  <c r="AZ11" i="4"/>
  <c r="BO4" i="4"/>
  <c r="BO27" i="4"/>
  <c r="AZ12" i="4"/>
  <c r="BO12" i="4"/>
  <c r="BO9" i="4"/>
  <c r="BO6" i="4"/>
  <c r="BO22" i="4"/>
  <c r="BO24" i="4"/>
  <c r="BO16" i="4"/>
  <c r="BO30" i="4"/>
  <c r="BO17" i="4"/>
  <c r="BO40" i="4"/>
  <c r="BO10" i="4"/>
  <c r="BO7" i="4"/>
  <c r="BO34" i="4"/>
  <c r="CY42" i="6"/>
  <c r="DT42" i="6"/>
  <c r="CY26" i="6"/>
  <c r="DT26" i="6"/>
  <c r="A53" i="6"/>
  <c r="BD12" i="6"/>
</calcChain>
</file>

<file path=xl/sharedStrings.xml><?xml version="1.0" encoding="utf-8"?>
<sst xmlns="http://schemas.openxmlformats.org/spreadsheetml/2006/main" count="533" uniqueCount="252">
  <si>
    <t>step</t>
    <phoneticPr fontId="1" type="noConversion"/>
  </si>
  <si>
    <t>青山</t>
  </si>
  <si>
    <t>屯門</t>
  </si>
  <si>
    <t>天水圍</t>
  </si>
  <si>
    <t>元朗</t>
  </si>
  <si>
    <t>落馬洲</t>
  </si>
  <si>
    <t>粉嶺</t>
  </si>
  <si>
    <t>大埔</t>
  </si>
  <si>
    <t>馬鞍山</t>
  </si>
  <si>
    <t>沙田</t>
  </si>
  <si>
    <t>九龍塘</t>
  </si>
  <si>
    <t>深水埗</t>
  </si>
  <si>
    <t>大角咀</t>
  </si>
  <si>
    <t>旺角</t>
  </si>
  <si>
    <t>尖沙咀</t>
  </si>
  <si>
    <t>紅磡</t>
  </si>
  <si>
    <t>土瓜灣</t>
  </si>
  <si>
    <t>九龍城</t>
  </si>
  <si>
    <t>啟德</t>
  </si>
  <si>
    <t>鑽石山</t>
  </si>
  <si>
    <t>西貢</t>
  </si>
  <si>
    <t>將軍澳</t>
  </si>
  <si>
    <t>觀塘</t>
  </si>
  <si>
    <t>油塘</t>
  </si>
  <si>
    <t>北角</t>
  </si>
  <si>
    <t>跑馬地</t>
  </si>
  <si>
    <t>灣仔</t>
  </si>
  <si>
    <t>中環</t>
  </si>
  <si>
    <t>西環</t>
  </si>
  <si>
    <t>數碼港</t>
  </si>
  <si>
    <t>山頂</t>
  </si>
  <si>
    <t>香港仔</t>
  </si>
  <si>
    <t>東涌</t>
  </si>
  <si>
    <t>機場</t>
  </si>
  <si>
    <t>迪士尼</t>
  </si>
  <si>
    <t>青衣</t>
  </si>
  <si>
    <t>葵涌</t>
  </si>
  <si>
    <t>美孚</t>
  </si>
  <si>
    <t>荃灣</t>
  </si>
  <si>
    <t>101</t>
  </si>
  <si>
    <t>111</t>
  </si>
  <si>
    <t>122</t>
  </si>
  <si>
    <t>130</t>
  </si>
  <si>
    <t>151</t>
  </si>
  <si>
    <t>163</t>
  </si>
  <si>
    <t>182</t>
  </si>
  <si>
    <t>192</t>
  </si>
  <si>
    <t>203</t>
  </si>
  <si>
    <t>210</t>
  </si>
  <si>
    <t>223</t>
  </si>
  <si>
    <t>232</t>
  </si>
  <si>
    <t>241</t>
  </si>
  <si>
    <t>253</t>
  </si>
  <si>
    <t>260</t>
  </si>
  <si>
    <t>271</t>
  </si>
  <si>
    <t>283</t>
  </si>
  <si>
    <t>292</t>
  </si>
  <si>
    <t>300</t>
  </si>
  <si>
    <t>321</t>
  </si>
  <si>
    <t>332</t>
  </si>
  <si>
    <t>350</t>
  </si>
  <si>
    <t>373</t>
  </si>
  <si>
    <t>391</t>
  </si>
  <si>
    <t>403</t>
  </si>
  <si>
    <t>step</t>
    <phoneticPr fontId="1" type="noConversion"/>
  </si>
  <si>
    <t>南丫島</t>
    <phoneticPr fontId="1" type="noConversion"/>
  </si>
  <si>
    <t>銅鑼灣</t>
    <phoneticPr fontId="1" type="noConversion"/>
  </si>
  <si>
    <t>愉景灣</t>
    <phoneticPr fontId="1" type="noConversion"/>
  </si>
  <si>
    <t>100</t>
  </si>
  <si>
    <t>110</t>
  </si>
  <si>
    <t>120</t>
  </si>
  <si>
    <t>150</t>
  </si>
  <si>
    <t>160</t>
  </si>
  <si>
    <t>180</t>
  </si>
  <si>
    <t>190</t>
  </si>
  <si>
    <t>200</t>
  </si>
  <si>
    <t>220</t>
  </si>
  <si>
    <t>230</t>
  </si>
  <si>
    <t>240</t>
  </si>
  <si>
    <t>250</t>
  </si>
  <si>
    <t>270</t>
  </si>
  <si>
    <t>280</t>
  </si>
  <si>
    <t>290</t>
  </si>
  <si>
    <t>320</t>
  </si>
  <si>
    <t>330</t>
  </si>
  <si>
    <t>370</t>
  </si>
  <si>
    <t>390</t>
  </si>
  <si>
    <t>400</t>
  </si>
  <si>
    <t>121</t>
  </si>
  <si>
    <t>131</t>
  </si>
  <si>
    <t>161</t>
  </si>
  <si>
    <t>181</t>
  </si>
  <si>
    <t>191</t>
  </si>
  <si>
    <t>201</t>
  </si>
  <si>
    <t>211</t>
  </si>
  <si>
    <t>221</t>
  </si>
  <si>
    <t>231</t>
  </si>
  <si>
    <t>251</t>
  </si>
  <si>
    <t>261</t>
  </si>
  <si>
    <t>281</t>
  </si>
  <si>
    <t>291</t>
  </si>
  <si>
    <t>301</t>
  </si>
  <si>
    <t>331</t>
  </si>
  <si>
    <t>351</t>
  </si>
  <si>
    <t>371</t>
  </si>
  <si>
    <t>401</t>
  </si>
  <si>
    <t>102</t>
  </si>
  <si>
    <t>112</t>
  </si>
  <si>
    <t>132</t>
  </si>
  <si>
    <t>152</t>
  </si>
  <si>
    <t>162</t>
  </si>
  <si>
    <t>202</t>
  </si>
  <si>
    <t>212</t>
  </si>
  <si>
    <t>222</t>
  </si>
  <si>
    <t>242</t>
  </si>
  <si>
    <t>252</t>
  </si>
  <si>
    <t>262</t>
  </si>
  <si>
    <t>272</t>
  </si>
  <si>
    <t>282</t>
  </si>
  <si>
    <t>302</t>
  </si>
  <si>
    <t>322</t>
  </si>
  <si>
    <t>352</t>
  </si>
  <si>
    <t>372</t>
  </si>
  <si>
    <t>392</t>
  </si>
  <si>
    <t>402</t>
  </si>
  <si>
    <t>103</t>
  </si>
  <si>
    <t>113</t>
  </si>
  <si>
    <t>123</t>
  </si>
  <si>
    <t>133</t>
  </si>
  <si>
    <t>153</t>
  </si>
  <si>
    <t>183</t>
  </si>
  <si>
    <t>193</t>
  </si>
  <si>
    <t>213</t>
  </si>
  <si>
    <t>233</t>
  </si>
  <si>
    <t>243</t>
  </si>
  <si>
    <t>263</t>
  </si>
  <si>
    <t>273</t>
  </si>
  <si>
    <t>293</t>
  </si>
  <si>
    <t>303</t>
  </si>
  <si>
    <t>323</t>
  </si>
  <si>
    <t>333</t>
  </si>
  <si>
    <t>353</t>
  </si>
  <si>
    <t>393</t>
  </si>
  <si>
    <t>lv</t>
    <phoneticPr fontId="1" type="noConversion"/>
  </si>
  <si>
    <t>cod</t>
    <phoneticPr fontId="1" type="noConversion"/>
  </si>
  <si>
    <t>010</t>
  </si>
  <si>
    <t>020</t>
  </si>
  <si>
    <t>030</t>
  </si>
  <si>
    <t>040</t>
  </si>
  <si>
    <t>050</t>
  </si>
  <si>
    <t>060</t>
  </si>
  <si>
    <t>070</t>
  </si>
  <si>
    <t>080</t>
  </si>
  <si>
    <t>090</t>
  </si>
  <si>
    <t>011</t>
  </si>
  <si>
    <t>021</t>
  </si>
  <si>
    <t>031</t>
  </si>
  <si>
    <t>041</t>
  </si>
  <si>
    <t>051</t>
  </si>
  <si>
    <t>061</t>
  </si>
  <si>
    <t>071</t>
  </si>
  <si>
    <t>081</t>
  </si>
  <si>
    <t>091</t>
  </si>
  <si>
    <t>012</t>
  </si>
  <si>
    <t>022</t>
  </si>
  <si>
    <t>032</t>
  </si>
  <si>
    <t>042</t>
  </si>
  <si>
    <t>052</t>
  </si>
  <si>
    <t>062</t>
  </si>
  <si>
    <t>072</t>
  </si>
  <si>
    <t>082</t>
  </si>
  <si>
    <t>092</t>
  </si>
  <si>
    <t>013</t>
  </si>
  <si>
    <t>023</t>
  </si>
  <si>
    <t>033</t>
  </si>
  <si>
    <t>043</t>
  </si>
  <si>
    <t>053</t>
  </si>
  <si>
    <t>063</t>
  </si>
  <si>
    <t>073</t>
  </si>
  <si>
    <t>083</t>
  </si>
  <si>
    <t>093</t>
  </si>
  <si>
    <t>penaly / prize</t>
    <phoneticPr fontId="1" type="noConversion"/>
  </si>
  <si>
    <t>cycle prize</t>
    <phoneticPr fontId="1" type="noConversion"/>
  </si>
  <si>
    <t>rent loss</t>
    <phoneticPr fontId="1" type="noConversion"/>
  </si>
  <si>
    <t>rent award</t>
    <phoneticPr fontId="1" type="noConversion"/>
  </si>
  <si>
    <t>sum</t>
    <phoneticPr fontId="1" type="noConversion"/>
  </si>
  <si>
    <t>no of cap</t>
    <phoneticPr fontId="1" type="noConversion"/>
  </si>
  <si>
    <t>今天天氣真好!</t>
    <phoneticPr fontId="1" type="noConversion"/>
  </si>
  <si>
    <t>這裡太棒了!</t>
    <phoneticPr fontId="1" type="noConversion"/>
  </si>
  <si>
    <t>得精神病，被送進青山</t>
    <phoneticPr fontId="1" type="noConversion"/>
  </si>
  <si>
    <t>還不過不失</t>
    <phoneticPr fontId="1" type="noConversion"/>
  </si>
  <si>
    <t>舊區重建，賺 2000 元</t>
    <phoneticPr fontId="1" type="noConversion"/>
  </si>
  <si>
    <t>郵輪碼頭收益 500 元</t>
    <phoneticPr fontId="1" type="noConversion"/>
  </si>
  <si>
    <t>貨櫃碼頭收益 500 元</t>
    <phoneticPr fontId="1" type="noConversion"/>
  </si>
  <si>
    <t>被徵收機場稅 1000 元</t>
    <phoneticPr fontId="1" type="noConversion"/>
  </si>
  <si>
    <t>到迪士尼遊玩，花費 800 元</t>
    <phoneticPr fontId="1" type="noConversion"/>
  </si>
  <si>
    <t>o</t>
  </si>
  <si>
    <t>(</t>
    <phoneticPr fontId="1" type="noConversion"/>
  </si>
  <si>
    <t>r</t>
    <phoneticPr fontId="1" type="noConversion"/>
  </si>
  <si>
    <t>t</t>
    <phoneticPr fontId="1" type="noConversion"/>
  </si>
  <si>
    <t>y</t>
    <phoneticPr fontId="1" type="noConversion"/>
  </si>
  <si>
    <t>u</t>
    <phoneticPr fontId="1" type="noConversion"/>
  </si>
  <si>
    <t>[</t>
    <phoneticPr fontId="1" type="noConversion"/>
  </si>
  <si>
    <t>Q</t>
    <phoneticPr fontId="1" type="noConversion"/>
  </si>
  <si>
    <t>I</t>
    <phoneticPr fontId="1" type="noConversion"/>
  </si>
  <si>
    <t>P</t>
    <phoneticPr fontId="1" type="noConversion"/>
  </si>
  <si>
    <t>d</t>
    <phoneticPr fontId="1" type="noConversion"/>
  </si>
  <si>
    <t>S</t>
    <phoneticPr fontId="1" type="noConversion"/>
  </si>
  <si>
    <t>v</t>
    <phoneticPr fontId="1" type="noConversion"/>
  </si>
  <si>
    <t>N</t>
    <phoneticPr fontId="1" type="noConversion"/>
  </si>
  <si>
    <t>M</t>
    <phoneticPr fontId="1" type="noConversion"/>
  </si>
  <si>
    <t>z</t>
    <phoneticPr fontId="1" type="noConversion"/>
  </si>
  <si>
    <t>A</t>
    <phoneticPr fontId="1" type="noConversion"/>
  </si>
  <si>
    <t>no of step</t>
    <phoneticPr fontId="1" type="noConversion"/>
  </si>
  <si>
    <t>dice</t>
    <phoneticPr fontId="1" type="noConversion"/>
  </si>
  <si>
    <t>cap val</t>
    <phoneticPr fontId="1" type="noConversion"/>
  </si>
  <si>
    <t>dice</t>
  </si>
  <si>
    <t>step</t>
  </si>
  <si>
    <t>cycle prize</t>
  </si>
  <si>
    <t>owner</t>
  </si>
  <si>
    <t>rent</t>
  </si>
  <si>
    <t>card</t>
  </si>
  <si>
    <t>penalty / prize</t>
  </si>
  <si>
    <t>new step</t>
  </si>
  <si>
    <t>玩家 1</t>
  </si>
  <si>
    <t>玩家 2</t>
  </si>
  <si>
    <t>玩家 3</t>
  </si>
  <si>
    <t>玩家 4</t>
  </si>
  <si>
    <t>持有現金</t>
    <phoneticPr fontId="1" type="noConversion"/>
  </si>
  <si>
    <t>持有現金</t>
    <phoneticPr fontId="1" type="noConversion"/>
  </si>
  <si>
    <t/>
  </si>
  <si>
    <t>啟德</t>
    <phoneticPr fontId="1" type="noConversion"/>
  </si>
  <si>
    <t>葵涌</t>
    <phoneticPr fontId="1" type="noConversion"/>
  </si>
  <si>
    <t>紅磡</t>
    <phoneticPr fontId="1" type="noConversion"/>
  </si>
  <si>
    <t>銅鑼灣</t>
  </si>
  <si>
    <t>機場</t>
    <phoneticPr fontId="1" type="noConversion"/>
  </si>
  <si>
    <t>中環</t>
    <phoneticPr fontId="1" type="noConversion"/>
  </si>
  <si>
    <t>迪士尼</t>
    <phoneticPr fontId="1" type="noConversion"/>
  </si>
  <si>
    <t>愉景灣</t>
  </si>
  <si>
    <t>南丫島</t>
  </si>
  <si>
    <t>own</t>
    <phoneticPr fontId="1" type="noConversion"/>
  </si>
  <si>
    <t>cap</t>
    <phoneticPr fontId="1" type="noConversion"/>
  </si>
  <si>
    <t>pen</t>
    <phoneticPr fontId="1" type="noConversion"/>
  </si>
  <si>
    <t>地  產  風  雲</t>
    <phoneticPr fontId="1" type="noConversion"/>
  </si>
  <si>
    <t>青山</t>
    <phoneticPr fontId="1" type="noConversion"/>
  </si>
  <si>
    <t>level</t>
  </si>
  <si>
    <t>o</t>
    <phoneticPr fontId="1" type="noConversion"/>
  </si>
  <si>
    <t>廣州</t>
    <phoneticPr fontId="1" type="noConversion"/>
  </si>
  <si>
    <t>回鄉探親，到廣州</t>
    <phoneticPr fontId="1" type="noConversion"/>
  </si>
  <si>
    <t>大鱷狙擊，損失 $10000 元</t>
    <phoneticPr fontId="1" type="noConversion"/>
  </si>
  <si>
    <t>d</t>
  </si>
  <si>
    <t>資產值(量)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</si>
</sst>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Red]\-0\ "/>
  </numFmts>
  <fonts count="42" x14ac:knownFonts="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u/>
      <sz val="12"/>
      <color theme="11"/>
      <name val="新細明體"/>
      <family val="2"/>
      <charset val="136"/>
      <scheme val="minor"/>
    </font>
    <font>
      <b/>
      <sz val="20"/>
      <color rgb="FF000000"/>
      <name val="新細明體"/>
      <family val="1"/>
      <charset val="136"/>
    </font>
    <font>
      <b/>
      <sz val="20"/>
      <color rgb="FF000000"/>
      <name val="Hannotate TC Bold"/>
    </font>
    <font>
      <b/>
      <sz val="18"/>
      <color rgb="FF000000"/>
      <name val="新細明體"/>
      <family val="1"/>
      <charset val="136"/>
    </font>
    <font>
      <sz val="20"/>
      <color theme="1"/>
      <name val="Hannotate TC Regular"/>
      <family val="1"/>
    </font>
    <font>
      <sz val="28"/>
      <color rgb="FFFF0000"/>
      <name val="Wingdings"/>
      <charset val="2"/>
    </font>
    <font>
      <b/>
      <sz val="18"/>
      <color theme="1"/>
      <name val="Hannotate TC Regular"/>
      <family val="1"/>
    </font>
    <font>
      <b/>
      <sz val="20"/>
      <color theme="1"/>
      <name val="Hannotate TC Regular"/>
      <family val="1"/>
    </font>
    <font>
      <sz val="20"/>
      <color theme="1"/>
      <name val="新細明體"/>
      <family val="2"/>
      <charset val="136"/>
      <scheme val="minor"/>
    </font>
    <font>
      <b/>
      <sz val="16"/>
      <color theme="1"/>
      <name val="細明體"/>
      <family val="3"/>
      <charset val="136"/>
    </font>
    <font>
      <sz val="18"/>
      <color rgb="FFFF0000"/>
      <name val="Hannotate TC Regular"/>
      <family val="1"/>
    </font>
    <font>
      <sz val="16"/>
      <color theme="1"/>
      <name val="Hannotate TC Bold"/>
      <family val="1"/>
    </font>
    <font>
      <sz val="16"/>
      <color theme="0" tint="-0.14999847407452621"/>
      <name val="Hannotate TC Bold"/>
    </font>
    <font>
      <sz val="16"/>
      <color theme="1"/>
      <name val="Wingdings"/>
      <charset val="2"/>
    </font>
    <font>
      <sz val="14"/>
      <color theme="1"/>
      <name val="新細明體"/>
      <family val="1"/>
      <charset val="136"/>
      <scheme val="minor"/>
    </font>
    <font>
      <sz val="40"/>
      <color theme="1" tint="0.34998626667073579"/>
      <name val="Wingdings"/>
      <charset val="2"/>
    </font>
    <font>
      <sz val="20"/>
      <color rgb="FFFF0000"/>
      <name val="Hannotate TC Regular"/>
    </font>
    <font>
      <sz val="12"/>
      <name val="新細明體"/>
      <family val="2"/>
      <charset val="136"/>
      <scheme val="minor"/>
    </font>
    <font>
      <sz val="14"/>
      <color theme="1" tint="0.249977111117893"/>
      <name val="Wingdings"/>
      <charset val="2"/>
    </font>
    <font>
      <sz val="48"/>
      <color rgb="FFFF6600"/>
      <name val="Hannotate TC Bold"/>
      <family val="2"/>
    </font>
    <font>
      <sz val="16"/>
      <name val="Hannotate TC Bold"/>
      <family val="2"/>
    </font>
    <font>
      <b/>
      <sz val="12"/>
      <name val="Wingdings"/>
      <charset val="2"/>
    </font>
    <font>
      <b/>
      <sz val="12"/>
      <name val="新細明體"/>
      <family val="2"/>
      <charset val="136"/>
      <scheme val="minor"/>
    </font>
    <font>
      <sz val="12"/>
      <name val="新細明體"/>
      <family val="1"/>
      <charset val="136"/>
      <scheme val="major"/>
    </font>
    <font>
      <sz val="12"/>
      <name val="Wingdings"/>
      <charset val="2"/>
    </font>
    <font>
      <sz val="12"/>
      <name val="新細明體"/>
      <family val="1"/>
      <charset val="136"/>
      <scheme val="minor"/>
    </font>
    <font>
      <sz val="8"/>
      <color theme="1"/>
      <name val="新細明體"/>
      <family val="1"/>
      <charset val="136"/>
      <scheme val="minor"/>
    </font>
    <font>
      <b/>
      <sz val="16"/>
      <color theme="1"/>
      <name val="Hannotate TC Bold"/>
      <family val="2"/>
    </font>
    <font>
      <sz val="16"/>
      <color theme="0" tint="-0.499984740745262"/>
      <name val="Hannotate TC Bold"/>
      <family val="1"/>
    </font>
    <font>
      <b/>
      <sz val="16"/>
      <color theme="1"/>
      <name val="新細明體"/>
      <family val="1"/>
      <charset val="136"/>
      <scheme val="minor"/>
    </font>
    <font>
      <sz val="12"/>
      <color theme="0"/>
      <name val="新細明體"/>
      <family val="2"/>
      <charset val="136"/>
      <scheme val="minor"/>
    </font>
    <font>
      <sz val="16"/>
      <color theme="0"/>
      <name val="Hannotate TC Bold"/>
      <family val="2"/>
    </font>
    <font>
      <sz val="20"/>
      <color rgb="FF000000"/>
      <name val="Osaka"/>
    </font>
    <font>
      <b/>
      <sz val="18"/>
      <color theme="0"/>
      <name val="Hannotate TC Regular"/>
      <family val="1"/>
    </font>
    <font>
      <b/>
      <sz val="20"/>
      <color theme="1"/>
      <name val="細明體"/>
      <family val="3"/>
      <charset val="136"/>
    </font>
    <font>
      <sz val="20"/>
      <color theme="1"/>
      <name val="細明體"/>
      <family val="3"/>
      <charset val="136"/>
    </font>
    <font>
      <sz val="20"/>
      <name val="新細明體"/>
      <family val="1"/>
      <charset val="136"/>
      <scheme val="minor"/>
    </font>
    <font>
      <sz val="12"/>
      <color theme="0" tint="-0.14999847407452621"/>
      <name val="新細明體"/>
      <family val="1"/>
      <charset val="136"/>
      <scheme val="minor"/>
    </font>
    <font>
      <sz val="20"/>
      <color rgb="FF000000"/>
      <name val="新細明體"/>
      <family val="1"/>
      <charset val="136"/>
    </font>
  </fonts>
  <fills count="16">
    <fill>
      <patternFill patternType="none"/>
    </fill>
    <fill>
      <patternFill patternType="gray125"/>
    </fill>
    <fill>
      <patternFill patternType="solid">
        <fgColor theme="4" tint="0.59999389629810485"/>
        <bgColor indexed="64"/>
      </patternFill>
    </fill>
    <fill>
      <patternFill patternType="solid">
        <fgColor theme="3" tint="0.79998168889431442"/>
        <bgColor indexed="64"/>
      </patternFill>
    </fill>
    <fill>
      <patternFill patternType="solid">
        <fgColor theme="1" tint="0.149998474074526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6" tint="-0.24994659260841701"/>
        <bgColor indexed="64"/>
      </patternFill>
    </fill>
    <fill>
      <patternFill patternType="solid">
        <fgColor theme="5" tint="0.39997558519241921"/>
        <bgColor indexed="64"/>
      </patternFill>
    </fill>
    <fill>
      <patternFill patternType="solid">
        <fgColor theme="0" tint="-0.499984740745262"/>
        <bgColor indexed="64"/>
      </patternFill>
    </fill>
  </fills>
  <borders count="151">
    <border>
      <left/>
      <right/>
      <top/>
      <bottom/>
      <diagonal/>
    </border>
    <border>
      <left style="thick">
        <color theme="0" tint="-4.9989318521683403E-2"/>
      </left>
      <right/>
      <top style="thick">
        <color theme="0" tint="-4.9989318521683403E-2"/>
      </top>
      <bottom/>
      <diagonal/>
    </border>
    <border>
      <left/>
      <right/>
      <top style="thick">
        <color theme="0" tint="-4.9989318521683403E-2"/>
      </top>
      <bottom/>
      <diagonal/>
    </border>
    <border>
      <left/>
      <right style="thick">
        <color theme="1" tint="0.249977111117893"/>
      </right>
      <top style="thick">
        <color theme="0" tint="-4.9989318521683403E-2"/>
      </top>
      <bottom/>
      <diagonal/>
    </border>
    <border>
      <left style="thick">
        <color theme="0" tint="-4.9989318521683403E-2"/>
      </left>
      <right/>
      <top/>
      <bottom/>
      <diagonal/>
    </border>
    <border>
      <left/>
      <right style="thick">
        <color theme="1" tint="0.249977111117893"/>
      </right>
      <top/>
      <bottom/>
      <diagonal/>
    </border>
    <border>
      <left style="thick">
        <color theme="0" tint="-4.9989318521683403E-2"/>
      </left>
      <right/>
      <top/>
      <bottom style="thick">
        <color theme="1" tint="0.249977111117893"/>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style="medium">
        <color theme="0" tint="-4.9989318521683403E-2"/>
      </left>
      <right/>
      <top style="medium">
        <color theme="0" tint="-4.9989318521683403E-2"/>
      </top>
      <bottom/>
      <diagonal/>
    </border>
    <border>
      <left/>
      <right/>
      <top style="medium">
        <color theme="0" tint="-4.9989318521683403E-2"/>
      </top>
      <bottom/>
      <diagonal/>
    </border>
    <border>
      <left/>
      <right style="medium">
        <color theme="1" tint="0.24994659260841701"/>
      </right>
      <top style="medium">
        <color theme="0" tint="-4.9989318521683403E-2"/>
      </top>
      <bottom/>
      <diagonal/>
    </border>
    <border>
      <left style="medium">
        <color theme="0" tint="-4.9989318521683403E-2"/>
      </left>
      <right/>
      <top/>
      <bottom/>
      <diagonal/>
    </border>
    <border>
      <left/>
      <right style="medium">
        <color theme="1" tint="0.24994659260841701"/>
      </right>
      <top/>
      <bottom/>
      <diagonal/>
    </border>
    <border>
      <left style="medium">
        <color theme="0" tint="-4.9989318521683403E-2"/>
      </left>
      <right/>
      <top/>
      <bottom style="medium">
        <color theme="1" tint="0.24994659260841701"/>
      </bottom>
      <diagonal/>
    </border>
    <border>
      <left/>
      <right/>
      <top/>
      <bottom style="medium">
        <color theme="1" tint="0.24994659260841701"/>
      </bottom>
      <diagonal/>
    </border>
    <border>
      <left/>
      <right style="medium">
        <color theme="1" tint="0.24994659260841701"/>
      </right>
      <top/>
      <bottom style="medium">
        <color theme="1" tint="0.24994659260841701"/>
      </bottom>
      <diagonal/>
    </border>
    <border>
      <left/>
      <right style="medium">
        <color theme="1" tint="0.34998626667073579"/>
      </right>
      <top style="medium">
        <color theme="0" tint="-4.9989318521683403E-2"/>
      </top>
      <bottom/>
      <diagonal/>
    </border>
    <border>
      <left style="medium">
        <color theme="1" tint="0.34998626667073579"/>
      </left>
      <right/>
      <top/>
      <bottom/>
      <diagonal/>
    </border>
    <border>
      <left/>
      <right style="medium">
        <color auto="1"/>
      </right>
      <top/>
      <bottom/>
      <diagonal/>
    </border>
    <border>
      <left/>
      <right style="medium">
        <color theme="1" tint="0.34998626667073579"/>
      </right>
      <top/>
      <bottom style="medium">
        <color theme="1" tint="0.34998626667073579"/>
      </bottom>
      <diagonal/>
    </border>
    <border>
      <left/>
      <right style="medium">
        <color theme="1" tint="0.34998626667073579"/>
      </right>
      <top/>
      <bottom/>
      <diagonal/>
    </border>
    <border>
      <left style="thin">
        <color auto="1"/>
      </left>
      <right/>
      <top/>
      <bottom style="mediumDashed">
        <color rgb="FFFF0000"/>
      </bottom>
      <diagonal/>
    </border>
    <border>
      <left/>
      <right style="thin">
        <color auto="1"/>
      </right>
      <top/>
      <bottom style="mediumDashed">
        <color rgb="FFFF0000"/>
      </bottom>
      <diagonal/>
    </border>
    <border>
      <left style="thin">
        <color auto="1"/>
      </left>
      <right style="thin">
        <color auto="1"/>
      </right>
      <top/>
      <bottom style="mediumDashed">
        <color rgb="FFFF0000"/>
      </bottom>
      <diagonal/>
    </border>
    <border>
      <left/>
      <right style="mediumDashed">
        <color rgb="FFFF0000"/>
      </right>
      <top/>
      <bottom/>
      <diagonal/>
    </border>
    <border>
      <left style="mediumDashed">
        <color rgb="FFFF0000"/>
      </left>
      <right style="medium">
        <color theme="1" tint="0.34998626667073579"/>
      </right>
      <top/>
      <bottom style="mediumDashed">
        <color rgb="FFFF0000"/>
      </bottom>
      <diagonal/>
    </border>
    <border>
      <left/>
      <right style="medium">
        <color theme="1" tint="0.34998626667073579"/>
      </right>
      <top/>
      <bottom style="medium">
        <color theme="1" tint="0.24994659260841701"/>
      </bottom>
      <diagonal/>
    </border>
    <border>
      <left/>
      <right/>
      <top/>
      <bottom style="mediumDashed">
        <color rgb="FFFF0000"/>
      </bottom>
      <diagonal/>
    </border>
    <border>
      <left/>
      <right/>
      <top style="medium">
        <color theme="1" tint="0.24994659260841701"/>
      </top>
      <bottom style="medium">
        <color theme="0" tint="-4.9989318521683403E-2"/>
      </bottom>
      <diagonal/>
    </border>
    <border>
      <left/>
      <right/>
      <top/>
      <bottom style="medium">
        <color theme="0" tint="-4.9989318521683403E-2"/>
      </bottom>
      <diagonal/>
    </border>
    <border>
      <left/>
      <right style="medium">
        <color theme="1" tint="0.34998626667073579"/>
      </right>
      <top/>
      <bottom style="medium">
        <color theme="0" tint="-4.9989318521683403E-2"/>
      </bottom>
      <diagonal/>
    </border>
    <border>
      <left style="medium">
        <color theme="6" tint="0.79998168889431442"/>
      </left>
      <right/>
      <top style="medium">
        <color theme="6" tint="0.79998168889431442"/>
      </top>
      <bottom/>
      <diagonal/>
    </border>
    <border>
      <left/>
      <right style="medium">
        <color theme="1" tint="0.499984740745262"/>
      </right>
      <top style="medium">
        <color theme="6" tint="0.79998168889431442"/>
      </top>
      <bottom/>
      <diagonal/>
    </border>
    <border>
      <left/>
      <right style="mediumDashed">
        <color rgb="FFFF0000"/>
      </right>
      <top/>
      <bottom style="thin">
        <color auto="1"/>
      </bottom>
      <diagonal/>
    </border>
    <border>
      <left/>
      <right style="thin">
        <color auto="1"/>
      </right>
      <top/>
      <bottom/>
      <diagonal/>
    </border>
    <border>
      <left/>
      <right style="mediumDashed">
        <color rgb="FFFF0000"/>
      </right>
      <top/>
      <bottom style="mediumDashed">
        <color rgb="FFFF0000"/>
      </bottom>
      <diagonal/>
    </border>
    <border>
      <left/>
      <right/>
      <top style="medium">
        <color theme="6" tint="0.79998168889431442"/>
      </top>
      <bottom/>
      <diagonal/>
    </border>
    <border>
      <left style="medium">
        <color theme="1" tint="0.24994659260841701"/>
      </left>
      <right/>
      <top style="medium">
        <color theme="6" tint="0.79998168889431442"/>
      </top>
      <bottom/>
      <diagonal/>
    </border>
    <border>
      <left/>
      <right style="medium">
        <color theme="1" tint="0.499984740745262"/>
      </right>
      <top/>
      <bottom/>
      <diagonal/>
    </border>
    <border>
      <left/>
      <right style="mediumDashed">
        <color rgb="FFFF0000"/>
      </right>
      <top style="mediumDashed">
        <color rgb="FFFF0000"/>
      </top>
      <bottom/>
      <diagonal/>
    </border>
    <border>
      <left/>
      <right style="medium">
        <color theme="0" tint="-4.9989318521683403E-2"/>
      </right>
      <top style="medium">
        <color theme="6" tint="0.79998168889431442"/>
      </top>
      <bottom/>
      <diagonal/>
    </border>
    <border>
      <left style="medium">
        <color theme="1" tint="0.24994659260841701"/>
      </left>
      <right/>
      <top style="medium">
        <color theme="0" tint="-4.9989318521683403E-2"/>
      </top>
      <bottom style="medium">
        <color theme="6" tint="0.79998168889431442"/>
      </bottom>
      <diagonal/>
    </border>
    <border>
      <left/>
      <right style="mediumDashed">
        <color rgb="FFFF0000"/>
      </right>
      <top style="thin">
        <color auto="1"/>
      </top>
      <bottom/>
      <diagonal/>
    </border>
    <border>
      <left style="medium">
        <color theme="6" tint="0.79998168889431442"/>
      </left>
      <right/>
      <top/>
      <bottom/>
      <diagonal/>
    </border>
    <border>
      <left/>
      <right style="mediumDashed">
        <color rgb="FFFF0000"/>
      </right>
      <top style="medium">
        <color theme="6" tint="0.79998168889431442"/>
      </top>
      <bottom/>
      <diagonal/>
    </border>
    <border>
      <left style="mediumDashed">
        <color rgb="FFFF0000"/>
      </left>
      <right/>
      <top style="mediumDashed">
        <color rgb="FFFF0000"/>
      </top>
      <bottom/>
      <diagonal/>
    </border>
    <border>
      <left/>
      <right style="medium">
        <color theme="1" tint="0.499984740745262"/>
      </right>
      <top style="mediumDashed">
        <color rgb="FFFF0000"/>
      </top>
      <bottom/>
      <diagonal/>
    </border>
    <border>
      <left style="medium">
        <color theme="1" tint="0.24994659260841701"/>
      </left>
      <right/>
      <top style="medium">
        <color theme="0" tint="-4.9989318521683403E-2"/>
      </top>
      <bottom/>
      <diagonal/>
    </border>
    <border>
      <left/>
      <right style="thin">
        <color auto="1"/>
      </right>
      <top style="mediumDashed">
        <color rgb="FFFF0000"/>
      </top>
      <bottom/>
      <diagonal/>
    </border>
    <border>
      <left style="medium">
        <color theme="1" tint="0.24994659260841701"/>
      </left>
      <right/>
      <top style="medium">
        <color theme="6" tint="0.79998168889431442"/>
      </top>
      <bottom style="mediumDashed">
        <color rgb="FFFF0000"/>
      </bottom>
      <diagonal/>
    </border>
    <border>
      <left/>
      <right/>
      <top style="medium">
        <color theme="6" tint="0.79998168889431442"/>
      </top>
      <bottom style="mediumDashed">
        <color rgb="FFFF0000"/>
      </bottom>
      <diagonal/>
    </border>
    <border>
      <left/>
      <right style="mediumDashed">
        <color rgb="FFFF0000"/>
      </right>
      <top style="medium">
        <color theme="6" tint="0.79998168889431442"/>
      </top>
      <bottom style="mediumDashed">
        <color rgb="FFFF0000"/>
      </bottom>
      <diagonal/>
    </border>
    <border>
      <left/>
      <right/>
      <top style="mediumDashed">
        <color rgb="FFFF0000"/>
      </top>
      <bottom/>
      <diagonal/>
    </border>
    <border>
      <left/>
      <right/>
      <top/>
      <bottom style="thin">
        <color auto="1"/>
      </bottom>
      <diagonal/>
    </border>
    <border>
      <left/>
      <right style="mediumDashed">
        <color rgb="FFFF0000"/>
      </right>
      <top style="medium">
        <color theme="0" tint="-4.9989318521683403E-2"/>
      </top>
      <bottom style="medium">
        <color theme="0" tint="-4.9989318521683403E-2"/>
      </bottom>
      <diagonal/>
    </border>
    <border>
      <left/>
      <right style="medium">
        <color theme="1" tint="0.34998626667073579"/>
      </right>
      <top style="medium">
        <color theme="0" tint="-4.9989318521683403E-2"/>
      </top>
      <bottom style="medium">
        <color theme="0" tint="-4.9989318521683403E-2"/>
      </bottom>
      <diagonal/>
    </border>
    <border>
      <left style="mediumDashed">
        <color rgb="FFFF0000"/>
      </left>
      <right/>
      <top/>
      <bottom/>
      <diagonal/>
    </border>
    <border>
      <left/>
      <right/>
      <top/>
      <bottom style="medium">
        <color theme="1" tint="0.499984740745262"/>
      </bottom>
      <diagonal/>
    </border>
    <border>
      <left style="medium">
        <color theme="1" tint="0.34998626667073579"/>
      </left>
      <right/>
      <top style="medium">
        <color theme="6" tint="0.79998168889431442"/>
      </top>
      <bottom/>
      <diagonal/>
    </border>
    <border>
      <left/>
      <right style="medium">
        <color theme="1" tint="0.499984740745262"/>
      </right>
      <top/>
      <bottom style="medium">
        <color theme="1" tint="0.499984740745262"/>
      </bottom>
      <diagonal/>
    </border>
    <border>
      <left style="medium">
        <color theme="6" tint="0.79998168889431442"/>
      </left>
      <right/>
      <top/>
      <bottom style="medium">
        <color theme="0" tint="-4.9989318521683403E-2"/>
      </bottom>
      <diagonal/>
    </border>
    <border>
      <left style="medium">
        <color theme="1" tint="0.24994659260841701"/>
      </left>
      <right/>
      <top/>
      <bottom style="medium">
        <color theme="1" tint="0.24994659260841701"/>
      </bottom>
      <diagonal/>
    </border>
    <border>
      <left/>
      <right style="medium">
        <color theme="1" tint="0.24994659260841701"/>
      </right>
      <top style="medium">
        <color theme="6" tint="0.79998168889431442"/>
      </top>
      <bottom style="mediumDashed">
        <color rgb="FFFF0000"/>
      </bottom>
      <diagonal/>
    </border>
    <border>
      <left style="medium">
        <color theme="1" tint="0.24994659260841701"/>
      </left>
      <right style="medium">
        <color theme="0" tint="-4.9989318521683403E-2"/>
      </right>
      <top/>
      <bottom style="medium">
        <color theme="1" tint="0.24994659260841701"/>
      </bottom>
      <diagonal/>
    </border>
    <border>
      <left/>
      <right style="medium">
        <color theme="0" tint="-4.9989318521683403E-2"/>
      </right>
      <top/>
      <bottom style="medium">
        <color theme="1" tint="0.24994659260841701"/>
      </bottom>
      <diagonal/>
    </border>
    <border>
      <left style="medium">
        <color theme="6" tint="0.79998168889431442"/>
      </left>
      <right/>
      <top style="mediumDashed">
        <color rgb="FFFF0000"/>
      </top>
      <bottom style="medium">
        <color theme="1" tint="0.24994659260841701"/>
      </bottom>
      <diagonal/>
    </border>
    <border>
      <left/>
      <right/>
      <top style="mediumDashed">
        <color rgb="FFFF0000"/>
      </top>
      <bottom style="medium">
        <color theme="1" tint="0.24994659260841701"/>
      </bottom>
      <diagonal/>
    </border>
    <border>
      <left/>
      <right style="medium">
        <color theme="1" tint="0.24994659260841701"/>
      </right>
      <top style="mediumDashed">
        <color rgb="FFFF0000"/>
      </top>
      <bottom style="medium">
        <color theme="1" tint="0.24994659260841701"/>
      </bottom>
      <diagonal/>
    </border>
    <border>
      <left style="medium">
        <color theme="1" tint="0.24994659260841701"/>
      </left>
      <right style="medium">
        <color theme="1" tint="0.34998626667073579"/>
      </right>
      <top style="medium">
        <color theme="0" tint="-4.9989318521683403E-2"/>
      </top>
      <bottom/>
      <diagonal/>
    </border>
    <border>
      <left style="thin">
        <color auto="1"/>
      </left>
      <right/>
      <top/>
      <bottom/>
      <diagonal/>
    </border>
    <border>
      <left style="medium">
        <color theme="1" tint="0.24994659260841701"/>
      </left>
      <right/>
      <top style="medium">
        <color theme="1" tint="0.499984740745262"/>
      </top>
      <bottom/>
      <diagonal/>
    </border>
    <border>
      <left/>
      <right style="medium">
        <color theme="7" tint="0.79998168889431442"/>
      </right>
      <top style="medium">
        <color theme="1" tint="0.499984740745262"/>
      </top>
      <bottom/>
      <diagonal/>
    </border>
    <border>
      <left style="thin">
        <color auto="1"/>
      </left>
      <right style="thin">
        <color auto="1"/>
      </right>
      <top/>
      <bottom/>
      <diagonal/>
    </border>
    <border>
      <left style="medium">
        <color theme="1" tint="0.24994659260841701"/>
      </left>
      <right/>
      <top/>
      <bottom/>
      <diagonal/>
    </border>
    <border>
      <left/>
      <right style="medium">
        <color theme="7" tint="0.79998168889431442"/>
      </right>
      <top/>
      <bottom/>
      <diagonal/>
    </border>
    <border>
      <left style="medium">
        <color theme="0" tint="-4.9989318521683403E-2"/>
      </left>
      <right/>
      <top style="medium">
        <color theme="0" tint="-4.9989318521683403E-2"/>
      </top>
      <bottom style="medium">
        <color theme="1" tint="0.34998626667073579"/>
      </bottom>
      <diagonal/>
    </border>
    <border>
      <left/>
      <right/>
      <top/>
      <bottom style="medium">
        <color theme="1" tint="0.34998626667073579"/>
      </bottom>
      <diagonal/>
    </border>
    <border>
      <left style="thin">
        <color auto="1"/>
      </left>
      <right style="mediumDashed">
        <color rgb="FFFF0000"/>
      </right>
      <top/>
      <bottom style="mediumDashed">
        <color rgb="FFFF0000"/>
      </bottom>
      <diagonal/>
    </border>
    <border>
      <left/>
      <right/>
      <top style="thin">
        <color auto="1"/>
      </top>
      <bottom/>
      <diagonal/>
    </border>
    <border>
      <left/>
      <right style="medium">
        <color theme="7" tint="0.79998168889431442"/>
      </right>
      <top style="medium">
        <color theme="1" tint="0.24994659260841701"/>
      </top>
      <bottom/>
      <diagonal/>
    </border>
    <border>
      <left style="medium">
        <color theme="7" tint="0.79998168889431442"/>
      </left>
      <right/>
      <top/>
      <bottom/>
      <diagonal/>
    </border>
    <border>
      <left style="thin">
        <color auto="1"/>
      </left>
      <right style="thin">
        <color auto="1"/>
      </right>
      <top style="mediumDashed">
        <color rgb="FFFF0000"/>
      </top>
      <bottom/>
      <diagonal/>
    </border>
    <border>
      <left/>
      <right style="mediumDashed">
        <color rgb="FFFF0000"/>
      </right>
      <top style="thin">
        <color auto="1"/>
      </top>
      <bottom style="thin">
        <color auto="1"/>
      </bottom>
      <diagonal/>
    </border>
    <border>
      <left/>
      <right/>
      <top style="thin">
        <color auto="1"/>
      </top>
      <bottom style="thin">
        <color auto="1"/>
      </bottom>
      <diagonal/>
    </border>
    <border>
      <left/>
      <right/>
      <top style="medium">
        <color theme="1" tint="0.499984740745262"/>
      </top>
      <bottom style="medium">
        <color theme="0" tint="-4.9989318521683403E-2"/>
      </bottom>
      <diagonal/>
    </border>
    <border>
      <left style="medium">
        <color theme="0" tint="-4.9989318521683403E-2"/>
      </left>
      <right/>
      <top/>
      <bottom style="medium">
        <color theme="1" tint="0.34998626667073579"/>
      </bottom>
      <diagonal/>
    </border>
    <border>
      <left/>
      <right style="mediumDashed">
        <color rgb="FFFF0000"/>
      </right>
      <top/>
      <bottom style="medium">
        <color theme="1" tint="0.499984740745262"/>
      </bottom>
      <diagonal/>
    </border>
    <border>
      <left style="medium">
        <color theme="6" tint="0.79998168889431442"/>
      </left>
      <right/>
      <top/>
      <bottom style="medium">
        <color theme="1" tint="0.499984740745262"/>
      </bottom>
      <diagonal/>
    </border>
    <border>
      <left/>
      <right style="medium">
        <color theme="7" tint="0.79998168889431442"/>
      </right>
      <top/>
      <bottom style="medium">
        <color theme="1" tint="0.499984740745262"/>
      </bottom>
      <diagonal/>
    </border>
    <border>
      <left/>
      <right style="medium">
        <color theme="1" tint="0.34998626667073579"/>
      </right>
      <top style="medium">
        <color theme="1" tint="0.24994659260841701"/>
      </top>
      <bottom style="medium">
        <color theme="1" tint="0.34998626667073579"/>
      </bottom>
      <diagonal/>
    </border>
    <border>
      <left style="mediumDashed">
        <color rgb="FFFF0000"/>
      </left>
      <right/>
      <top/>
      <bottom style="mediumDashed">
        <color rgb="FFFF0000"/>
      </bottom>
      <diagonal/>
    </border>
    <border>
      <left style="medium">
        <color theme="0" tint="-4.9989318521683403E-2"/>
      </left>
      <right/>
      <top style="medium">
        <color theme="1" tint="0.24994659260841701"/>
      </top>
      <bottom style="mediumDashed">
        <color rgb="FFFF0000"/>
      </bottom>
      <diagonal/>
    </border>
    <border>
      <left/>
      <right style="medium">
        <color theme="0" tint="-4.9989318521683403E-2"/>
      </right>
      <top/>
      <bottom style="medium">
        <color theme="1" tint="0.34998626667073579"/>
      </bottom>
      <diagonal/>
    </border>
    <border>
      <left/>
      <right/>
      <top style="medium">
        <color theme="1" tint="0.499984740745262"/>
      </top>
      <bottom/>
      <diagonal/>
    </border>
    <border>
      <left/>
      <right style="mediumDashed">
        <color rgb="FFFF0000"/>
      </right>
      <top style="thin">
        <color auto="1"/>
      </top>
      <bottom style="medium">
        <color theme="1" tint="0.34998626667073579"/>
      </bottom>
      <diagonal/>
    </border>
    <border>
      <left style="medium">
        <color theme="0" tint="-4.9989318521683403E-2"/>
      </left>
      <right/>
      <top style="medium">
        <color theme="1" tint="0.24994659260841701"/>
      </top>
      <bottom style="medium">
        <color theme="1" tint="0.34998626667073579"/>
      </bottom>
      <diagonal/>
    </border>
    <border>
      <left style="medium">
        <color theme="1" tint="0.24994659260841701"/>
      </left>
      <right/>
      <top/>
      <bottom style="medium">
        <color theme="1" tint="0.34998626667073579"/>
      </bottom>
      <diagonal/>
    </border>
    <border>
      <left style="medium">
        <color theme="7" tint="0.79998168889431442"/>
      </left>
      <right style="medium">
        <color theme="0" tint="-4.9989318521683403E-2"/>
      </right>
      <top/>
      <bottom style="medium">
        <color theme="1" tint="0.34998626667073579"/>
      </bottom>
      <diagonal/>
    </border>
    <border>
      <left/>
      <right style="medium">
        <color theme="1" tint="0.34998626667073579"/>
      </right>
      <top style="medium">
        <color theme="1" tint="0.24994659260841701"/>
      </top>
      <bottom/>
      <diagonal/>
    </border>
    <border>
      <left style="medium">
        <color theme="0" tint="-4.9989318521683403E-2"/>
      </left>
      <right style="mediumDashed">
        <color rgb="FFFF0000"/>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Dashed">
        <color rgb="FFFF0000"/>
      </bottom>
      <diagonal/>
    </border>
    <border>
      <left style="medium">
        <color theme="0" tint="-4.9989318521683403E-2"/>
      </left>
      <right/>
      <top style="mediumDashed">
        <color rgb="FFFF0000"/>
      </top>
      <bottom/>
      <diagonal/>
    </border>
    <border>
      <left/>
      <right style="medium">
        <color theme="1" tint="0.34998626667073579"/>
      </right>
      <top style="mediumDashed">
        <color rgb="FFFF0000"/>
      </top>
      <bottom/>
      <diagonal/>
    </border>
    <border>
      <left style="medium">
        <color theme="0" tint="-4.9989318521683403E-2"/>
      </left>
      <right style="medium">
        <color theme="0" tint="-4.9989318521683403E-2"/>
      </right>
      <top/>
      <bottom/>
      <diagonal/>
    </border>
    <border>
      <left style="medium">
        <color theme="1" tint="0.24994659260841701"/>
      </left>
      <right style="medium">
        <color theme="0" tint="-4.9989318521683403E-2"/>
      </right>
      <top/>
      <bottom style="medium">
        <color theme="1" tint="0.34998626667073579"/>
      </bottom>
      <diagonal/>
    </border>
    <border>
      <left/>
      <right style="medium">
        <color theme="0" tint="-4.9989318521683403E-2"/>
      </right>
      <top style="medium">
        <color theme="0" tint="-4.9989318521683403E-2"/>
      </top>
      <bottom/>
      <diagonal/>
    </border>
    <border>
      <left style="medium">
        <color theme="1" tint="0.24994659260841701"/>
      </left>
      <right/>
      <top/>
      <bottom style="mediumDashed">
        <color rgb="FFFF0000"/>
      </bottom>
      <diagonal/>
    </border>
    <border>
      <left/>
      <right style="medium">
        <color theme="1" tint="0.34998626667073579"/>
      </right>
      <top/>
      <bottom style="mediumDashed">
        <color rgb="FFFF0000"/>
      </bottom>
      <diagonal/>
    </border>
    <border>
      <left/>
      <right style="medium">
        <color theme="0" tint="-4.9989318521683403E-2"/>
      </right>
      <top/>
      <bottom/>
      <diagonal/>
    </border>
    <border>
      <left style="medium">
        <color theme="1" tint="0.24994659260841701"/>
      </left>
      <right style="medium">
        <color theme="1" tint="0.34998626667073579"/>
      </right>
      <top/>
      <bottom style="medium">
        <color theme="1" tint="0.34998626667073579"/>
      </bottom>
      <diagonal/>
    </border>
    <border>
      <left style="medium">
        <color theme="6" tint="0.79998168889431442"/>
      </left>
      <right/>
      <top/>
      <bottom style="mediumDashed">
        <color rgb="FFFF0000"/>
      </bottom>
      <diagonal/>
    </border>
    <border>
      <left/>
      <right style="medium">
        <color theme="1" tint="0.499984740745262"/>
      </right>
      <top/>
      <bottom style="mediumDashed">
        <color rgb="FFFF0000"/>
      </bottom>
      <diagonal/>
    </border>
    <border>
      <left style="medium">
        <color theme="6" tint="0.79998168889431442"/>
      </left>
      <right style="mediumDashed">
        <color rgb="FFFF0000"/>
      </right>
      <top style="medium">
        <color theme="6" tint="0.79998168889431442"/>
      </top>
      <bottom/>
      <diagonal/>
    </border>
    <border>
      <left style="medium">
        <color theme="6" tint="0.79998168889431442"/>
      </left>
      <right style="mediumDashed">
        <color rgb="FFFF0000"/>
      </right>
      <top/>
      <bottom style="mediumDashed">
        <color rgb="FFFF0000"/>
      </bottom>
      <diagonal/>
    </border>
    <border>
      <left style="thin">
        <color auto="1"/>
      </left>
      <right style="mediumDashed">
        <color rgb="FFFF0000"/>
      </right>
      <top style="mediumDashed">
        <color rgb="FFFF0000"/>
      </top>
      <bottom/>
      <diagonal/>
    </border>
    <border>
      <left style="medium">
        <color theme="6" tint="0.79998168889431442"/>
      </left>
      <right/>
      <top style="mediumDashed">
        <color rgb="FFFF0000"/>
      </top>
      <bottom/>
      <diagonal/>
    </border>
    <border>
      <left style="medium">
        <color theme="6" tint="0.79998168889431442"/>
      </left>
      <right/>
      <top style="medium">
        <color theme="6" tint="0.79998168889431442"/>
      </top>
      <bottom style="medium">
        <color theme="0" tint="-4.9989318521683403E-2"/>
      </bottom>
      <diagonal/>
    </border>
    <border>
      <left/>
      <right/>
      <top style="medium">
        <color theme="6" tint="0.79998168889431442"/>
      </top>
      <bottom style="medium">
        <color theme="0" tint="-4.9989318521683403E-2"/>
      </bottom>
      <diagonal/>
    </border>
    <border>
      <left style="medium">
        <color theme="1" tint="0.24994659260841701"/>
      </left>
      <right style="mediumDashed">
        <color rgb="FFFF0000"/>
      </right>
      <top style="medium">
        <color theme="6" tint="0.79998168889431442"/>
      </top>
      <bottom/>
      <diagonal/>
    </border>
    <border>
      <left style="mediumDashed">
        <color rgb="FFFF0000"/>
      </left>
      <right style="thin">
        <color auto="1"/>
      </right>
      <top/>
      <bottom style="mediumDashed">
        <color rgb="FFFF0000"/>
      </bottom>
      <diagonal/>
    </border>
    <border>
      <left style="medium">
        <color theme="6" tint="0.79998168889431442"/>
      </left>
      <right/>
      <top style="medium">
        <color theme="1" tint="0.24994659260841701"/>
      </top>
      <bottom/>
      <diagonal/>
    </border>
    <border>
      <left/>
      <right/>
      <top style="medium">
        <color theme="1" tint="0.24994659260841701"/>
      </top>
      <bottom/>
      <diagonal/>
    </border>
    <border>
      <left style="medium">
        <color theme="0" tint="-4.9989318521683403E-2"/>
      </left>
      <right/>
      <top style="medium">
        <color theme="0" tint="-4.9989318521683403E-2"/>
      </top>
      <bottom style="medium">
        <color theme="0" tint="-4.9989318521683403E-2"/>
      </bottom>
      <diagonal/>
    </border>
    <border>
      <left/>
      <right style="medium">
        <color theme="1" tint="0.24994659260841701"/>
      </right>
      <top/>
      <bottom style="medium">
        <color theme="0" tint="-4.9989318521683403E-2"/>
      </bottom>
      <diagonal/>
    </border>
    <border>
      <left style="medium">
        <color theme="1" tint="0.24994659260841701"/>
      </left>
      <right/>
      <top/>
      <bottom style="medium">
        <color theme="1" tint="0.499984740745262"/>
      </bottom>
      <diagonal/>
    </border>
    <border>
      <left style="medium">
        <color theme="1" tint="0.24994659260841701"/>
      </left>
      <right style="medium">
        <color theme="1" tint="0.499984740745262"/>
      </right>
      <top/>
      <bottom style="medium">
        <color theme="1" tint="0.499984740745262"/>
      </bottom>
      <diagonal/>
    </border>
    <border>
      <left/>
      <right style="medium">
        <color theme="1" tint="0.499984740745262"/>
      </right>
      <top style="medium">
        <color theme="1" tint="0.24994659260841701"/>
      </top>
      <bottom style="medium">
        <color theme="1" tint="0.499984740745262"/>
      </bottom>
      <diagonal/>
    </border>
    <border>
      <left/>
      <right style="mediumDashed">
        <color rgb="FFFF0000"/>
      </right>
      <top style="thin">
        <color auto="1"/>
      </top>
      <bottom style="medium">
        <color theme="1" tint="0.499984740745262"/>
      </bottom>
      <diagonal/>
    </border>
    <border>
      <left style="mediumDashed">
        <color rgb="FFFF0000"/>
      </left>
      <right/>
      <top style="medium">
        <color theme="1" tint="0.24994659260841701"/>
      </top>
      <bottom/>
      <diagonal/>
    </border>
    <border>
      <left/>
      <right style="medium">
        <color theme="1" tint="0.499984740745262"/>
      </right>
      <top style="medium">
        <color theme="1" tint="0.24994659260841701"/>
      </top>
      <bottom/>
      <diagonal/>
    </border>
    <border>
      <left style="mediumDashed">
        <color rgb="FFFF0000"/>
      </left>
      <right/>
      <top style="thin">
        <color auto="1"/>
      </top>
      <bottom style="mediumDashed">
        <color rgb="FFFF0000"/>
      </bottom>
      <diagonal/>
    </border>
    <border>
      <left style="medium">
        <color theme="0" tint="-4.9989318521683403E-2"/>
      </left>
      <right/>
      <top/>
      <bottom style="mediumDashed">
        <color rgb="FFFF0000"/>
      </bottom>
      <diagonal/>
    </border>
    <border>
      <left/>
      <right style="medium">
        <color theme="0" tint="-4.9989318521683403E-2"/>
      </right>
      <top style="mediumDashed">
        <color rgb="FFFF0000"/>
      </top>
      <bottom/>
      <diagonal/>
    </border>
    <border>
      <left style="medium">
        <color theme="0" tint="-4.9989318521683403E-2"/>
      </left>
      <right style="medium">
        <color theme="0" tint="-4.9989318521683403E-2"/>
      </right>
      <top/>
      <bottom style="medium">
        <color theme="1" tint="0.24994659260841701"/>
      </bottom>
      <diagonal/>
    </border>
    <border>
      <left/>
      <right style="medium">
        <color theme="1" tint="0.14996795556505021"/>
      </right>
      <top style="medium">
        <color theme="0" tint="-4.9989318521683403E-2"/>
      </top>
      <bottom/>
      <diagonal/>
    </border>
    <border>
      <left/>
      <right style="medium">
        <color theme="1" tint="0.1499679555650502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diagonal/>
    </border>
    <border>
      <left style="medium">
        <color theme="0" tint="-4.9989318521683403E-2"/>
      </left>
      <right/>
      <top/>
      <bottom style="medium">
        <color theme="1" tint="0.249977111117893"/>
      </bottom>
      <diagonal/>
    </border>
    <border>
      <left/>
      <right/>
      <top/>
      <bottom style="medium">
        <color theme="1" tint="0.249977111117893"/>
      </bottom>
      <diagonal/>
    </border>
    <border>
      <left/>
      <right style="medium">
        <color theme="1" tint="0.14996795556505021"/>
      </right>
      <top/>
      <bottom style="medium">
        <color theme="1" tint="0.249977111117893"/>
      </bottom>
      <diagonal/>
    </border>
    <border>
      <left/>
      <right style="medium">
        <color theme="1" tint="0.249977111117893"/>
      </right>
      <top/>
      <bottom/>
      <diagonal/>
    </border>
    <border>
      <left/>
      <right style="medium">
        <color theme="1" tint="0.34998626667073579"/>
      </right>
      <top/>
      <bottom style="medium">
        <color theme="1" tint="0.249977111117893"/>
      </bottom>
      <diagonal/>
    </border>
  </borders>
  <cellStyleXfs count="5907">
    <xf numFmtId="0" fontId="0" fillId="0" borderId="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3" fillId="0" borderId="0" applyNumberFormat="0" applyFill="0" applyBorder="0" applyAlignment="0" applyProtection="0">
      <alignment vertical="center"/>
    </xf>
  </cellStyleXfs>
  <cellXfs count="347">
    <xf numFmtId="0" fontId="0" fillId="0" borderId="0" xfId="0">
      <alignment vertical="center"/>
    </xf>
    <xf numFmtId="0" fontId="0" fillId="2" borderId="0" xfId="0" applyFill="1" applyBorder="1" applyAlignment="1">
      <alignment horizontal="center" vertical="center"/>
    </xf>
    <xf numFmtId="0" fontId="7" fillId="2" borderId="0" xfId="0" applyFont="1" applyFill="1" applyBorder="1" applyAlignment="1">
      <alignment vertical="center" wrapText="1"/>
    </xf>
    <xf numFmtId="0" fontId="14" fillId="5" borderId="0" xfId="0" applyFont="1" applyFill="1" applyBorder="1" applyAlignment="1">
      <alignment horizontal="center" vertical="center"/>
    </xf>
    <xf numFmtId="0" fontId="14" fillId="6" borderId="9" xfId="0" applyFont="1" applyFill="1" applyBorder="1" applyAlignment="1">
      <alignment horizontal="center" vertical="center"/>
    </xf>
    <xf numFmtId="0" fontId="14" fillId="6" borderId="10" xfId="0" applyFont="1" applyFill="1" applyBorder="1" applyAlignment="1">
      <alignment horizontal="center" vertical="center"/>
    </xf>
    <xf numFmtId="0" fontId="14" fillId="6" borderId="17" xfId="0" applyFont="1" applyFill="1" applyBorder="1" applyAlignment="1">
      <alignment horizontal="center" vertical="center"/>
    </xf>
    <xf numFmtId="0" fontId="14" fillId="5" borderId="18" xfId="0" applyFont="1" applyFill="1" applyBorder="1" applyAlignment="1">
      <alignment horizontal="center" vertical="center"/>
    </xf>
    <xf numFmtId="0" fontId="14" fillId="5" borderId="19" xfId="0" applyFont="1" applyFill="1" applyBorder="1" applyAlignment="1">
      <alignment horizontal="center" vertical="center"/>
    </xf>
    <xf numFmtId="0" fontId="14" fillId="6" borderId="12" xfId="0" applyFont="1" applyFill="1" applyBorder="1" applyAlignment="1">
      <alignment horizontal="center" vertical="center"/>
    </xf>
    <xf numFmtId="0" fontId="14" fillId="6" borderId="0" xfId="0" applyFont="1" applyFill="1" applyBorder="1" applyAlignment="1">
      <alignment horizontal="center" vertical="center"/>
    </xf>
    <xf numFmtId="0" fontId="14" fillId="6" borderId="20" xfId="0" applyFont="1" applyFill="1" applyBorder="1" applyAlignment="1">
      <alignment horizontal="center" vertical="center"/>
    </xf>
    <xf numFmtId="0" fontId="14" fillId="6" borderId="22"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3" xfId="0" applyFont="1" applyFill="1" applyBorder="1" applyAlignment="1">
      <alignment horizontal="center" vertical="center"/>
    </xf>
    <xf numFmtId="0" fontId="14" fillId="6" borderId="24" xfId="0" applyFont="1" applyFill="1" applyBorder="1" applyAlignment="1">
      <alignment horizontal="center" vertical="center"/>
    </xf>
    <xf numFmtId="0" fontId="14" fillId="6" borderId="25" xfId="0" applyFont="1" applyFill="1" applyBorder="1" applyAlignment="1">
      <alignment horizontal="center" vertical="center"/>
    </xf>
    <xf numFmtId="0" fontId="14" fillId="6" borderId="26" xfId="0" applyFont="1" applyFill="1" applyBorder="1" applyAlignment="1">
      <alignment horizontal="center" vertical="center"/>
    </xf>
    <xf numFmtId="0" fontId="14" fillId="5" borderId="23" xfId="0" applyFont="1" applyFill="1" applyBorder="1" applyAlignment="1">
      <alignment horizontal="center" vertical="center"/>
    </xf>
    <xf numFmtId="0" fontId="14" fillId="6" borderId="28" xfId="0" applyFont="1" applyFill="1" applyBorder="1" applyAlignment="1">
      <alignment horizontal="center" vertical="center"/>
    </xf>
    <xf numFmtId="0" fontId="14" fillId="6" borderId="29" xfId="0" applyFont="1" applyFill="1" applyBorder="1" applyAlignment="1">
      <alignment horizontal="center" vertical="center"/>
    </xf>
    <xf numFmtId="0" fontId="14" fillId="6" borderId="30" xfId="0" applyFont="1" applyFill="1" applyBorder="1" applyAlignment="1">
      <alignment horizontal="center" vertical="center"/>
    </xf>
    <xf numFmtId="0" fontId="14" fillId="6" borderId="31" xfId="0" applyFont="1" applyFill="1" applyBorder="1" applyAlignment="1">
      <alignment horizontal="center" vertical="center"/>
    </xf>
    <xf numFmtId="0" fontId="14" fillId="8" borderId="32" xfId="0" applyFont="1" applyFill="1" applyBorder="1" applyAlignment="1">
      <alignment horizontal="center" vertical="center"/>
    </xf>
    <xf numFmtId="0" fontId="14" fillId="8" borderId="33" xfId="0" applyFont="1" applyFill="1" applyBorder="1" applyAlignment="1">
      <alignment horizontal="center" vertical="center"/>
    </xf>
    <xf numFmtId="0" fontId="14" fillId="5" borderId="22" xfId="0" applyFont="1" applyFill="1" applyBorder="1" applyAlignment="1">
      <alignment horizontal="center" vertical="center"/>
    </xf>
    <xf numFmtId="0" fontId="14" fillId="5" borderId="28" xfId="0" applyFont="1" applyFill="1" applyBorder="1" applyAlignment="1">
      <alignment horizontal="center" vertical="center"/>
    </xf>
    <xf numFmtId="0" fontId="14" fillId="6" borderId="34" xfId="0" applyFont="1" applyFill="1" applyBorder="1" applyAlignment="1">
      <alignment horizontal="center" vertical="center"/>
    </xf>
    <xf numFmtId="0" fontId="14" fillId="6" borderId="35" xfId="0" applyFont="1" applyFill="1" applyBorder="1" applyAlignment="1">
      <alignment horizontal="center" vertical="center"/>
    </xf>
    <xf numFmtId="0" fontId="14" fillId="6" borderId="36" xfId="0" applyFont="1" applyFill="1" applyBorder="1" applyAlignment="1">
      <alignment horizontal="center" vertical="center"/>
    </xf>
    <xf numFmtId="0" fontId="14" fillId="8" borderId="37" xfId="0" applyFont="1" applyFill="1" applyBorder="1" applyAlignment="1">
      <alignment horizontal="center" vertical="center"/>
    </xf>
    <xf numFmtId="0" fontId="14" fillId="8" borderId="38" xfId="0" applyFont="1" applyFill="1" applyBorder="1" applyAlignment="1">
      <alignment horizontal="center" vertical="center"/>
    </xf>
    <xf numFmtId="0" fontId="14" fillId="8" borderId="0" xfId="0" applyFont="1" applyFill="1" applyBorder="1" applyAlignment="1">
      <alignment horizontal="center" vertical="center"/>
    </xf>
    <xf numFmtId="0" fontId="14" fillId="8" borderId="39" xfId="0" applyFont="1" applyFill="1" applyBorder="1" applyAlignment="1">
      <alignment horizontal="center" vertical="center"/>
    </xf>
    <xf numFmtId="0" fontId="14" fillId="5" borderId="40" xfId="0" applyFont="1" applyFill="1" applyBorder="1" applyAlignment="1">
      <alignment horizontal="center" vertical="center"/>
    </xf>
    <xf numFmtId="0" fontId="14" fillId="8" borderId="41" xfId="0" applyFont="1" applyFill="1" applyBorder="1" applyAlignment="1">
      <alignment horizontal="center" vertical="center"/>
    </xf>
    <xf numFmtId="0" fontId="14" fillId="6" borderId="42" xfId="0" applyFont="1" applyFill="1" applyBorder="1" applyAlignment="1">
      <alignment horizontal="center" vertical="center"/>
    </xf>
    <xf numFmtId="0" fontId="14" fillId="6" borderId="43" xfId="0" applyFont="1" applyFill="1" applyBorder="1" applyAlignment="1">
      <alignment horizontal="center" vertical="center"/>
    </xf>
    <xf numFmtId="0" fontId="14" fillId="8" borderId="44" xfId="0" applyFont="1" applyFill="1" applyBorder="1" applyAlignment="1">
      <alignment horizontal="center" vertical="center"/>
    </xf>
    <xf numFmtId="0" fontId="14" fillId="8" borderId="45" xfId="0" applyFont="1" applyFill="1" applyBorder="1" applyAlignment="1">
      <alignment horizontal="center" vertical="center"/>
    </xf>
    <xf numFmtId="0" fontId="14" fillId="8" borderId="46" xfId="0" applyFont="1" applyFill="1" applyBorder="1" applyAlignment="1">
      <alignment horizontal="center" vertical="center"/>
    </xf>
    <xf numFmtId="0" fontId="14" fillId="8" borderId="47" xfId="0" applyFont="1" applyFill="1" applyBorder="1" applyAlignment="1">
      <alignment horizontal="center" vertical="center"/>
    </xf>
    <xf numFmtId="0" fontId="14" fillId="6" borderId="48" xfId="0" applyFont="1" applyFill="1" applyBorder="1" applyAlignment="1">
      <alignment horizontal="center" vertical="center"/>
    </xf>
    <xf numFmtId="0" fontId="14" fillId="5" borderId="25" xfId="0" applyFont="1" applyFill="1" applyBorder="1" applyAlignment="1">
      <alignment horizontal="center" vertical="center"/>
    </xf>
    <xf numFmtId="0" fontId="14" fillId="8" borderId="25" xfId="0" applyFont="1" applyFill="1" applyBorder="1" applyAlignment="1">
      <alignment horizontal="center" vertical="center"/>
    </xf>
    <xf numFmtId="0" fontId="14" fillId="8" borderId="49" xfId="0" applyFont="1" applyFill="1" applyBorder="1" applyAlignment="1">
      <alignment horizontal="center" vertical="center"/>
    </xf>
    <xf numFmtId="0" fontId="14" fillId="8" borderId="50" xfId="0" applyFont="1" applyFill="1" applyBorder="1" applyAlignment="1">
      <alignment horizontal="center" vertical="center"/>
    </xf>
    <xf numFmtId="0" fontId="14" fillId="8" borderId="51" xfId="0" applyFont="1" applyFill="1" applyBorder="1" applyAlignment="1">
      <alignment horizontal="center" vertical="center"/>
    </xf>
    <xf numFmtId="0" fontId="14" fillId="8" borderId="52" xfId="0" applyFont="1" applyFill="1" applyBorder="1" applyAlignment="1">
      <alignment horizontal="center" vertical="center"/>
    </xf>
    <xf numFmtId="0" fontId="14" fillId="6" borderId="46" xfId="0" applyFont="1" applyFill="1" applyBorder="1" applyAlignment="1">
      <alignment horizontal="center" vertical="center"/>
    </xf>
    <xf numFmtId="0" fontId="14" fillId="6" borderId="53" xfId="0" applyFont="1" applyFill="1" applyBorder="1" applyAlignment="1">
      <alignment horizontal="center" vertical="center"/>
    </xf>
    <xf numFmtId="0" fontId="14" fillId="8" borderId="34" xfId="0" applyFont="1" applyFill="1" applyBorder="1" applyAlignment="1">
      <alignment horizontal="center" vertical="center"/>
    </xf>
    <xf numFmtId="0" fontId="14" fillId="6" borderId="54" xfId="0" applyFont="1" applyFill="1" applyBorder="1" applyAlignment="1">
      <alignment horizontal="center" vertical="center"/>
    </xf>
    <xf numFmtId="0" fontId="14" fillId="6" borderId="55" xfId="0" applyFont="1" applyFill="1" applyBorder="1" applyAlignment="1">
      <alignment horizontal="center" vertical="center"/>
    </xf>
    <xf numFmtId="0" fontId="14" fillId="6" borderId="56" xfId="0" applyFont="1" applyFill="1" applyBorder="1" applyAlignment="1">
      <alignment horizontal="center" vertical="center"/>
    </xf>
    <xf numFmtId="0" fontId="14" fillId="6" borderId="57" xfId="0" applyFont="1" applyFill="1" applyBorder="1" applyAlignment="1">
      <alignment horizontal="center" vertical="center"/>
    </xf>
    <xf numFmtId="0" fontId="14" fillId="8" borderId="58" xfId="0" applyFont="1" applyFill="1" applyBorder="1" applyAlignment="1">
      <alignment horizontal="center" vertical="center"/>
    </xf>
    <xf numFmtId="0" fontId="14" fillId="8" borderId="15" xfId="0" applyFont="1" applyFill="1" applyBorder="1" applyAlignment="1">
      <alignment horizontal="center" vertical="center"/>
    </xf>
    <xf numFmtId="0" fontId="14" fillId="8" borderId="59" xfId="0" applyFont="1" applyFill="1" applyBorder="1" applyAlignment="1">
      <alignment horizontal="center" vertical="center"/>
    </xf>
    <xf numFmtId="0" fontId="14" fillId="8" borderId="60" xfId="0" applyFont="1" applyFill="1" applyBorder="1" applyAlignment="1">
      <alignment horizontal="center" vertical="center"/>
    </xf>
    <xf numFmtId="0" fontId="14" fillId="12" borderId="0" xfId="0" applyFont="1" applyFill="1" applyBorder="1" applyAlignment="1">
      <alignment horizontal="center" vertical="center"/>
    </xf>
    <xf numFmtId="0" fontId="14" fillId="13" borderId="61" xfId="0" applyFont="1" applyFill="1" applyBorder="1" applyAlignment="1">
      <alignment horizontal="center" vertical="center"/>
    </xf>
    <xf numFmtId="0" fontId="14" fillId="8" borderId="54" xfId="0" applyFont="1" applyFill="1" applyBorder="1" applyAlignment="1">
      <alignment horizontal="center" vertical="center"/>
    </xf>
    <xf numFmtId="0" fontId="14" fillId="8" borderId="62" xfId="0" applyFont="1" applyFill="1" applyBorder="1" applyAlignment="1">
      <alignment horizontal="center" vertical="center"/>
    </xf>
    <xf numFmtId="0" fontId="14" fillId="8" borderId="28" xfId="0" applyFont="1" applyFill="1" applyBorder="1" applyAlignment="1">
      <alignment horizontal="center" vertical="center"/>
    </xf>
    <xf numFmtId="0" fontId="14" fillId="8" borderId="63" xfId="0" applyFont="1" applyFill="1" applyBorder="1" applyAlignment="1">
      <alignment horizontal="center" vertical="center"/>
    </xf>
    <xf numFmtId="0" fontId="14" fillId="11" borderId="12" xfId="0" applyFont="1" applyFill="1" applyBorder="1" applyAlignment="1">
      <alignment horizontal="center" vertical="center"/>
    </xf>
    <xf numFmtId="0" fontId="14" fillId="11" borderId="13" xfId="0" applyFont="1" applyFill="1" applyBorder="1" applyAlignment="1">
      <alignment horizontal="center" vertical="center"/>
    </xf>
    <xf numFmtId="0" fontId="14" fillId="8" borderId="64" xfId="0" applyFont="1" applyFill="1" applyBorder="1" applyAlignment="1">
      <alignment horizontal="center" vertical="center"/>
    </xf>
    <xf numFmtId="0" fontId="14" fillId="8" borderId="65" xfId="0" applyFont="1" applyFill="1" applyBorder="1" applyAlignment="1">
      <alignment horizontal="center" vertical="center"/>
    </xf>
    <xf numFmtId="0" fontId="14" fillId="12" borderId="22" xfId="0" applyFont="1" applyFill="1" applyBorder="1" applyAlignment="1">
      <alignment horizontal="center" vertical="center"/>
    </xf>
    <xf numFmtId="0" fontId="14" fillId="12" borderId="28" xfId="0" applyFont="1" applyFill="1" applyBorder="1" applyAlignment="1">
      <alignment horizontal="center" vertical="center"/>
    </xf>
    <xf numFmtId="0" fontId="14" fillId="12" borderId="34" xfId="0" applyFont="1" applyFill="1" applyBorder="1" applyAlignment="1">
      <alignment horizontal="center" vertical="center"/>
    </xf>
    <xf numFmtId="0" fontId="14" fillId="8" borderId="66" xfId="0" applyFont="1" applyFill="1" applyBorder="1" applyAlignment="1">
      <alignment horizontal="center" vertical="center"/>
    </xf>
    <xf numFmtId="0" fontId="14" fillId="8" borderId="67" xfId="0" applyFont="1" applyFill="1" applyBorder="1" applyAlignment="1">
      <alignment horizontal="center" vertical="center"/>
    </xf>
    <xf numFmtId="0" fontId="14" fillId="8" borderId="68" xfId="0" applyFont="1" applyFill="1" applyBorder="1" applyAlignment="1">
      <alignment horizontal="center" vertical="center"/>
    </xf>
    <xf numFmtId="0" fontId="14" fillId="6" borderId="69" xfId="0" applyFont="1" applyFill="1" applyBorder="1" applyAlignment="1">
      <alignment horizontal="center" vertical="center"/>
    </xf>
    <xf numFmtId="0" fontId="14" fillId="8" borderId="16" xfId="0" applyFont="1" applyFill="1" applyBorder="1" applyAlignment="1">
      <alignment horizontal="center" vertical="center"/>
    </xf>
    <xf numFmtId="0" fontId="14" fillId="12" borderId="70" xfId="0" applyFont="1" applyFill="1" applyBorder="1" applyAlignment="1">
      <alignment horizontal="center" vertical="center"/>
    </xf>
    <xf numFmtId="0" fontId="14" fillId="12" borderId="40" xfId="0" applyFont="1" applyFill="1" applyBorder="1" applyAlignment="1">
      <alignment horizontal="center" vertical="center"/>
    </xf>
    <xf numFmtId="0" fontId="14" fillId="12" borderId="71" xfId="0" applyFont="1" applyFill="1" applyBorder="1" applyAlignment="1">
      <alignment horizontal="center" vertical="center"/>
    </xf>
    <xf numFmtId="0" fontId="14" fillId="12" borderId="72" xfId="0" applyFont="1" applyFill="1" applyBorder="1" applyAlignment="1">
      <alignment horizontal="center" vertical="center"/>
    </xf>
    <xf numFmtId="0" fontId="14" fillId="12" borderId="7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74" xfId="0" applyFont="1" applyFill="1" applyBorder="1" applyAlignment="1">
      <alignment horizontal="center" vertical="center"/>
    </xf>
    <xf numFmtId="0" fontId="14" fillId="12" borderId="75" xfId="0" applyFont="1" applyFill="1" applyBorder="1" applyAlignment="1">
      <alignment horizontal="center" vertical="center"/>
    </xf>
    <xf numFmtId="0" fontId="14" fillId="6" borderId="76" xfId="0" applyFont="1" applyFill="1" applyBorder="1" applyAlignment="1">
      <alignment horizontal="center" vertical="center"/>
    </xf>
    <xf numFmtId="0" fontId="14" fillId="6" borderId="77" xfId="0" applyFont="1" applyFill="1" applyBorder="1" applyAlignment="1">
      <alignment horizontal="center" vertical="center"/>
    </xf>
    <xf numFmtId="0" fontId="14" fillId="6" borderId="78" xfId="0" applyFont="1" applyFill="1" applyBorder="1" applyAlignment="1">
      <alignment horizontal="center" vertical="center"/>
    </xf>
    <xf numFmtId="0" fontId="14" fillId="6" borderId="79" xfId="0" applyFont="1" applyFill="1" applyBorder="1" applyAlignment="1">
      <alignment horizontal="center" vertical="center"/>
    </xf>
    <xf numFmtId="0" fontId="14" fillId="6" borderId="80" xfId="0" applyFont="1" applyFill="1" applyBorder="1" applyAlignment="1">
      <alignment horizontal="center" vertical="center"/>
    </xf>
    <xf numFmtId="0" fontId="14" fillId="12" borderId="81" xfId="0" applyFont="1" applyFill="1" applyBorder="1" applyAlignment="1">
      <alignment horizontal="center" vertical="center"/>
    </xf>
    <xf numFmtId="0" fontId="14" fillId="12" borderId="82" xfId="0" applyFont="1" applyFill="1" applyBorder="1" applyAlignment="1">
      <alignment horizontal="center" vertical="center"/>
    </xf>
    <xf numFmtId="0" fontId="14" fillId="12" borderId="83" xfId="0" applyFont="1" applyFill="1" applyBorder="1" applyAlignment="1">
      <alignment horizontal="center" vertical="center"/>
    </xf>
    <xf numFmtId="0" fontId="14" fillId="12" borderId="84" xfId="0" applyFont="1" applyFill="1" applyBorder="1" applyAlignment="1">
      <alignment horizontal="center" vertical="center"/>
    </xf>
    <xf numFmtId="0" fontId="14" fillId="12" borderId="85" xfId="0" applyFont="1" applyFill="1" applyBorder="1" applyAlignment="1">
      <alignment horizontal="center" vertical="center"/>
    </xf>
    <xf numFmtId="0" fontId="14" fillId="6" borderId="86" xfId="0" applyFont="1" applyFill="1" applyBorder="1" applyAlignment="1">
      <alignment horizontal="center" vertical="center"/>
    </xf>
    <xf numFmtId="0" fontId="14" fillId="8" borderId="87" xfId="0" applyFont="1" applyFill="1" applyBorder="1" applyAlignment="1">
      <alignment horizontal="center" vertical="center"/>
    </xf>
    <xf numFmtId="0" fontId="14" fillId="6" borderId="75" xfId="0" applyFont="1" applyFill="1" applyBorder="1" applyAlignment="1">
      <alignment horizontal="center" vertical="center"/>
    </xf>
    <xf numFmtId="0" fontId="14" fillId="8" borderId="88" xfId="0" applyFont="1" applyFill="1" applyBorder="1" applyAlignment="1">
      <alignment horizontal="center" vertical="center"/>
    </xf>
    <xf numFmtId="0" fontId="14" fillId="6" borderId="89" xfId="0" applyFont="1" applyFill="1" applyBorder="1" applyAlignment="1">
      <alignment horizontal="center" vertical="center"/>
    </xf>
    <xf numFmtId="0" fontId="14" fillId="12" borderId="43" xfId="0" applyFont="1" applyFill="1" applyBorder="1" applyAlignment="1">
      <alignment horizontal="center" vertical="center"/>
    </xf>
    <xf numFmtId="0" fontId="14" fillId="12" borderId="79" xfId="0" applyFont="1" applyFill="1" applyBorder="1" applyAlignment="1">
      <alignment horizontal="center" vertical="center"/>
    </xf>
    <xf numFmtId="0" fontId="14" fillId="6" borderId="90" xfId="0" applyFont="1" applyFill="1" applyBorder="1" applyAlignment="1">
      <alignment horizontal="center" vertical="center"/>
    </xf>
    <xf numFmtId="0" fontId="14" fillId="5" borderId="43" xfId="0" applyFont="1" applyFill="1" applyBorder="1" applyAlignment="1">
      <alignment horizontal="center" vertical="center"/>
    </xf>
    <xf numFmtId="0" fontId="14" fillId="5" borderId="91" xfId="0" applyFont="1" applyFill="1" applyBorder="1" applyAlignment="1">
      <alignment horizontal="center" vertical="center"/>
    </xf>
    <xf numFmtId="0" fontId="14" fillId="6" borderId="92" xfId="0" applyFont="1" applyFill="1" applyBorder="1" applyAlignment="1">
      <alignment horizontal="center" vertical="center"/>
    </xf>
    <xf numFmtId="0" fontId="14" fillId="6" borderId="93" xfId="0" applyFont="1" applyFill="1" applyBorder="1" applyAlignment="1">
      <alignment horizontal="center" vertical="center"/>
    </xf>
    <xf numFmtId="0" fontId="14" fillId="12" borderId="94" xfId="0" applyFont="1" applyFill="1" applyBorder="1" applyAlignment="1">
      <alignment horizontal="center" vertical="center"/>
    </xf>
    <xf numFmtId="0" fontId="14" fillId="12" borderId="77" xfId="0" applyFont="1" applyFill="1" applyBorder="1" applyAlignment="1">
      <alignment horizontal="center" vertical="center"/>
    </xf>
    <xf numFmtId="0" fontId="14" fillId="12" borderId="95" xfId="0" applyFont="1" applyFill="1" applyBorder="1" applyAlignment="1">
      <alignment horizontal="center" vertical="center"/>
    </xf>
    <xf numFmtId="0" fontId="14" fillId="12" borderId="91" xfId="0" applyFont="1" applyFill="1" applyBorder="1" applyAlignment="1">
      <alignment horizontal="center" vertical="center"/>
    </xf>
    <xf numFmtId="0" fontId="14" fillId="12" borderId="23" xfId="0" applyFont="1" applyFill="1" applyBorder="1" applyAlignment="1">
      <alignment horizontal="center" vertical="center"/>
    </xf>
    <xf numFmtId="0" fontId="14" fillId="6" borderId="96" xfId="0" applyFont="1" applyFill="1" applyBorder="1" applyAlignment="1">
      <alignment horizontal="center" vertical="center"/>
    </xf>
    <xf numFmtId="0" fontId="14" fillId="12" borderId="97" xfId="0" applyFont="1" applyFill="1" applyBorder="1" applyAlignment="1">
      <alignment horizontal="center" vertical="center"/>
    </xf>
    <xf numFmtId="0" fontId="16" fillId="11" borderId="12" xfId="0" applyFont="1" applyFill="1" applyBorder="1" applyAlignment="1">
      <alignment horizontal="center" vertical="center"/>
    </xf>
    <xf numFmtId="0" fontId="14" fillId="12" borderId="24" xfId="0" applyFont="1" applyFill="1" applyBorder="1" applyAlignment="1">
      <alignment horizontal="center" vertical="center"/>
    </xf>
    <xf numFmtId="0" fontId="14" fillId="12" borderId="12" xfId="0" applyFont="1" applyFill="1" applyBorder="1" applyAlignment="1">
      <alignment horizontal="center" vertical="center"/>
    </xf>
    <xf numFmtId="0" fontId="14" fillId="12" borderId="10" xfId="0" applyFont="1" applyFill="1" applyBorder="1" applyAlignment="1">
      <alignment horizontal="center" vertical="center"/>
    </xf>
    <xf numFmtId="0" fontId="14" fillId="12" borderId="17" xfId="0" applyFont="1" applyFill="1" applyBorder="1" applyAlignment="1">
      <alignment horizontal="center" vertical="center"/>
    </xf>
    <xf numFmtId="0" fontId="14" fillId="12" borderId="86" xfId="0" applyFont="1" applyFill="1" applyBorder="1" applyAlignment="1">
      <alignment horizontal="center" vertical="center"/>
    </xf>
    <xf numFmtId="0" fontId="14" fillId="12" borderId="20" xfId="0" applyFont="1" applyFill="1" applyBorder="1" applyAlignment="1">
      <alignment horizontal="center" vertical="center"/>
    </xf>
    <xf numFmtId="0" fontId="14" fillId="5" borderId="79" xfId="0" applyFont="1" applyFill="1" applyBorder="1" applyAlignment="1">
      <alignment horizontal="center" vertical="center"/>
    </xf>
    <xf numFmtId="0" fontId="14" fillId="12" borderId="98" xfId="0" applyFont="1" applyFill="1" applyBorder="1" applyAlignment="1">
      <alignment horizontal="center" vertical="center"/>
    </xf>
    <xf numFmtId="0" fontId="14" fillId="12" borderId="54" xfId="0" applyFont="1" applyFill="1" applyBorder="1" applyAlignment="1">
      <alignment horizontal="center" vertical="center"/>
    </xf>
    <xf numFmtId="0" fontId="14" fillId="12" borderId="99" xfId="0" applyFont="1" applyFill="1" applyBorder="1" applyAlignment="1">
      <alignment horizontal="center" vertical="center"/>
    </xf>
    <xf numFmtId="0" fontId="14" fillId="5" borderId="36" xfId="0" applyFont="1" applyFill="1" applyBorder="1" applyAlignment="1">
      <alignment horizontal="center" vertical="center"/>
    </xf>
    <xf numFmtId="0" fontId="14" fillId="12" borderId="21" xfId="0" applyFont="1" applyFill="1" applyBorder="1" applyAlignment="1">
      <alignment horizontal="center" vertical="center"/>
    </xf>
    <xf numFmtId="0" fontId="14" fillId="6" borderId="100" xfId="0" applyFont="1" applyFill="1" applyBorder="1" applyAlignment="1">
      <alignment horizontal="center" vertical="center"/>
    </xf>
    <xf numFmtId="0" fontId="14" fillId="5" borderId="54" xfId="0" applyFont="1" applyFill="1" applyBorder="1" applyAlignment="1">
      <alignment horizontal="center" vertical="center"/>
    </xf>
    <xf numFmtId="0" fontId="14" fillId="5" borderId="30" xfId="0" applyFont="1" applyFill="1" applyBorder="1" applyAlignment="1">
      <alignment horizontal="center" vertical="center"/>
    </xf>
    <xf numFmtId="0" fontId="14" fillId="6" borderId="101" xfId="0" applyFont="1" applyFill="1" applyBorder="1" applyAlignment="1">
      <alignment horizontal="center" vertical="center"/>
    </xf>
    <xf numFmtId="0" fontId="14" fillId="5" borderId="46" xfId="0" applyFont="1" applyFill="1" applyBorder="1" applyAlignment="1">
      <alignment horizontal="center" vertical="center"/>
    </xf>
    <xf numFmtId="0" fontId="14" fillId="5" borderId="53" xfId="0" applyFont="1" applyFill="1" applyBorder="1" applyAlignment="1">
      <alignment horizontal="center" vertical="center"/>
    </xf>
    <xf numFmtId="0" fontId="14" fillId="6" borderId="102" xfId="0" applyFont="1" applyFill="1" applyBorder="1" applyAlignment="1">
      <alignment horizontal="center" vertical="center"/>
    </xf>
    <xf numFmtId="0" fontId="14" fillId="6" borderId="103" xfId="0" applyFont="1" applyFill="1" applyBorder="1" applyAlignment="1">
      <alignment horizontal="center" vertical="center"/>
    </xf>
    <xf numFmtId="0" fontId="14" fillId="6" borderId="104" xfId="0" applyFont="1" applyFill="1" applyBorder="1" applyAlignment="1">
      <alignment horizontal="center" vertical="center"/>
    </xf>
    <xf numFmtId="0" fontId="14" fillId="12" borderId="105" xfId="0" applyFont="1" applyFill="1" applyBorder="1" applyAlignment="1">
      <alignment horizontal="center" vertical="center"/>
    </xf>
    <xf numFmtId="0" fontId="14" fillId="6" borderId="106" xfId="0" applyFont="1" applyFill="1" applyBorder="1" applyAlignment="1">
      <alignment horizontal="center" vertical="center"/>
    </xf>
    <xf numFmtId="0" fontId="14" fillId="6" borderId="107" xfId="0" applyFont="1" applyFill="1" applyBorder="1" applyAlignment="1">
      <alignment horizontal="center" vertical="center"/>
    </xf>
    <xf numFmtId="0" fontId="14" fillId="6" borderId="108" xfId="0" applyFont="1" applyFill="1" applyBorder="1" applyAlignment="1">
      <alignment horizontal="center" vertical="center"/>
    </xf>
    <xf numFmtId="0" fontId="14" fillId="5" borderId="57" xfId="0" applyFont="1" applyFill="1" applyBorder="1" applyAlignment="1">
      <alignment horizontal="center" vertical="center"/>
    </xf>
    <xf numFmtId="0" fontId="14" fillId="14" borderId="9" xfId="0" applyFont="1" applyFill="1" applyBorder="1" applyAlignment="1">
      <alignment horizontal="center" vertical="center"/>
    </xf>
    <xf numFmtId="0" fontId="14" fillId="14" borderId="10" xfId="0" applyFont="1" applyFill="1" applyBorder="1" applyAlignment="1">
      <alignment horizontal="center" vertical="center"/>
    </xf>
    <xf numFmtId="0" fontId="14" fillId="14" borderId="17" xfId="0" applyFont="1" applyFill="1" applyBorder="1" applyAlignment="1">
      <alignment horizontal="center" vertical="center"/>
    </xf>
    <xf numFmtId="0" fontId="14" fillId="5" borderId="34" xfId="0" applyFont="1" applyFill="1" applyBorder="1" applyAlignment="1">
      <alignment horizontal="center" vertical="center"/>
    </xf>
    <xf numFmtId="0" fontId="14" fillId="6" borderId="109" xfId="0" applyFont="1" applyFill="1" applyBorder="1" applyAlignment="1">
      <alignment horizontal="center" vertical="center"/>
    </xf>
    <xf numFmtId="0" fontId="14" fillId="6" borderId="110" xfId="0" applyFont="1" applyFill="1" applyBorder="1" applyAlignment="1">
      <alignment horizontal="center" vertical="center"/>
    </xf>
    <xf numFmtId="0" fontId="14" fillId="14" borderId="0" xfId="0" applyFont="1" applyFill="1" applyBorder="1" applyAlignment="1">
      <alignment horizontal="center" vertical="center"/>
    </xf>
    <xf numFmtId="0" fontId="14" fillId="14" borderId="106" xfId="0" applyFont="1" applyFill="1" applyBorder="1" applyAlignment="1">
      <alignment horizontal="center" vertical="center"/>
    </xf>
    <xf numFmtId="0" fontId="14" fillId="9" borderId="0" xfId="0" applyFont="1" applyFill="1" applyBorder="1" applyAlignment="1">
      <alignment horizontal="center" vertical="center"/>
    </xf>
    <xf numFmtId="0" fontId="14" fillId="14" borderId="22" xfId="0" applyFont="1" applyFill="1" applyBorder="1" applyAlignment="1">
      <alignment horizontal="center" vertical="center"/>
    </xf>
    <xf numFmtId="0" fontId="14" fillId="14" borderId="28" xfId="0" applyFont="1" applyFill="1" applyBorder="1" applyAlignment="1">
      <alignment horizontal="center" vertical="center"/>
    </xf>
    <xf numFmtId="0" fontId="14" fillId="14" borderId="23" xfId="0" applyFont="1" applyFill="1" applyBorder="1" applyAlignment="1">
      <alignment horizontal="center" vertical="center"/>
    </xf>
    <xf numFmtId="0" fontId="14" fillId="14" borderId="21" xfId="0" applyFont="1" applyFill="1" applyBorder="1" applyAlignment="1">
      <alignment horizontal="center" vertical="center"/>
    </xf>
    <xf numFmtId="0" fontId="7" fillId="10" borderId="0" xfId="0" applyFont="1" applyFill="1" applyBorder="1" applyAlignment="1">
      <alignment vertical="center" wrapText="1"/>
    </xf>
    <xf numFmtId="0" fontId="14" fillId="6" borderId="95" xfId="0" applyFont="1" applyFill="1" applyBorder="1" applyAlignment="1">
      <alignment horizontal="center" vertical="center"/>
    </xf>
    <xf numFmtId="0" fontId="14" fillId="14" borderId="48" xfId="0" applyFont="1" applyFill="1" applyBorder="1" applyAlignment="1">
      <alignment horizontal="center" vertical="center"/>
    </xf>
    <xf numFmtId="0" fontId="14" fillId="8" borderId="111" xfId="0" applyFont="1" applyFill="1" applyBorder="1" applyAlignment="1">
      <alignment horizontal="center" vertical="center"/>
    </xf>
    <xf numFmtId="0" fontId="14" fillId="8" borderId="112" xfId="0" applyFont="1" applyFill="1" applyBorder="1" applyAlignment="1">
      <alignment horizontal="center" vertical="center"/>
    </xf>
    <xf numFmtId="0" fontId="14" fillId="8" borderId="113" xfId="0" applyFont="1" applyFill="1" applyBorder="1" applyAlignment="1">
      <alignment horizontal="center" vertical="center"/>
    </xf>
    <xf numFmtId="0" fontId="14" fillId="14" borderId="70" xfId="0" applyFont="1" applyFill="1" applyBorder="1" applyAlignment="1">
      <alignment horizontal="center" vertical="center"/>
    </xf>
    <xf numFmtId="0" fontId="14" fillId="14" borderId="20" xfId="0" applyFont="1" applyFill="1" applyBorder="1" applyAlignment="1">
      <alignment horizontal="center" vertical="center"/>
    </xf>
    <xf numFmtId="0" fontId="14" fillId="8" borderId="114" xfId="0" applyFont="1" applyFill="1" applyBorder="1" applyAlignment="1">
      <alignment horizontal="center" vertical="center"/>
    </xf>
    <xf numFmtId="0" fontId="14" fillId="14" borderId="115" xfId="0" applyFont="1" applyFill="1" applyBorder="1" applyAlignment="1">
      <alignment horizontal="center" vertical="center"/>
    </xf>
    <xf numFmtId="0" fontId="14" fillId="6" borderId="70" xfId="0" applyFont="1" applyFill="1" applyBorder="1" applyAlignment="1">
      <alignment horizontal="center" vertical="center"/>
    </xf>
    <xf numFmtId="0" fontId="14" fillId="8" borderId="116" xfId="0" applyFont="1" applyFill="1" applyBorder="1" applyAlignment="1">
      <alignment horizontal="center" vertical="center"/>
    </xf>
    <xf numFmtId="0" fontId="14" fillId="14" borderId="12" xfId="0" applyFont="1" applyFill="1" applyBorder="1" applyAlignment="1">
      <alignment horizontal="center" vertical="center"/>
    </xf>
    <xf numFmtId="0" fontId="14" fillId="14" borderId="25" xfId="0" applyFont="1" applyFill="1" applyBorder="1" applyAlignment="1">
      <alignment horizontal="center" vertical="center"/>
    </xf>
    <xf numFmtId="0" fontId="14" fillId="8" borderId="117" xfId="0" applyFont="1" applyFill="1" applyBorder="1" applyAlignment="1">
      <alignment horizontal="center" vertical="center"/>
    </xf>
    <xf numFmtId="0" fontId="14" fillId="8" borderId="118" xfId="0" applyFont="1" applyFill="1" applyBorder="1" applyAlignment="1">
      <alignment horizontal="center" vertical="center"/>
    </xf>
    <xf numFmtId="0" fontId="14" fillId="8" borderId="83" xfId="0" applyFont="1" applyFill="1" applyBorder="1" applyAlignment="1">
      <alignment horizontal="center" vertical="center"/>
    </xf>
    <xf numFmtId="0" fontId="14" fillId="8" borderId="84" xfId="0" applyFont="1" applyFill="1" applyBorder="1" applyAlignment="1">
      <alignment horizontal="center" vertical="center"/>
    </xf>
    <xf numFmtId="0" fontId="14" fillId="14" borderId="43" xfId="0" applyFont="1" applyFill="1" applyBorder="1" applyAlignment="1">
      <alignment horizontal="center" vertical="center"/>
    </xf>
    <xf numFmtId="0" fontId="14" fillId="14" borderId="79" xfId="0" applyFont="1" applyFill="1" applyBorder="1" applyAlignment="1">
      <alignment horizontal="center" vertical="center"/>
    </xf>
    <xf numFmtId="0" fontId="14" fillId="14" borderId="86" xfId="0" applyFont="1" applyFill="1" applyBorder="1" applyAlignment="1">
      <alignment horizontal="center" vertical="center"/>
    </xf>
    <xf numFmtId="0" fontId="14" fillId="14" borderId="77" xfId="0" applyFont="1" applyFill="1" applyBorder="1" applyAlignment="1">
      <alignment horizontal="center" vertical="center"/>
    </xf>
    <xf numFmtId="0" fontId="14" fillId="8" borderId="119" xfId="0" applyFont="1" applyFill="1" applyBorder="1" applyAlignment="1">
      <alignment horizontal="center" vertical="center"/>
    </xf>
    <xf numFmtId="0" fontId="14" fillId="8" borderId="120" xfId="0" applyFont="1" applyFill="1" applyBorder="1" applyAlignment="1">
      <alignment horizontal="center" vertical="center"/>
    </xf>
    <xf numFmtId="0" fontId="14" fillId="8" borderId="121" xfId="0" applyFont="1" applyFill="1" applyBorder="1" applyAlignment="1">
      <alignment horizontal="center" vertical="center"/>
    </xf>
    <xf numFmtId="0" fontId="14" fillId="8" borderId="122" xfId="0" applyFont="1" applyFill="1" applyBorder="1" applyAlignment="1">
      <alignment horizontal="center" vertical="center"/>
    </xf>
    <xf numFmtId="0" fontId="14" fillId="14" borderId="11" xfId="0" applyFont="1" applyFill="1" applyBorder="1" applyAlignment="1">
      <alignment horizontal="center" vertical="center"/>
    </xf>
    <xf numFmtId="0" fontId="14" fillId="14" borderId="34" xfId="0" applyFont="1" applyFill="1" applyBorder="1" applyAlignment="1">
      <alignment horizontal="center" vertical="center"/>
    </xf>
    <xf numFmtId="0" fontId="14" fillId="14" borderId="54" xfId="0" applyFont="1" applyFill="1" applyBorder="1" applyAlignment="1">
      <alignment horizontal="center" vertical="center"/>
    </xf>
    <xf numFmtId="0" fontId="14" fillId="8" borderId="61" xfId="0" applyFont="1" applyFill="1" applyBorder="1" applyAlignment="1">
      <alignment horizontal="center" vertical="center"/>
    </xf>
    <xf numFmtId="0" fontId="14" fillId="8" borderId="35" xfId="0" applyFont="1" applyFill="1" applyBorder="1" applyAlignment="1">
      <alignment horizontal="center" vertical="center"/>
    </xf>
    <xf numFmtId="0" fontId="14" fillId="8" borderId="91" xfId="0" applyFont="1" applyFill="1" applyBorder="1" applyAlignment="1">
      <alignment horizontal="center" vertical="center"/>
    </xf>
    <xf numFmtId="0" fontId="14" fillId="8" borderId="23" xfId="0" applyFont="1" applyFill="1" applyBorder="1" applyAlignment="1">
      <alignment horizontal="center" vertical="center"/>
    </xf>
    <xf numFmtId="0" fontId="14" fillId="14" borderId="123" xfId="0" applyFont="1" applyFill="1" applyBorder="1" applyAlignment="1">
      <alignment horizontal="center" vertical="center"/>
    </xf>
    <xf numFmtId="0" fontId="14" fillId="14" borderId="124" xfId="0" applyFont="1" applyFill="1" applyBorder="1" applyAlignment="1">
      <alignment horizontal="center" vertical="center"/>
    </xf>
    <xf numFmtId="0" fontId="14" fillId="8" borderId="125" xfId="0" applyFont="1" applyFill="1" applyBorder="1" applyAlignment="1">
      <alignment horizontal="center" vertical="center"/>
    </xf>
    <xf numFmtId="0" fontId="14" fillId="8" borderId="126" xfId="0" applyFont="1" applyFill="1" applyBorder="1" applyAlignment="1">
      <alignment horizontal="center" vertical="center"/>
    </xf>
    <xf numFmtId="0" fontId="14" fillId="8" borderId="127" xfId="0" applyFont="1" applyFill="1" applyBorder="1" applyAlignment="1">
      <alignment horizontal="center" vertical="center"/>
    </xf>
    <xf numFmtId="0" fontId="14" fillId="14" borderId="93" xfId="0" applyFont="1" applyFill="1" applyBorder="1" applyAlignment="1">
      <alignment horizontal="center" vertical="center"/>
    </xf>
    <xf numFmtId="0" fontId="14" fillId="8" borderId="128" xfId="0" applyFont="1" applyFill="1" applyBorder="1" applyAlignment="1">
      <alignment horizontal="center" vertical="center"/>
    </xf>
    <xf numFmtId="0" fontId="14" fillId="8" borderId="129" xfId="0" applyFont="1" applyFill="1" applyBorder="1" applyAlignment="1">
      <alignment horizontal="center" vertical="center"/>
    </xf>
    <xf numFmtId="0" fontId="14" fillId="8" borderId="130" xfId="0" applyFont="1" applyFill="1" applyBorder="1" applyAlignment="1">
      <alignment horizontal="center" vertical="center"/>
    </xf>
    <xf numFmtId="0" fontId="14" fillId="5" borderId="131" xfId="0" applyFont="1" applyFill="1" applyBorder="1" applyAlignment="1">
      <alignment horizontal="center" vertical="center"/>
    </xf>
    <xf numFmtId="0" fontId="14" fillId="14" borderId="101" xfId="0" applyFont="1" applyFill="1" applyBorder="1" applyAlignment="1">
      <alignment horizontal="center" vertical="center"/>
    </xf>
    <xf numFmtId="0" fontId="14" fillId="14" borderId="97" xfId="0" applyFont="1" applyFill="1" applyBorder="1" applyAlignment="1">
      <alignment horizontal="center" vertical="center"/>
    </xf>
    <xf numFmtId="0" fontId="14" fillId="14" borderId="108" xfId="0" applyFont="1" applyFill="1" applyBorder="1" applyAlignment="1">
      <alignment horizontal="center" vertical="center"/>
    </xf>
    <xf numFmtId="0" fontId="14" fillId="5" borderId="107" xfId="0" applyFont="1" applyFill="1" applyBorder="1" applyAlignment="1">
      <alignment horizontal="center" vertical="center"/>
    </xf>
    <xf numFmtId="0" fontId="14" fillId="14" borderId="132" xfId="0" applyFont="1" applyFill="1" applyBorder="1" applyAlignment="1">
      <alignment horizontal="center" vertical="center"/>
    </xf>
    <xf numFmtId="0" fontId="14" fillId="14" borderId="36" xfId="0" applyFont="1" applyFill="1" applyBorder="1" applyAlignment="1">
      <alignment horizontal="center" vertical="center"/>
    </xf>
    <xf numFmtId="0" fontId="14" fillId="14" borderId="57" xfId="0" applyFont="1" applyFill="1" applyBorder="1" applyAlignment="1">
      <alignment horizontal="center" vertical="center"/>
    </xf>
    <xf numFmtId="0" fontId="14" fillId="14" borderId="104" xfId="0" applyFont="1" applyFill="1" applyBorder="1" applyAlignment="1">
      <alignment horizontal="center" vertical="center"/>
    </xf>
    <xf numFmtId="0" fontId="14" fillId="5" borderId="133" xfId="0" applyFont="1" applyFill="1" applyBorder="1" applyAlignment="1">
      <alignment horizontal="center" vertical="center"/>
    </xf>
    <xf numFmtId="0" fontId="14" fillId="14" borderId="134" xfId="0" applyFont="1" applyFill="1" applyBorder="1" applyAlignment="1">
      <alignment horizontal="center" vertical="center"/>
    </xf>
    <xf numFmtId="0" fontId="14" fillId="5" borderId="109" xfId="0" applyFont="1" applyFill="1" applyBorder="1" applyAlignment="1">
      <alignment horizontal="center" vertical="center"/>
    </xf>
    <xf numFmtId="0" fontId="20" fillId="0" borderId="0" xfId="0" applyFont="1" applyFill="1" applyBorder="1">
      <alignment vertical="center"/>
    </xf>
    <xf numFmtId="0" fontId="21" fillId="11" borderId="0" xfId="0" applyFont="1" applyFill="1" applyBorder="1" applyAlignment="1">
      <alignment horizontal="center" vertical="center"/>
    </xf>
    <xf numFmtId="0" fontId="7" fillId="3" borderId="0" xfId="0" applyFont="1" applyFill="1" applyBorder="1" applyAlignment="1">
      <alignment vertical="center"/>
    </xf>
    <xf numFmtId="0" fontId="7" fillId="3" borderId="0" xfId="0" applyFont="1" applyFill="1" applyBorder="1" applyAlignment="1">
      <alignment vertical="center" wrapText="1"/>
    </xf>
    <xf numFmtId="0" fontId="15" fillId="7" borderId="0" xfId="0" applyFont="1" applyFill="1" applyBorder="1" applyAlignment="1" applyProtection="1">
      <alignment horizontal="center" vertical="center"/>
      <protection locked="0"/>
    </xf>
    <xf numFmtId="0" fontId="21" fillId="7" borderId="0" xfId="0" applyFont="1" applyFill="1" applyBorder="1" applyAlignment="1">
      <alignment horizontal="center" vertical="center"/>
    </xf>
    <xf numFmtId="0" fontId="20" fillId="0" borderId="0" xfId="0" applyFont="1" applyFill="1" applyBorder="1" applyAlignment="1">
      <alignment vertical="center" wrapText="1"/>
    </xf>
    <xf numFmtId="0" fontId="26" fillId="0" borderId="0" xfId="0" applyFont="1" applyFill="1" applyBorder="1" applyAlignment="1">
      <alignment vertical="center" wrapText="1"/>
    </xf>
    <xf numFmtId="0" fontId="27" fillId="0" borderId="0" xfId="0" applyFont="1" applyFill="1" applyBorder="1">
      <alignment vertical="center"/>
    </xf>
    <xf numFmtId="0" fontId="20" fillId="0" borderId="0" xfId="0" applyFont="1" applyAlignment="1">
      <alignment horizontal="center" vertical="center"/>
    </xf>
    <xf numFmtId="0" fontId="20" fillId="0" borderId="0" xfId="0" applyFont="1">
      <alignment vertical="center"/>
    </xf>
    <xf numFmtId="0" fontId="26" fillId="0" borderId="0" xfId="0" applyFont="1" applyAlignment="1">
      <alignment horizontal="center" vertical="center"/>
    </xf>
    <xf numFmtId="0" fontId="28" fillId="0" borderId="0" xfId="0" applyFont="1" applyProtection="1">
      <alignment vertical="center"/>
    </xf>
    <xf numFmtId="0" fontId="27" fillId="0" borderId="0" xfId="0" applyFont="1" applyAlignment="1">
      <alignment horizontal="center" vertical="center"/>
    </xf>
    <xf numFmtId="0" fontId="26" fillId="0" borderId="0" xfId="0" quotePrefix="1" applyFont="1" applyAlignment="1">
      <alignment horizontal="center" vertical="center"/>
    </xf>
    <xf numFmtId="0" fontId="20" fillId="0" borderId="0" xfId="0" applyFont="1" applyFill="1">
      <alignment vertical="center"/>
    </xf>
    <xf numFmtId="0" fontId="20" fillId="0" borderId="0" xfId="0" quotePrefix="1" applyFont="1">
      <alignment vertical="center"/>
    </xf>
    <xf numFmtId="0" fontId="0" fillId="5" borderId="0" xfId="0" applyFill="1" applyBorder="1" applyAlignment="1">
      <alignment horizontal="center" vertical="center"/>
    </xf>
    <xf numFmtId="0" fontId="17" fillId="5" borderId="0" xfId="0" applyFont="1" applyFill="1" applyBorder="1" applyAlignment="1">
      <alignment horizontal="center" vertical="center"/>
    </xf>
    <xf numFmtId="0" fontId="0" fillId="3" borderId="0" xfId="0" applyFill="1" applyBorder="1" applyAlignment="1">
      <alignment vertical="center"/>
    </xf>
    <xf numFmtId="0" fontId="24" fillId="0" borderId="137" xfId="0" applyFont="1" applyFill="1" applyBorder="1" applyAlignment="1">
      <alignment horizontal="center" vertical="center" wrapText="1"/>
    </xf>
    <xf numFmtId="0" fontId="25" fillId="0" borderId="79" xfId="0" applyFont="1" applyFill="1" applyBorder="1" applyAlignment="1">
      <alignment vertical="center" wrapText="1"/>
    </xf>
    <xf numFmtId="0" fontId="25" fillId="0" borderId="138" xfId="0" applyFont="1" applyFill="1" applyBorder="1" applyAlignment="1">
      <alignment vertical="center" wrapText="1"/>
    </xf>
    <xf numFmtId="0" fontId="25" fillId="0" borderId="139" xfId="0" applyFont="1" applyFill="1" applyBorder="1" applyAlignment="1">
      <alignment horizontal="center" vertical="center"/>
    </xf>
    <xf numFmtId="0" fontId="25" fillId="0" borderId="54" xfId="0" applyFont="1" applyFill="1" applyBorder="1">
      <alignment vertical="center"/>
    </xf>
    <xf numFmtId="0" fontId="25" fillId="0" borderId="140" xfId="0" applyFont="1" applyFill="1" applyBorder="1">
      <alignment vertical="center"/>
    </xf>
    <xf numFmtId="0" fontId="20" fillId="0" borderId="70" xfId="0" applyFont="1" applyFill="1" applyBorder="1">
      <alignment vertical="center"/>
    </xf>
    <xf numFmtId="0" fontId="20" fillId="0" borderId="35" xfId="0" applyFont="1" applyFill="1" applyBorder="1">
      <alignment vertical="center"/>
    </xf>
    <xf numFmtId="0" fontId="20" fillId="0" borderId="139" xfId="0" applyFont="1" applyFill="1" applyBorder="1">
      <alignment vertical="center"/>
    </xf>
    <xf numFmtId="0" fontId="20" fillId="0" borderId="140" xfId="0" applyFont="1" applyFill="1" applyBorder="1">
      <alignment vertical="center"/>
    </xf>
    <xf numFmtId="0" fontId="20" fillId="0" borderId="54" xfId="0" applyFont="1" applyFill="1" applyBorder="1">
      <alignment vertical="center"/>
    </xf>
    <xf numFmtId="0" fontId="20" fillId="0" borderId="73" xfId="0" applyFont="1" applyFill="1" applyBorder="1">
      <alignment vertical="center"/>
    </xf>
    <xf numFmtId="0" fontId="20" fillId="0" borderId="142" xfId="0" applyFont="1" applyFill="1" applyBorder="1">
      <alignment vertical="center"/>
    </xf>
    <xf numFmtId="0" fontId="20" fillId="0" borderId="141" xfId="0" applyFont="1" applyFill="1" applyBorder="1" applyAlignment="1">
      <alignment vertical="center" wrapText="1"/>
    </xf>
    <xf numFmtId="0" fontId="20" fillId="0" borderId="84" xfId="0" applyFont="1" applyFill="1" applyBorder="1" applyAlignment="1">
      <alignment vertical="center" wrapText="1"/>
    </xf>
    <xf numFmtId="0" fontId="20" fillId="0" borderId="143" xfId="0" applyFont="1" applyFill="1" applyBorder="1" applyAlignment="1">
      <alignment vertical="center" wrapText="1"/>
    </xf>
    <xf numFmtId="0" fontId="20" fillId="0" borderId="144" xfId="0" applyFont="1" applyFill="1" applyBorder="1" applyAlignment="1">
      <alignment vertical="center" wrapText="1"/>
    </xf>
    <xf numFmtId="0" fontId="25" fillId="0" borderId="144" xfId="0" applyFont="1" applyFill="1" applyBorder="1" applyAlignment="1">
      <alignment vertical="center" wrapText="1"/>
    </xf>
    <xf numFmtId="0" fontId="28" fillId="0" borderId="141" xfId="0" applyFont="1" applyFill="1" applyBorder="1" applyAlignment="1">
      <alignment vertical="center" wrapText="1"/>
    </xf>
    <xf numFmtId="0" fontId="28" fillId="0" borderId="73" xfId="0" applyFont="1" applyFill="1" applyBorder="1">
      <alignment vertical="center"/>
    </xf>
    <xf numFmtId="0" fontId="28" fillId="0" borderId="142" xfId="0" applyFont="1" applyFill="1" applyBorder="1">
      <alignment vertical="center"/>
    </xf>
    <xf numFmtId="0" fontId="28" fillId="0" borderId="144" xfId="0" applyFont="1" applyFill="1" applyBorder="1" applyAlignment="1">
      <alignment horizontal="center" vertical="center" wrapText="1"/>
    </xf>
    <xf numFmtId="0" fontId="14" fillId="15" borderId="12" xfId="0" applyFont="1" applyFill="1" applyBorder="1" applyAlignment="1">
      <alignment horizontal="center" vertical="center"/>
    </xf>
    <xf numFmtId="0" fontId="21" fillId="15" borderId="0" xfId="0" applyFont="1" applyFill="1" applyBorder="1" applyAlignment="1">
      <alignment horizontal="center" vertical="center"/>
    </xf>
    <xf numFmtId="0" fontId="14" fillId="15" borderId="0" xfId="0" applyFont="1" applyFill="1" applyBorder="1" applyAlignment="1">
      <alignment horizontal="center" vertical="center"/>
    </xf>
    <xf numFmtId="0" fontId="14" fillId="15" borderId="13" xfId="0" applyFont="1" applyFill="1" applyBorder="1" applyAlignment="1">
      <alignment horizontal="center" vertical="center"/>
    </xf>
    <xf numFmtId="0" fontId="0" fillId="15" borderId="12" xfId="0" applyFill="1" applyBorder="1">
      <alignment vertical="center"/>
    </xf>
    <xf numFmtId="0" fontId="0" fillId="15" borderId="13" xfId="0" applyFill="1" applyBorder="1">
      <alignment vertical="center"/>
    </xf>
    <xf numFmtId="0" fontId="20" fillId="0" borderId="137" xfId="0" applyFont="1" applyFill="1" applyBorder="1">
      <alignment vertical="center"/>
    </xf>
    <xf numFmtId="0" fontId="20" fillId="0" borderId="138" xfId="0" applyFont="1" applyFill="1" applyBorder="1">
      <alignment vertical="center"/>
    </xf>
    <xf numFmtId="0" fontId="0" fillId="3" borderId="0" xfId="0" applyFill="1" applyBorder="1" applyAlignment="1">
      <alignment horizontal="center" vertical="center"/>
    </xf>
    <xf numFmtId="0" fontId="14" fillId="7" borderId="0" xfId="0" applyFont="1" applyFill="1" applyBorder="1" applyAlignment="1">
      <alignment horizontal="center" vertical="center"/>
    </xf>
    <xf numFmtId="0" fontId="14" fillId="11" borderId="0" xfId="0" applyFont="1" applyFill="1" applyBorder="1" applyAlignment="1">
      <alignment horizontal="center" vertical="center"/>
    </xf>
    <xf numFmtId="0" fontId="0" fillId="0" borderId="0" xfId="0" applyBorder="1">
      <alignment vertical="center"/>
    </xf>
    <xf numFmtId="0" fontId="14" fillId="5" borderId="137" xfId="0" applyFont="1" applyFill="1" applyBorder="1" applyAlignment="1">
      <alignment horizontal="center" vertical="center"/>
    </xf>
    <xf numFmtId="0" fontId="14" fillId="5" borderId="145" xfId="0" applyFont="1" applyFill="1" applyBorder="1" applyAlignment="1">
      <alignment horizontal="center" vertical="center"/>
    </xf>
    <xf numFmtId="0" fontId="0" fillId="9" borderId="79" xfId="0" applyFill="1" applyBorder="1" applyAlignment="1">
      <alignment horizontal="center" vertical="center"/>
    </xf>
    <xf numFmtId="0" fontId="0" fillId="10" borderId="79" xfId="0" applyFill="1" applyBorder="1" applyAlignment="1">
      <alignment horizontal="center" vertical="center"/>
    </xf>
    <xf numFmtId="0" fontId="0" fillId="2" borderId="79" xfId="0" applyFill="1" applyBorder="1" applyAlignment="1">
      <alignment horizontal="center" vertical="center"/>
    </xf>
    <xf numFmtId="0" fontId="0" fillId="3" borderId="79" xfId="0" applyFill="1" applyBorder="1" applyAlignment="1">
      <alignment horizontal="center" vertical="center"/>
    </xf>
    <xf numFmtId="0" fontId="14" fillId="5" borderId="70" xfId="0" applyFont="1" applyFill="1" applyBorder="1" applyAlignment="1">
      <alignment horizontal="center" vertical="center"/>
    </xf>
    <xf numFmtId="0" fontId="0" fillId="9" borderId="0" xfId="0" applyFill="1" applyBorder="1" applyAlignment="1">
      <alignment horizontal="center" vertical="center"/>
    </xf>
    <xf numFmtId="0" fontId="0" fillId="10" borderId="0" xfId="0" applyFill="1" applyBorder="1" applyAlignment="1">
      <alignment horizontal="center" vertical="center"/>
    </xf>
    <xf numFmtId="0" fontId="0" fillId="4" borderId="0" xfId="0" applyFill="1" applyBorder="1" applyAlignment="1">
      <alignment horizontal="center" vertical="center"/>
    </xf>
    <xf numFmtId="0" fontId="0" fillId="3" borderId="0" xfId="0" applyFill="1" applyBorder="1">
      <alignment vertical="center"/>
    </xf>
    <xf numFmtId="0" fontId="10" fillId="3" borderId="0" xfId="0" applyFont="1" applyFill="1" applyBorder="1" applyAlignment="1">
      <alignment vertical="center"/>
    </xf>
    <xf numFmtId="0" fontId="32" fillId="3" borderId="0" xfId="0" applyFont="1" applyFill="1" applyBorder="1" applyAlignment="1">
      <alignment vertical="center" wrapText="1"/>
    </xf>
    <xf numFmtId="0" fontId="13" fillId="3" borderId="0" xfId="0" applyFont="1" applyFill="1" applyBorder="1" applyAlignment="1">
      <alignment vertical="center" wrapText="1"/>
    </xf>
    <xf numFmtId="0" fontId="14" fillId="6" borderId="40" xfId="0" applyFont="1" applyFill="1" applyBorder="1" applyAlignment="1">
      <alignment horizontal="center" vertical="center"/>
    </xf>
    <xf numFmtId="0" fontId="40" fillId="7" borderId="0" xfId="0" applyFont="1" applyFill="1">
      <alignment vertical="center"/>
    </xf>
    <xf numFmtId="0" fontId="0" fillId="3" borderId="0" xfId="0" applyFill="1" applyBorder="1" applyAlignment="1">
      <alignment horizontal="center" vertical="center"/>
    </xf>
    <xf numFmtId="0" fontId="34" fillId="0" borderId="0" xfId="0" applyFont="1" applyFill="1" applyBorder="1" applyAlignment="1">
      <alignment vertical="center"/>
    </xf>
    <xf numFmtId="0" fontId="36" fillId="0" borderId="0" xfId="0" applyFont="1" applyFill="1" applyBorder="1" applyAlignment="1">
      <alignment vertical="center" wrapText="1"/>
    </xf>
    <xf numFmtId="0" fontId="23" fillId="0" borderId="0" xfId="0" applyFont="1" applyFill="1" applyBorder="1" applyAlignment="1">
      <alignment vertical="center"/>
    </xf>
    <xf numFmtId="0" fontId="0" fillId="0" borderId="0" xfId="0" applyFill="1" applyBorder="1">
      <alignment vertical="center"/>
    </xf>
    <xf numFmtId="0" fontId="9" fillId="0" borderId="0" xfId="0" applyFont="1" applyFill="1" applyBorder="1" applyAlignment="1">
      <alignment vertical="center" wrapText="1"/>
    </xf>
    <xf numFmtId="0" fontId="33" fillId="0" borderId="0" xfId="0" applyFont="1" applyFill="1" applyBorder="1">
      <alignment vertical="center"/>
    </xf>
    <xf numFmtId="0" fontId="29" fillId="3" borderId="0" xfId="0" applyFont="1" applyFill="1" applyBorder="1" applyAlignment="1">
      <alignment horizontal="center" vertical="center"/>
    </xf>
    <xf numFmtId="0" fontId="0" fillId="3" borderId="0" xfId="0" applyFill="1" applyBorder="1" applyAlignment="1">
      <alignment horizontal="center" vertical="center"/>
    </xf>
    <xf numFmtId="0" fontId="18" fillId="3" borderId="0" xfId="0" applyFont="1" applyFill="1" applyBorder="1" applyAlignment="1">
      <alignment horizontal="center" vertical="center"/>
    </xf>
    <xf numFmtId="0" fontId="9" fillId="3" borderId="0" xfId="0" applyFont="1" applyFill="1" applyBorder="1" applyAlignment="1">
      <alignment horizontal="center" vertical="center"/>
    </xf>
    <xf numFmtId="176" fontId="11" fillId="3" borderId="0" xfId="0" applyNumberFormat="1" applyFont="1" applyFill="1" applyBorder="1" applyAlignment="1">
      <alignment horizontal="center" vertical="center"/>
    </xf>
    <xf numFmtId="176" fontId="11" fillId="3" borderId="35" xfId="0" applyNumberFormat="1" applyFont="1" applyFill="1" applyBorder="1" applyAlignment="1">
      <alignment horizontal="center" vertical="center"/>
    </xf>
    <xf numFmtId="0" fontId="11" fillId="3" borderId="0" xfId="0" applyFont="1" applyFill="1" applyBorder="1" applyAlignment="1">
      <alignment horizontal="center" vertical="center"/>
    </xf>
    <xf numFmtId="0" fontId="11" fillId="3" borderId="35" xfId="0" applyFont="1" applyFill="1" applyBorder="1" applyAlignment="1">
      <alignment horizontal="center" vertical="center"/>
    </xf>
    <xf numFmtId="0" fontId="38" fillId="3" borderId="0" xfId="0" applyFont="1" applyFill="1" applyBorder="1" applyAlignment="1">
      <alignment horizontal="center" vertical="center"/>
    </xf>
    <xf numFmtId="0" fontId="37" fillId="3" borderId="0" xfId="0" applyFont="1" applyFill="1" applyBorder="1" applyAlignment="1">
      <alignment horizontal="center" vertical="center"/>
    </xf>
    <xf numFmtId="0" fontId="39" fillId="3" borderId="0" xfId="0" applyFont="1" applyFill="1" applyBorder="1" applyAlignment="1">
      <alignment horizontal="center" vertical="center"/>
    </xf>
    <xf numFmtId="0" fontId="13" fillId="3" borderId="0" xfId="0" applyFont="1" applyFill="1" applyBorder="1" applyAlignment="1">
      <alignment horizontal="center" vertical="center" wrapText="1"/>
    </xf>
    <xf numFmtId="0" fontId="7" fillId="3" borderId="0"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4" fillId="7" borderId="9" xfId="0" applyFont="1" applyFill="1" applyBorder="1" applyAlignment="1">
      <alignment horizontal="center" vertical="center"/>
    </xf>
    <xf numFmtId="0" fontId="14" fillId="7" borderId="10"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5" xfId="0" applyFont="1" applyFill="1" applyBorder="1" applyAlignment="1">
      <alignment horizontal="center" vertical="center"/>
    </xf>
    <xf numFmtId="0" fontId="14" fillId="7" borderId="27" xfId="0" applyFont="1" applyFill="1" applyBorder="1" applyAlignment="1">
      <alignment horizontal="center" vertical="center"/>
    </xf>
    <xf numFmtId="0" fontId="14" fillId="7" borderId="12" xfId="0" applyFont="1" applyFill="1" applyBorder="1" applyAlignment="1">
      <alignment horizontal="center" vertical="center"/>
    </xf>
    <xf numFmtId="0" fontId="14" fillId="7" borderId="21" xfId="0" applyFont="1" applyFill="1" applyBorder="1" applyAlignment="1">
      <alignment horizontal="center" vertical="center"/>
    </xf>
    <xf numFmtId="0" fontId="22" fillId="3" borderId="1" xfId="0" applyFont="1" applyFill="1" applyBorder="1" applyAlignment="1">
      <alignment horizontal="center" vertical="center" wrapText="1"/>
    </xf>
    <xf numFmtId="0" fontId="22" fillId="3" borderId="2" xfId="0" applyFont="1" applyFill="1" applyBorder="1" applyAlignment="1">
      <alignment horizontal="center" vertical="center" wrapText="1"/>
    </xf>
    <xf numFmtId="0" fontId="22" fillId="3" borderId="3" xfId="0" applyFont="1" applyFill="1" applyBorder="1" applyAlignment="1">
      <alignment horizontal="center" vertical="center" wrapText="1"/>
    </xf>
    <xf numFmtId="0" fontId="22" fillId="3" borderId="4" xfId="0" applyFont="1" applyFill="1" applyBorder="1" applyAlignment="1">
      <alignment horizontal="center" vertical="center" wrapText="1"/>
    </xf>
    <xf numFmtId="0" fontId="22" fillId="3" borderId="0" xfId="0" applyFont="1" applyFill="1" applyBorder="1" applyAlignment="1">
      <alignment horizontal="center" vertical="center" wrapText="1"/>
    </xf>
    <xf numFmtId="0" fontId="22" fillId="3" borderId="5" xfId="0" applyFont="1" applyFill="1" applyBorder="1" applyAlignment="1">
      <alignment horizontal="center" vertical="center" wrapText="1"/>
    </xf>
    <xf numFmtId="0" fontId="22" fillId="3" borderId="6" xfId="0" applyFont="1" applyFill="1" applyBorder="1" applyAlignment="1">
      <alignment horizontal="center" vertical="center" wrapText="1"/>
    </xf>
    <xf numFmtId="0" fontId="22" fillId="3" borderId="7" xfId="0" applyFont="1" applyFill="1" applyBorder="1" applyAlignment="1">
      <alignment horizontal="center" vertical="center" wrapText="1"/>
    </xf>
    <xf numFmtId="0" fontId="22" fillId="3" borderId="8" xfId="0" applyFont="1" applyFill="1" applyBorder="1" applyAlignment="1">
      <alignment horizontal="center" vertical="center" wrapText="1"/>
    </xf>
    <xf numFmtId="0" fontId="8" fillId="3" borderId="9" xfId="0" applyFont="1" applyFill="1" applyBorder="1" applyAlignment="1">
      <alignment horizontal="center" vertical="center"/>
    </xf>
    <xf numFmtId="0" fontId="8" fillId="3" borderId="10" xfId="0" applyFont="1" applyFill="1" applyBorder="1" applyAlignment="1">
      <alignment horizontal="center" vertical="center"/>
    </xf>
    <xf numFmtId="0" fontId="8" fillId="3" borderId="12" xfId="0" applyFont="1" applyFill="1" applyBorder="1" applyAlignment="1">
      <alignment horizontal="center" vertical="center"/>
    </xf>
    <xf numFmtId="0" fontId="8" fillId="3" borderId="0" xfId="0" applyFont="1" applyFill="1" applyBorder="1" applyAlignment="1">
      <alignment horizontal="center" vertical="center"/>
    </xf>
    <xf numFmtId="0" fontId="8" fillId="3" borderId="135" xfId="0" applyFont="1" applyFill="1" applyBorder="1" applyAlignment="1">
      <alignment horizontal="center" vertical="center"/>
    </xf>
    <xf numFmtId="0" fontId="8" fillId="3" borderId="136" xfId="0" applyFont="1" applyFill="1" applyBorder="1" applyAlignment="1">
      <alignment horizontal="center" vertical="center"/>
    </xf>
    <xf numFmtId="0" fontId="8" fillId="3" borderId="146" xfId="0" applyFont="1" applyFill="1" applyBorder="1" applyAlignment="1">
      <alignment horizontal="center" vertical="center"/>
    </xf>
    <xf numFmtId="0" fontId="8" fillId="3" borderId="147" xfId="0" applyFont="1" applyFill="1" applyBorder="1" applyAlignment="1">
      <alignment horizontal="center" vertical="center"/>
    </xf>
    <xf numFmtId="0" fontId="8" fillId="3" borderId="148" xfId="0" applyFont="1" applyFill="1" applyBorder="1" applyAlignment="1">
      <alignment horizontal="center" vertical="center"/>
    </xf>
    <xf numFmtId="0" fontId="14" fillId="7" borderId="0" xfId="0" applyFont="1" applyFill="1" applyBorder="1" applyAlignment="1">
      <alignment horizontal="center" vertical="center"/>
    </xf>
    <xf numFmtId="0" fontId="14" fillId="11" borderId="9" xfId="0" applyFont="1" applyFill="1" applyBorder="1" applyAlignment="1">
      <alignment horizontal="center" vertical="center"/>
    </xf>
    <xf numFmtId="0" fontId="14" fillId="11" borderId="10" xfId="0" applyFont="1" applyFill="1" applyBorder="1" applyAlignment="1">
      <alignment horizontal="center" vertical="center"/>
    </xf>
    <xf numFmtId="0" fontId="14" fillId="11" borderId="17" xfId="0" applyFont="1" applyFill="1" applyBorder="1" applyAlignment="1">
      <alignment horizontal="center" vertical="center"/>
    </xf>
    <xf numFmtId="0" fontId="14" fillId="7" borderId="149" xfId="0" applyFont="1" applyFill="1" applyBorder="1" applyAlignment="1">
      <alignment horizontal="center" vertical="center"/>
    </xf>
    <xf numFmtId="0" fontId="14" fillId="7" borderId="16" xfId="0" applyFont="1" applyFill="1" applyBorder="1" applyAlignment="1">
      <alignment horizontal="center" vertical="center"/>
    </xf>
    <xf numFmtId="0" fontId="23" fillId="7" borderId="0" xfId="0" applyFont="1" applyFill="1" applyBorder="1" applyAlignment="1">
      <alignment horizontal="center" vertical="center"/>
    </xf>
    <xf numFmtId="0" fontId="14" fillId="11" borderId="0" xfId="0" applyFont="1" applyFill="1" applyBorder="1" applyAlignment="1">
      <alignment horizontal="center" vertical="center"/>
    </xf>
    <xf numFmtId="0" fontId="14" fillId="11" borderId="14" xfId="0" applyFont="1" applyFill="1" applyBorder="1" applyAlignment="1">
      <alignment horizontal="center" vertical="center"/>
    </xf>
    <xf numFmtId="0" fontId="14" fillId="11" borderId="15" xfId="0" applyFont="1" applyFill="1" applyBorder="1" applyAlignment="1">
      <alignment horizontal="center" vertical="center"/>
    </xf>
    <xf numFmtId="0" fontId="14" fillId="11" borderId="16" xfId="0" applyFont="1" applyFill="1" applyBorder="1" applyAlignment="1">
      <alignment horizontal="center" vertical="center"/>
    </xf>
    <xf numFmtId="0" fontId="14" fillId="7" borderId="146" xfId="0" applyFont="1" applyFill="1" applyBorder="1" applyAlignment="1">
      <alignment horizontal="center" vertical="center"/>
    </xf>
    <xf numFmtId="0" fontId="14" fillId="7" borderId="147" xfId="0" applyFont="1" applyFill="1" applyBorder="1" applyAlignment="1">
      <alignment horizontal="center" vertical="center"/>
    </xf>
    <xf numFmtId="0" fontId="14" fillId="7" borderId="150" xfId="0" applyFont="1" applyFill="1" applyBorder="1" applyAlignment="1">
      <alignment horizontal="center" vertical="center"/>
    </xf>
    <xf numFmtId="0" fontId="12" fillId="15" borderId="9" xfId="0" applyFont="1" applyFill="1" applyBorder="1" applyAlignment="1">
      <alignment horizontal="center" vertical="center"/>
    </xf>
    <xf numFmtId="0" fontId="30" fillId="15" borderId="10" xfId="0" applyFont="1" applyFill="1" applyBorder="1" applyAlignment="1">
      <alignment horizontal="center" vertical="center"/>
    </xf>
    <xf numFmtId="0" fontId="30" fillId="15" borderId="11" xfId="0" applyFont="1" applyFill="1" applyBorder="1" applyAlignment="1">
      <alignment horizontal="center" vertical="center"/>
    </xf>
    <xf numFmtId="0" fontId="31" fillId="15" borderId="0" xfId="0" applyFont="1" applyFill="1" applyBorder="1" applyAlignment="1">
      <alignment horizontal="center" vertical="center"/>
    </xf>
    <xf numFmtId="0" fontId="14" fillId="15" borderId="14" xfId="0" applyFont="1" applyFill="1" applyBorder="1" applyAlignment="1">
      <alignment horizontal="center" vertical="center"/>
    </xf>
    <xf numFmtId="0" fontId="14" fillId="15" borderId="15" xfId="0" applyFont="1" applyFill="1" applyBorder="1" applyAlignment="1">
      <alignment horizontal="center" vertical="center"/>
    </xf>
    <xf numFmtId="0" fontId="14" fillId="15" borderId="16" xfId="0" applyFont="1" applyFill="1" applyBorder="1" applyAlignment="1">
      <alignment horizontal="center" vertical="center"/>
    </xf>
  </cellXfs>
  <cellStyles count="5907">
    <cellStyle name="一般" xfId="0" builtinId="0"/>
    <cellStyle name="已瀏覽過的超連結" xfId="2" builtinId="9" hidden="1"/>
    <cellStyle name="已瀏覽過的超連結" xfId="4" builtinId="9" hidden="1"/>
    <cellStyle name="已瀏覽過的超連結" xfId="6" builtinId="9" hidden="1"/>
    <cellStyle name="已瀏覽過的超連結" xfId="8" builtinId="9" hidden="1"/>
    <cellStyle name="已瀏覽過的超連結" xfId="10" builtinId="9" hidden="1"/>
    <cellStyle name="已瀏覽過的超連結" xfId="12" builtinId="9" hidden="1"/>
    <cellStyle name="已瀏覽過的超連結" xfId="14" builtinId="9" hidden="1"/>
    <cellStyle name="已瀏覽過的超連結" xfId="16" builtinId="9" hidden="1"/>
    <cellStyle name="已瀏覽過的超連結" xfId="18" builtinId="9" hidden="1"/>
    <cellStyle name="已瀏覽過的超連結" xfId="20" builtinId="9" hidden="1"/>
    <cellStyle name="已瀏覽過的超連結" xfId="22" builtinId="9" hidden="1"/>
    <cellStyle name="已瀏覽過的超連結" xfId="24" builtinId="9" hidden="1"/>
    <cellStyle name="已瀏覽過的超連結" xfId="26" builtinId="9" hidden="1"/>
    <cellStyle name="已瀏覽過的超連結" xfId="28" builtinId="9" hidden="1"/>
    <cellStyle name="已瀏覽過的超連結" xfId="30" builtinId="9" hidden="1"/>
    <cellStyle name="已瀏覽過的超連結" xfId="32" builtinId="9" hidden="1"/>
    <cellStyle name="已瀏覽過的超連結" xfId="34" builtinId="9" hidden="1"/>
    <cellStyle name="已瀏覽過的超連結" xfId="36" builtinId="9" hidden="1"/>
    <cellStyle name="已瀏覽過的超連結" xfId="38" builtinId="9" hidden="1"/>
    <cellStyle name="已瀏覽過的超連結" xfId="40" builtinId="9" hidden="1"/>
    <cellStyle name="已瀏覽過的超連結" xfId="42" builtinId="9" hidden="1"/>
    <cellStyle name="已瀏覽過的超連結" xfId="44" builtinId="9" hidden="1"/>
    <cellStyle name="已瀏覽過的超連結" xfId="46" builtinId="9" hidden="1"/>
    <cellStyle name="已瀏覽過的超連結" xfId="48" builtinId="9" hidden="1"/>
    <cellStyle name="已瀏覽過的超連結" xfId="50" builtinId="9" hidden="1"/>
    <cellStyle name="已瀏覽過的超連結" xfId="52" builtinId="9" hidden="1"/>
    <cellStyle name="已瀏覽過的超連結" xfId="54" builtinId="9" hidden="1"/>
    <cellStyle name="已瀏覽過的超連結" xfId="56" builtinId="9" hidden="1"/>
    <cellStyle name="已瀏覽過的超連結" xfId="58" builtinId="9" hidden="1"/>
    <cellStyle name="已瀏覽過的超連結" xfId="60" builtinId="9" hidden="1"/>
    <cellStyle name="已瀏覽過的超連結" xfId="62" builtinId="9" hidden="1"/>
    <cellStyle name="已瀏覽過的超連結" xfId="64" builtinId="9" hidden="1"/>
    <cellStyle name="已瀏覽過的超連結" xfId="66" builtinId="9" hidden="1"/>
    <cellStyle name="已瀏覽過的超連結" xfId="68" builtinId="9" hidden="1"/>
    <cellStyle name="已瀏覽過的超連結" xfId="70" builtinId="9" hidden="1"/>
    <cellStyle name="已瀏覽過的超連結" xfId="72" builtinId="9" hidden="1"/>
    <cellStyle name="已瀏覽過的超連結" xfId="74" builtinId="9" hidden="1"/>
    <cellStyle name="已瀏覽過的超連結" xfId="76" builtinId="9" hidden="1"/>
    <cellStyle name="已瀏覽過的超連結" xfId="78" builtinId="9" hidden="1"/>
    <cellStyle name="已瀏覽過的超連結" xfId="80" builtinId="9" hidden="1"/>
    <cellStyle name="已瀏覽過的超連結" xfId="82" builtinId="9" hidden="1"/>
    <cellStyle name="已瀏覽過的超連結" xfId="84" builtinId="9" hidden="1"/>
    <cellStyle name="已瀏覽過的超連結" xfId="86" builtinId="9" hidden="1"/>
    <cellStyle name="已瀏覽過的超連結" xfId="88" builtinId="9" hidden="1"/>
    <cellStyle name="已瀏覽過的超連結" xfId="90" builtinId="9" hidden="1"/>
    <cellStyle name="已瀏覽過的超連結" xfId="92" builtinId="9" hidden="1"/>
    <cellStyle name="已瀏覽過的超連結" xfId="94" builtinId="9" hidden="1"/>
    <cellStyle name="已瀏覽過的超連結" xfId="96" builtinId="9" hidden="1"/>
    <cellStyle name="已瀏覽過的超連結" xfId="98" builtinId="9" hidden="1"/>
    <cellStyle name="已瀏覽過的超連結" xfId="100" builtinId="9" hidden="1"/>
    <cellStyle name="已瀏覽過的超連結" xfId="102" builtinId="9" hidden="1"/>
    <cellStyle name="已瀏覽過的超連結" xfId="104" builtinId="9" hidden="1"/>
    <cellStyle name="已瀏覽過的超連結" xfId="106" builtinId="9" hidden="1"/>
    <cellStyle name="已瀏覽過的超連結" xfId="108" builtinId="9" hidden="1"/>
    <cellStyle name="已瀏覽過的超連結" xfId="110" builtinId="9" hidden="1"/>
    <cellStyle name="已瀏覽過的超連結" xfId="112" builtinId="9" hidden="1"/>
    <cellStyle name="已瀏覽過的超連結" xfId="114" builtinId="9" hidden="1"/>
    <cellStyle name="已瀏覽過的超連結" xfId="116" builtinId="9" hidden="1"/>
    <cellStyle name="已瀏覽過的超連結" xfId="118" builtinId="9" hidden="1"/>
    <cellStyle name="已瀏覽過的超連結" xfId="120" builtinId="9" hidden="1"/>
    <cellStyle name="已瀏覽過的超連結" xfId="122" builtinId="9" hidden="1"/>
    <cellStyle name="已瀏覽過的超連結" xfId="124" builtinId="9" hidden="1"/>
    <cellStyle name="已瀏覽過的超連結" xfId="126" builtinId="9" hidden="1"/>
    <cellStyle name="已瀏覽過的超連結" xfId="128" builtinId="9" hidden="1"/>
    <cellStyle name="已瀏覽過的超連結" xfId="130" builtinId="9" hidden="1"/>
    <cellStyle name="已瀏覽過的超連結" xfId="132" builtinId="9" hidden="1"/>
    <cellStyle name="已瀏覽過的超連結" xfId="134" builtinId="9" hidden="1"/>
    <cellStyle name="已瀏覽過的超連結" xfId="136" builtinId="9" hidden="1"/>
    <cellStyle name="已瀏覽過的超連結" xfId="138" builtinId="9" hidden="1"/>
    <cellStyle name="已瀏覽過的超連結" xfId="140" builtinId="9" hidden="1"/>
    <cellStyle name="已瀏覽過的超連結" xfId="142" builtinId="9" hidden="1"/>
    <cellStyle name="已瀏覽過的超連結" xfId="144" builtinId="9" hidden="1"/>
    <cellStyle name="已瀏覽過的超連結" xfId="146" builtinId="9" hidden="1"/>
    <cellStyle name="已瀏覽過的超連結" xfId="148" builtinId="9" hidden="1"/>
    <cellStyle name="已瀏覽過的超連結" xfId="150" builtinId="9" hidden="1"/>
    <cellStyle name="已瀏覽過的超連結" xfId="152" builtinId="9" hidden="1"/>
    <cellStyle name="已瀏覽過的超連結" xfId="154" builtinId="9" hidden="1"/>
    <cellStyle name="已瀏覽過的超連結" xfId="156" builtinId="9" hidden="1"/>
    <cellStyle name="已瀏覽過的超連結" xfId="158" builtinId="9" hidden="1"/>
    <cellStyle name="已瀏覽過的超連結" xfId="160" builtinId="9" hidden="1"/>
    <cellStyle name="已瀏覽過的超連結" xfId="162" builtinId="9" hidden="1"/>
    <cellStyle name="已瀏覽過的超連結" xfId="164" builtinId="9" hidden="1"/>
    <cellStyle name="已瀏覽過的超連結" xfId="166" builtinId="9" hidden="1"/>
    <cellStyle name="已瀏覽過的超連結" xfId="168" builtinId="9" hidden="1"/>
    <cellStyle name="已瀏覽過的超連結" xfId="170" builtinId="9" hidden="1"/>
    <cellStyle name="已瀏覽過的超連結" xfId="172" builtinId="9" hidden="1"/>
    <cellStyle name="已瀏覽過的超連結" xfId="174" builtinId="9" hidden="1"/>
    <cellStyle name="已瀏覽過的超連結" xfId="176" builtinId="9" hidden="1"/>
    <cellStyle name="已瀏覽過的超連結" xfId="178" builtinId="9" hidden="1"/>
    <cellStyle name="已瀏覽過的超連結" xfId="180" builtinId="9" hidden="1"/>
    <cellStyle name="已瀏覽過的超連結" xfId="182" builtinId="9" hidden="1"/>
    <cellStyle name="已瀏覽過的超連結" xfId="184" builtinId="9" hidden="1"/>
    <cellStyle name="已瀏覽過的超連結" xfId="186" builtinId="9" hidden="1"/>
    <cellStyle name="已瀏覽過的超連結" xfId="188" builtinId="9" hidden="1"/>
    <cellStyle name="已瀏覽過的超連結" xfId="190" builtinId="9" hidden="1"/>
    <cellStyle name="已瀏覽過的超連結" xfId="192" builtinId="9" hidden="1"/>
    <cellStyle name="已瀏覽過的超連結" xfId="194" builtinId="9" hidden="1"/>
    <cellStyle name="已瀏覽過的超連結" xfId="196" builtinId="9" hidden="1"/>
    <cellStyle name="已瀏覽過的超連結" xfId="198" builtinId="9" hidden="1"/>
    <cellStyle name="已瀏覽過的超連結" xfId="200" builtinId="9" hidden="1"/>
    <cellStyle name="已瀏覽過的超連結" xfId="202" builtinId="9" hidden="1"/>
    <cellStyle name="已瀏覽過的超連結" xfId="204" builtinId="9" hidden="1"/>
    <cellStyle name="已瀏覽過的超連結" xfId="206" builtinId="9" hidden="1"/>
    <cellStyle name="已瀏覽過的超連結" xfId="208" builtinId="9" hidden="1"/>
    <cellStyle name="已瀏覽過的超連結" xfId="210" builtinId="9" hidden="1"/>
    <cellStyle name="已瀏覽過的超連結" xfId="212" builtinId="9" hidden="1"/>
    <cellStyle name="已瀏覽過的超連結" xfId="214" builtinId="9" hidden="1"/>
    <cellStyle name="已瀏覽過的超連結" xfId="216" builtinId="9" hidden="1"/>
    <cellStyle name="已瀏覽過的超連結" xfId="218" builtinId="9" hidden="1"/>
    <cellStyle name="已瀏覽過的超連結" xfId="220" builtinId="9" hidden="1"/>
    <cellStyle name="已瀏覽過的超連結" xfId="222" builtinId="9" hidden="1"/>
    <cellStyle name="已瀏覽過的超連結" xfId="224" builtinId="9" hidden="1"/>
    <cellStyle name="已瀏覽過的超連結" xfId="226" builtinId="9" hidden="1"/>
    <cellStyle name="已瀏覽過的超連結" xfId="228" builtinId="9" hidden="1"/>
    <cellStyle name="已瀏覽過的超連結" xfId="230" builtinId="9" hidden="1"/>
    <cellStyle name="已瀏覽過的超連結" xfId="232" builtinId="9" hidden="1"/>
    <cellStyle name="已瀏覽過的超連結" xfId="234" builtinId="9" hidden="1"/>
    <cellStyle name="已瀏覽過的超連結" xfId="236" builtinId="9" hidden="1"/>
    <cellStyle name="已瀏覽過的超連結" xfId="238" builtinId="9" hidden="1"/>
    <cellStyle name="已瀏覽過的超連結" xfId="240" builtinId="9" hidden="1"/>
    <cellStyle name="已瀏覽過的超連結" xfId="242" builtinId="9" hidden="1"/>
    <cellStyle name="已瀏覽過的超連結" xfId="244" builtinId="9" hidden="1"/>
    <cellStyle name="已瀏覽過的超連結" xfId="246" builtinId="9" hidden="1"/>
    <cellStyle name="已瀏覽過的超連結" xfId="248" builtinId="9" hidden="1"/>
    <cellStyle name="已瀏覽過的超連結" xfId="250" builtinId="9" hidden="1"/>
    <cellStyle name="已瀏覽過的超連結" xfId="252" builtinId="9" hidden="1"/>
    <cellStyle name="已瀏覽過的超連結" xfId="254" builtinId="9" hidden="1"/>
    <cellStyle name="已瀏覽過的超連結" xfId="256" builtinId="9" hidden="1"/>
    <cellStyle name="已瀏覽過的超連結" xfId="258" builtinId="9" hidden="1"/>
    <cellStyle name="已瀏覽過的超連結" xfId="260" builtinId="9" hidden="1"/>
    <cellStyle name="已瀏覽過的超連結" xfId="262" builtinId="9" hidden="1"/>
    <cellStyle name="已瀏覽過的超連結" xfId="264" builtinId="9" hidden="1"/>
    <cellStyle name="已瀏覽過的超連結" xfId="266" builtinId="9" hidden="1"/>
    <cellStyle name="已瀏覽過的超連結" xfId="268" builtinId="9" hidden="1"/>
    <cellStyle name="已瀏覽過的超連結" xfId="270" builtinId="9" hidden="1"/>
    <cellStyle name="已瀏覽過的超連結" xfId="272" builtinId="9" hidden="1"/>
    <cellStyle name="已瀏覽過的超連結" xfId="274" builtinId="9" hidden="1"/>
    <cellStyle name="已瀏覽過的超連結" xfId="276" builtinId="9" hidden="1"/>
    <cellStyle name="已瀏覽過的超連結" xfId="278" builtinId="9" hidden="1"/>
    <cellStyle name="已瀏覽過的超連結" xfId="280" builtinId="9" hidden="1"/>
    <cellStyle name="已瀏覽過的超連結" xfId="282" builtinId="9" hidden="1"/>
    <cellStyle name="已瀏覽過的超連結" xfId="284" builtinId="9" hidden="1"/>
    <cellStyle name="已瀏覽過的超連結" xfId="286" builtinId="9" hidden="1"/>
    <cellStyle name="已瀏覽過的超連結" xfId="288" builtinId="9" hidden="1"/>
    <cellStyle name="已瀏覽過的超連結" xfId="290" builtinId="9" hidden="1"/>
    <cellStyle name="已瀏覽過的超連結" xfId="292" builtinId="9" hidden="1"/>
    <cellStyle name="已瀏覽過的超連結" xfId="294" builtinId="9" hidden="1"/>
    <cellStyle name="已瀏覽過的超連結" xfId="296" builtinId="9" hidden="1"/>
    <cellStyle name="已瀏覽過的超連結" xfId="298" builtinId="9" hidden="1"/>
    <cellStyle name="已瀏覽過的超連結" xfId="300" builtinId="9" hidden="1"/>
    <cellStyle name="已瀏覽過的超連結" xfId="302" builtinId="9" hidden="1"/>
    <cellStyle name="已瀏覽過的超連結" xfId="304" builtinId="9" hidden="1"/>
    <cellStyle name="已瀏覽過的超連結" xfId="306" builtinId="9" hidden="1"/>
    <cellStyle name="已瀏覽過的超連結" xfId="308" builtinId="9" hidden="1"/>
    <cellStyle name="已瀏覽過的超連結" xfId="310" builtinId="9" hidden="1"/>
    <cellStyle name="已瀏覽過的超連結" xfId="312" builtinId="9" hidden="1"/>
    <cellStyle name="已瀏覽過的超連結" xfId="314" builtinId="9" hidden="1"/>
    <cellStyle name="已瀏覽過的超連結" xfId="316" builtinId="9" hidden="1"/>
    <cellStyle name="已瀏覽過的超連結" xfId="318" builtinId="9" hidden="1"/>
    <cellStyle name="已瀏覽過的超連結" xfId="320" builtinId="9" hidden="1"/>
    <cellStyle name="已瀏覽過的超連結" xfId="322" builtinId="9" hidden="1"/>
    <cellStyle name="已瀏覽過的超連結" xfId="324" builtinId="9" hidden="1"/>
    <cellStyle name="已瀏覽過的超連結" xfId="326" builtinId="9" hidden="1"/>
    <cellStyle name="已瀏覽過的超連結" xfId="328" builtinId="9" hidden="1"/>
    <cellStyle name="已瀏覽過的超連結" xfId="330" builtinId="9" hidden="1"/>
    <cellStyle name="已瀏覽過的超連結" xfId="332" builtinId="9" hidden="1"/>
    <cellStyle name="已瀏覽過的超連結" xfId="334" builtinId="9" hidden="1"/>
    <cellStyle name="已瀏覽過的超連結" xfId="336" builtinId="9" hidden="1"/>
    <cellStyle name="已瀏覽過的超連結" xfId="338" builtinId="9" hidden="1"/>
    <cellStyle name="已瀏覽過的超連結" xfId="340" builtinId="9" hidden="1"/>
    <cellStyle name="已瀏覽過的超連結" xfId="342" builtinId="9" hidden="1"/>
    <cellStyle name="已瀏覽過的超連結" xfId="344" builtinId="9" hidden="1"/>
    <cellStyle name="已瀏覽過的超連結" xfId="346" builtinId="9" hidden="1"/>
    <cellStyle name="已瀏覽過的超連結" xfId="348" builtinId="9" hidden="1"/>
    <cellStyle name="已瀏覽過的超連結" xfId="350" builtinId="9" hidden="1"/>
    <cellStyle name="已瀏覽過的超連結" xfId="352" builtinId="9" hidden="1"/>
    <cellStyle name="已瀏覽過的超連結" xfId="354" builtinId="9" hidden="1"/>
    <cellStyle name="已瀏覽過的超連結" xfId="356" builtinId="9" hidden="1"/>
    <cellStyle name="已瀏覽過的超連結" xfId="358" builtinId="9" hidden="1"/>
    <cellStyle name="已瀏覽過的超連結" xfId="360" builtinId="9" hidden="1"/>
    <cellStyle name="已瀏覽過的超連結" xfId="362" builtinId="9" hidden="1"/>
    <cellStyle name="已瀏覽過的超連結" xfId="364" builtinId="9" hidden="1"/>
    <cellStyle name="已瀏覽過的超連結" xfId="366" builtinId="9" hidden="1"/>
    <cellStyle name="已瀏覽過的超連結" xfId="368" builtinId="9" hidden="1"/>
    <cellStyle name="已瀏覽過的超連結" xfId="370" builtinId="9" hidden="1"/>
    <cellStyle name="已瀏覽過的超連結" xfId="372" builtinId="9" hidden="1"/>
    <cellStyle name="已瀏覽過的超連結" xfId="374" builtinId="9" hidden="1"/>
    <cellStyle name="已瀏覽過的超連結" xfId="376" builtinId="9" hidden="1"/>
    <cellStyle name="已瀏覽過的超連結" xfId="378" builtinId="9" hidden="1"/>
    <cellStyle name="已瀏覽過的超連結" xfId="380" builtinId="9" hidden="1"/>
    <cellStyle name="已瀏覽過的超連結" xfId="382" builtinId="9" hidden="1"/>
    <cellStyle name="已瀏覽過的超連結" xfId="384" builtinId="9" hidden="1"/>
    <cellStyle name="已瀏覽過的超連結" xfId="386" builtinId="9" hidden="1"/>
    <cellStyle name="已瀏覽過的超連結" xfId="388" builtinId="9" hidden="1"/>
    <cellStyle name="已瀏覽過的超連結" xfId="390" builtinId="9" hidden="1"/>
    <cellStyle name="已瀏覽過的超連結" xfId="392" builtinId="9" hidden="1"/>
    <cellStyle name="已瀏覽過的超連結" xfId="394" builtinId="9" hidden="1"/>
    <cellStyle name="已瀏覽過的超連結" xfId="396" builtinId="9" hidden="1"/>
    <cellStyle name="已瀏覽過的超連結" xfId="398" builtinId="9" hidden="1"/>
    <cellStyle name="已瀏覽過的超連結" xfId="400" builtinId="9" hidden="1"/>
    <cellStyle name="已瀏覽過的超連結" xfId="402" builtinId="9" hidden="1"/>
    <cellStyle name="已瀏覽過的超連結" xfId="404" builtinId="9" hidden="1"/>
    <cellStyle name="已瀏覽過的超連結" xfId="406" builtinId="9" hidden="1"/>
    <cellStyle name="已瀏覽過的超連結" xfId="408" builtinId="9" hidden="1"/>
    <cellStyle name="已瀏覽過的超連結" xfId="410" builtinId="9" hidden="1"/>
    <cellStyle name="已瀏覽過的超連結" xfId="412" builtinId="9" hidden="1"/>
    <cellStyle name="已瀏覽過的超連結" xfId="414" builtinId="9" hidden="1"/>
    <cellStyle name="已瀏覽過的超連結" xfId="416" builtinId="9" hidden="1"/>
    <cellStyle name="已瀏覽過的超連結" xfId="418" builtinId="9" hidden="1"/>
    <cellStyle name="已瀏覽過的超連結" xfId="420" builtinId="9" hidden="1"/>
    <cellStyle name="已瀏覽過的超連結" xfId="422" builtinId="9" hidden="1"/>
    <cellStyle name="已瀏覽過的超連結" xfId="424" builtinId="9" hidden="1"/>
    <cellStyle name="已瀏覽過的超連結" xfId="426" builtinId="9" hidden="1"/>
    <cellStyle name="已瀏覽過的超連結" xfId="428" builtinId="9" hidden="1"/>
    <cellStyle name="已瀏覽過的超連結" xfId="430" builtinId="9" hidden="1"/>
    <cellStyle name="已瀏覽過的超連結" xfId="432" builtinId="9" hidden="1"/>
    <cellStyle name="已瀏覽過的超連結" xfId="434" builtinId="9" hidden="1"/>
    <cellStyle name="已瀏覽過的超連結" xfId="436" builtinId="9" hidden="1"/>
    <cellStyle name="已瀏覽過的超連結" xfId="438" builtinId="9" hidden="1"/>
    <cellStyle name="已瀏覽過的超連結" xfId="440" builtinId="9" hidden="1"/>
    <cellStyle name="已瀏覽過的超連結" xfId="442" builtinId="9" hidden="1"/>
    <cellStyle name="已瀏覽過的超連結" xfId="444" builtinId="9" hidden="1"/>
    <cellStyle name="已瀏覽過的超連結" xfId="446" builtinId="9" hidden="1"/>
    <cellStyle name="已瀏覽過的超連結" xfId="448" builtinId="9" hidden="1"/>
    <cellStyle name="已瀏覽過的超連結" xfId="450" builtinId="9" hidden="1"/>
    <cellStyle name="已瀏覽過的超連結" xfId="452" builtinId="9" hidden="1"/>
    <cellStyle name="已瀏覽過的超連結" xfId="454" builtinId="9" hidden="1"/>
    <cellStyle name="已瀏覽過的超連結" xfId="456" builtinId="9" hidden="1"/>
    <cellStyle name="已瀏覽過的超連結" xfId="458" builtinId="9" hidden="1"/>
    <cellStyle name="已瀏覽過的超連結" xfId="460" builtinId="9" hidden="1"/>
    <cellStyle name="已瀏覽過的超連結" xfId="462" builtinId="9" hidden="1"/>
    <cellStyle name="已瀏覽過的超連結" xfId="464" builtinId="9" hidden="1"/>
    <cellStyle name="已瀏覽過的超連結" xfId="466" builtinId="9" hidden="1"/>
    <cellStyle name="已瀏覽過的超連結" xfId="468" builtinId="9" hidden="1"/>
    <cellStyle name="已瀏覽過的超連結" xfId="470" builtinId="9" hidden="1"/>
    <cellStyle name="已瀏覽過的超連結" xfId="472" builtinId="9" hidden="1"/>
    <cellStyle name="已瀏覽過的超連結" xfId="474" builtinId="9" hidden="1"/>
    <cellStyle name="已瀏覽過的超連結" xfId="476" builtinId="9" hidden="1"/>
    <cellStyle name="已瀏覽過的超連結" xfId="478" builtinId="9" hidden="1"/>
    <cellStyle name="已瀏覽過的超連結" xfId="480" builtinId="9" hidden="1"/>
    <cellStyle name="已瀏覽過的超連結" xfId="482" builtinId="9" hidden="1"/>
    <cellStyle name="已瀏覽過的超連結" xfId="484" builtinId="9" hidden="1"/>
    <cellStyle name="已瀏覽過的超連結" xfId="486" builtinId="9" hidden="1"/>
    <cellStyle name="已瀏覽過的超連結" xfId="488" builtinId="9" hidden="1"/>
    <cellStyle name="已瀏覽過的超連結" xfId="490" builtinId="9" hidden="1"/>
    <cellStyle name="已瀏覽過的超連結" xfId="492" builtinId="9" hidden="1"/>
    <cellStyle name="已瀏覽過的超連結" xfId="494" builtinId="9" hidden="1"/>
    <cellStyle name="已瀏覽過的超連結" xfId="496" builtinId="9" hidden="1"/>
    <cellStyle name="已瀏覽過的超連結" xfId="498" builtinId="9" hidden="1"/>
    <cellStyle name="已瀏覽過的超連結" xfId="500" builtinId="9" hidden="1"/>
    <cellStyle name="已瀏覽過的超連結" xfId="502" builtinId="9" hidden="1"/>
    <cellStyle name="已瀏覽過的超連結" xfId="504" builtinId="9" hidden="1"/>
    <cellStyle name="已瀏覽過的超連結" xfId="506" builtinId="9" hidden="1"/>
    <cellStyle name="已瀏覽過的超連結" xfId="508" builtinId="9" hidden="1"/>
    <cellStyle name="已瀏覽過的超連結" xfId="510" builtinId="9" hidden="1"/>
    <cellStyle name="已瀏覽過的超連結" xfId="512" builtinId="9" hidden="1"/>
    <cellStyle name="已瀏覽過的超連結" xfId="514" builtinId="9" hidden="1"/>
    <cellStyle name="已瀏覽過的超連結" xfId="516" builtinId="9" hidden="1"/>
    <cellStyle name="已瀏覽過的超連結" xfId="518" builtinId="9" hidden="1"/>
    <cellStyle name="已瀏覽過的超連結" xfId="520" builtinId="9" hidden="1"/>
    <cellStyle name="已瀏覽過的超連結" xfId="522" builtinId="9" hidden="1"/>
    <cellStyle name="已瀏覽過的超連結" xfId="524" builtinId="9" hidden="1"/>
    <cellStyle name="已瀏覽過的超連結" xfId="526" builtinId="9" hidden="1"/>
    <cellStyle name="已瀏覽過的超連結" xfId="528" builtinId="9" hidden="1"/>
    <cellStyle name="已瀏覽過的超連結" xfId="530" builtinId="9" hidden="1"/>
    <cellStyle name="已瀏覽過的超連結" xfId="532" builtinId="9" hidden="1"/>
    <cellStyle name="已瀏覽過的超連結" xfId="534" builtinId="9" hidden="1"/>
    <cellStyle name="已瀏覽過的超連結" xfId="536" builtinId="9" hidden="1"/>
    <cellStyle name="已瀏覽過的超連結" xfId="538" builtinId="9" hidden="1"/>
    <cellStyle name="已瀏覽過的超連結" xfId="540" builtinId="9" hidden="1"/>
    <cellStyle name="已瀏覽過的超連結" xfId="542" builtinId="9" hidden="1"/>
    <cellStyle name="已瀏覽過的超連結" xfId="544" builtinId="9" hidden="1"/>
    <cellStyle name="已瀏覽過的超連結" xfId="546" builtinId="9" hidden="1"/>
    <cellStyle name="已瀏覽過的超連結" xfId="548" builtinId="9" hidden="1"/>
    <cellStyle name="已瀏覽過的超連結" xfId="550" builtinId="9" hidden="1"/>
    <cellStyle name="已瀏覽過的超連結" xfId="552" builtinId="9" hidden="1"/>
    <cellStyle name="已瀏覽過的超連結" xfId="554" builtinId="9" hidden="1"/>
    <cellStyle name="已瀏覽過的超連結" xfId="556" builtinId="9" hidden="1"/>
    <cellStyle name="已瀏覽過的超連結" xfId="558" builtinId="9" hidden="1"/>
    <cellStyle name="已瀏覽過的超連結" xfId="560" builtinId="9" hidden="1"/>
    <cellStyle name="已瀏覽過的超連結" xfId="562" builtinId="9" hidden="1"/>
    <cellStyle name="已瀏覽過的超連結" xfId="564" builtinId="9" hidden="1"/>
    <cellStyle name="已瀏覽過的超連結" xfId="566" builtinId="9" hidden="1"/>
    <cellStyle name="已瀏覽過的超連結" xfId="568" builtinId="9" hidden="1"/>
    <cellStyle name="已瀏覽過的超連結" xfId="570" builtinId="9" hidden="1"/>
    <cellStyle name="已瀏覽過的超連結" xfId="572" builtinId="9" hidden="1"/>
    <cellStyle name="已瀏覽過的超連結" xfId="574" builtinId="9" hidden="1"/>
    <cellStyle name="已瀏覽過的超連結" xfId="576" builtinId="9" hidden="1"/>
    <cellStyle name="已瀏覽過的超連結" xfId="578" builtinId="9" hidden="1"/>
    <cellStyle name="已瀏覽過的超連結" xfId="580" builtinId="9" hidden="1"/>
    <cellStyle name="已瀏覽過的超連結" xfId="582" builtinId="9" hidden="1"/>
    <cellStyle name="已瀏覽過的超連結" xfId="584" builtinId="9" hidden="1"/>
    <cellStyle name="已瀏覽過的超連結" xfId="586" builtinId="9" hidden="1"/>
    <cellStyle name="已瀏覽過的超連結" xfId="588" builtinId="9" hidden="1"/>
    <cellStyle name="已瀏覽過的超連結" xfId="590" builtinId="9" hidden="1"/>
    <cellStyle name="已瀏覽過的超連結" xfId="592" builtinId="9" hidden="1"/>
    <cellStyle name="已瀏覽過的超連結" xfId="594" builtinId="9" hidden="1"/>
    <cellStyle name="已瀏覽過的超連結" xfId="596" builtinId="9" hidden="1"/>
    <cellStyle name="已瀏覽過的超連結" xfId="598" builtinId="9" hidden="1"/>
    <cellStyle name="已瀏覽過的超連結" xfId="600" builtinId="9" hidden="1"/>
    <cellStyle name="已瀏覽過的超連結" xfId="602" builtinId="9" hidden="1"/>
    <cellStyle name="已瀏覽過的超連結" xfId="604" builtinId="9" hidden="1"/>
    <cellStyle name="已瀏覽過的超連結" xfId="606" builtinId="9" hidden="1"/>
    <cellStyle name="已瀏覽過的超連結" xfId="608" builtinId="9" hidden="1"/>
    <cellStyle name="已瀏覽過的超連結" xfId="610" builtinId="9" hidden="1"/>
    <cellStyle name="已瀏覽過的超連結" xfId="612" builtinId="9" hidden="1"/>
    <cellStyle name="已瀏覽過的超連結" xfId="614" builtinId="9" hidden="1"/>
    <cellStyle name="已瀏覽過的超連結" xfId="616" builtinId="9" hidden="1"/>
    <cellStyle name="已瀏覽過的超連結" xfId="618" builtinId="9" hidden="1"/>
    <cellStyle name="已瀏覽過的超連結" xfId="620" builtinId="9" hidden="1"/>
    <cellStyle name="已瀏覽過的超連結" xfId="622" builtinId="9" hidden="1"/>
    <cellStyle name="已瀏覽過的超連結" xfId="624" builtinId="9" hidden="1"/>
    <cellStyle name="已瀏覽過的超連結" xfId="626" builtinId="9" hidden="1"/>
    <cellStyle name="已瀏覽過的超連結" xfId="628" builtinId="9" hidden="1"/>
    <cellStyle name="已瀏覽過的超連結" xfId="630" builtinId="9" hidden="1"/>
    <cellStyle name="已瀏覽過的超連結" xfId="632" builtinId="9" hidden="1"/>
    <cellStyle name="已瀏覽過的超連結" xfId="634" builtinId="9" hidden="1"/>
    <cellStyle name="已瀏覽過的超連結" xfId="636" builtinId="9" hidden="1"/>
    <cellStyle name="已瀏覽過的超連結" xfId="638" builtinId="9" hidden="1"/>
    <cellStyle name="已瀏覽過的超連結" xfId="640" builtinId="9" hidden="1"/>
    <cellStyle name="已瀏覽過的超連結" xfId="642" builtinId="9" hidden="1"/>
    <cellStyle name="已瀏覽過的超連結" xfId="644" builtinId="9" hidden="1"/>
    <cellStyle name="已瀏覽過的超連結" xfId="646" builtinId="9" hidden="1"/>
    <cellStyle name="已瀏覽過的超連結" xfId="648" builtinId="9" hidden="1"/>
    <cellStyle name="已瀏覽過的超連結" xfId="650" builtinId="9" hidden="1"/>
    <cellStyle name="已瀏覽過的超連結" xfId="652" builtinId="9" hidden="1"/>
    <cellStyle name="已瀏覽過的超連結" xfId="654" builtinId="9" hidden="1"/>
    <cellStyle name="已瀏覽過的超連結" xfId="656" builtinId="9" hidden="1"/>
    <cellStyle name="已瀏覽過的超連結" xfId="658" builtinId="9" hidden="1"/>
    <cellStyle name="已瀏覽過的超連結" xfId="660" builtinId="9" hidden="1"/>
    <cellStyle name="已瀏覽過的超連結" xfId="662" builtinId="9" hidden="1"/>
    <cellStyle name="已瀏覽過的超連結" xfId="664" builtinId="9" hidden="1"/>
    <cellStyle name="已瀏覽過的超連結" xfId="666" builtinId="9" hidden="1"/>
    <cellStyle name="已瀏覽過的超連結" xfId="668" builtinId="9" hidden="1"/>
    <cellStyle name="已瀏覽過的超連結" xfId="670" builtinId="9" hidden="1"/>
    <cellStyle name="已瀏覽過的超連結" xfId="672" builtinId="9" hidden="1"/>
    <cellStyle name="已瀏覽過的超連結" xfId="674" builtinId="9" hidden="1"/>
    <cellStyle name="已瀏覽過的超連結" xfId="676" builtinId="9" hidden="1"/>
    <cellStyle name="已瀏覽過的超連結" xfId="678" builtinId="9" hidden="1"/>
    <cellStyle name="已瀏覽過的超連結" xfId="680" builtinId="9" hidden="1"/>
    <cellStyle name="已瀏覽過的超連結" xfId="682" builtinId="9" hidden="1"/>
    <cellStyle name="已瀏覽過的超連結" xfId="684" builtinId="9" hidden="1"/>
    <cellStyle name="已瀏覽過的超連結" xfId="686" builtinId="9" hidden="1"/>
    <cellStyle name="已瀏覽過的超連結" xfId="688" builtinId="9" hidden="1"/>
    <cellStyle name="已瀏覽過的超連結" xfId="690" builtinId="9" hidden="1"/>
    <cellStyle name="已瀏覽過的超連結" xfId="692" builtinId="9" hidden="1"/>
    <cellStyle name="已瀏覽過的超連結" xfId="694" builtinId="9" hidden="1"/>
    <cellStyle name="已瀏覽過的超連結" xfId="696" builtinId="9" hidden="1"/>
    <cellStyle name="已瀏覽過的超連結" xfId="698" builtinId="9" hidden="1"/>
    <cellStyle name="已瀏覽過的超連結" xfId="700" builtinId="9" hidden="1"/>
    <cellStyle name="已瀏覽過的超連結" xfId="702" builtinId="9" hidden="1"/>
    <cellStyle name="已瀏覽過的超連結" xfId="704" builtinId="9" hidden="1"/>
    <cellStyle name="已瀏覽過的超連結" xfId="706" builtinId="9" hidden="1"/>
    <cellStyle name="已瀏覽過的超連結" xfId="708" builtinId="9" hidden="1"/>
    <cellStyle name="已瀏覽過的超連結" xfId="710" builtinId="9" hidden="1"/>
    <cellStyle name="已瀏覽過的超連結" xfId="712" builtinId="9" hidden="1"/>
    <cellStyle name="已瀏覽過的超連結" xfId="714" builtinId="9" hidden="1"/>
    <cellStyle name="已瀏覽過的超連結" xfId="716" builtinId="9" hidden="1"/>
    <cellStyle name="已瀏覽過的超連結" xfId="718" builtinId="9" hidden="1"/>
    <cellStyle name="已瀏覽過的超連結" xfId="720" builtinId="9" hidden="1"/>
    <cellStyle name="已瀏覽過的超連結" xfId="722" builtinId="9" hidden="1"/>
    <cellStyle name="已瀏覽過的超連結" xfId="724" builtinId="9" hidden="1"/>
    <cellStyle name="已瀏覽過的超連結" xfId="726" builtinId="9" hidden="1"/>
    <cellStyle name="已瀏覽過的超連結" xfId="728" builtinId="9" hidden="1"/>
    <cellStyle name="已瀏覽過的超連結" xfId="730" builtinId="9" hidden="1"/>
    <cellStyle name="已瀏覽過的超連結" xfId="732" builtinId="9" hidden="1"/>
    <cellStyle name="已瀏覽過的超連結" xfId="734" builtinId="9" hidden="1"/>
    <cellStyle name="已瀏覽過的超連結" xfId="736" builtinId="9" hidden="1"/>
    <cellStyle name="已瀏覽過的超連結" xfId="738" builtinId="9" hidden="1"/>
    <cellStyle name="已瀏覽過的超連結" xfId="740" builtinId="9" hidden="1"/>
    <cellStyle name="已瀏覽過的超連結" xfId="742" builtinId="9" hidden="1"/>
    <cellStyle name="已瀏覽過的超連結" xfId="744" builtinId="9" hidden="1"/>
    <cellStyle name="已瀏覽過的超連結" xfId="746" builtinId="9" hidden="1"/>
    <cellStyle name="已瀏覽過的超連結" xfId="748" builtinId="9" hidden="1"/>
    <cellStyle name="已瀏覽過的超連結" xfId="750" builtinId="9" hidden="1"/>
    <cellStyle name="已瀏覽過的超連結" xfId="752" builtinId="9" hidden="1"/>
    <cellStyle name="已瀏覽過的超連結" xfId="754" builtinId="9" hidden="1"/>
    <cellStyle name="已瀏覽過的超連結" xfId="756" builtinId="9" hidden="1"/>
    <cellStyle name="已瀏覽過的超連結" xfId="758" builtinId="9" hidden="1"/>
    <cellStyle name="已瀏覽過的超連結" xfId="760" builtinId="9" hidden="1"/>
    <cellStyle name="已瀏覽過的超連結" xfId="762" builtinId="9" hidden="1"/>
    <cellStyle name="已瀏覽過的超連結" xfId="764" builtinId="9" hidden="1"/>
    <cellStyle name="已瀏覽過的超連結" xfId="766" builtinId="9" hidden="1"/>
    <cellStyle name="已瀏覽過的超連結" xfId="768" builtinId="9" hidden="1"/>
    <cellStyle name="已瀏覽過的超連結" xfId="770" builtinId="9" hidden="1"/>
    <cellStyle name="已瀏覽過的超連結" xfId="772" builtinId="9" hidden="1"/>
    <cellStyle name="已瀏覽過的超連結" xfId="774" builtinId="9" hidden="1"/>
    <cellStyle name="已瀏覽過的超連結" xfId="776" builtinId="9" hidden="1"/>
    <cellStyle name="已瀏覽過的超連結" xfId="778" builtinId="9" hidden="1"/>
    <cellStyle name="已瀏覽過的超連結" xfId="780" builtinId="9" hidden="1"/>
    <cellStyle name="已瀏覽過的超連結" xfId="782" builtinId="9" hidden="1"/>
    <cellStyle name="已瀏覽過的超連結" xfId="784" builtinId="9" hidden="1"/>
    <cellStyle name="已瀏覽過的超連結" xfId="786" builtinId="9" hidden="1"/>
    <cellStyle name="已瀏覽過的超連結" xfId="788" builtinId="9" hidden="1"/>
    <cellStyle name="已瀏覽過的超連結" xfId="790" builtinId="9" hidden="1"/>
    <cellStyle name="已瀏覽過的超連結" xfId="792" builtinId="9" hidden="1"/>
    <cellStyle name="已瀏覽過的超連結" xfId="794" builtinId="9" hidden="1"/>
    <cellStyle name="已瀏覽過的超連結" xfId="796" builtinId="9" hidden="1"/>
    <cellStyle name="已瀏覽過的超連結" xfId="798" builtinId="9" hidden="1"/>
    <cellStyle name="已瀏覽過的超連結" xfId="800" builtinId="9" hidden="1"/>
    <cellStyle name="已瀏覽過的超連結" xfId="802" builtinId="9" hidden="1"/>
    <cellStyle name="已瀏覽過的超連結" xfId="804" builtinId="9" hidden="1"/>
    <cellStyle name="已瀏覽過的超連結" xfId="806" builtinId="9" hidden="1"/>
    <cellStyle name="已瀏覽過的超連結" xfId="808" builtinId="9" hidden="1"/>
    <cellStyle name="已瀏覽過的超連結" xfId="810" builtinId="9" hidden="1"/>
    <cellStyle name="已瀏覽過的超連結" xfId="812" builtinId="9" hidden="1"/>
    <cellStyle name="已瀏覽過的超連結" xfId="814" builtinId="9" hidden="1"/>
    <cellStyle name="已瀏覽過的超連結" xfId="816" builtinId="9" hidden="1"/>
    <cellStyle name="已瀏覽過的超連結" xfId="818" builtinId="9" hidden="1"/>
    <cellStyle name="已瀏覽過的超連結" xfId="820" builtinId="9" hidden="1"/>
    <cellStyle name="已瀏覽過的超連結" xfId="822" builtinId="9" hidden="1"/>
    <cellStyle name="已瀏覽過的超連結" xfId="824" builtinId="9" hidden="1"/>
    <cellStyle name="已瀏覽過的超連結" xfId="826" builtinId="9" hidden="1"/>
    <cellStyle name="已瀏覽過的超連結" xfId="828" builtinId="9" hidden="1"/>
    <cellStyle name="已瀏覽過的超連結" xfId="830" builtinId="9" hidden="1"/>
    <cellStyle name="已瀏覽過的超連結" xfId="832" builtinId="9" hidden="1"/>
    <cellStyle name="已瀏覽過的超連結" xfId="834" builtinId="9" hidden="1"/>
    <cellStyle name="已瀏覽過的超連結" xfId="836" builtinId="9" hidden="1"/>
    <cellStyle name="已瀏覽過的超連結" xfId="838" builtinId="9" hidden="1"/>
    <cellStyle name="已瀏覽過的超連結" xfId="840" builtinId="9" hidden="1"/>
    <cellStyle name="已瀏覽過的超連結" xfId="842" builtinId="9" hidden="1"/>
    <cellStyle name="已瀏覽過的超連結" xfId="844" builtinId="9" hidden="1"/>
    <cellStyle name="已瀏覽過的超連結" xfId="846" builtinId="9" hidden="1"/>
    <cellStyle name="已瀏覽過的超連結" xfId="848" builtinId="9" hidden="1"/>
    <cellStyle name="已瀏覽過的超連結" xfId="850" builtinId="9" hidden="1"/>
    <cellStyle name="已瀏覽過的超連結" xfId="852" builtinId="9" hidden="1"/>
    <cellStyle name="已瀏覽過的超連結" xfId="854" builtinId="9" hidden="1"/>
    <cellStyle name="已瀏覽過的超連結" xfId="856" builtinId="9" hidden="1"/>
    <cellStyle name="已瀏覽過的超連結" xfId="858" builtinId="9" hidden="1"/>
    <cellStyle name="已瀏覽過的超連結" xfId="860" builtinId="9" hidden="1"/>
    <cellStyle name="已瀏覽過的超連結" xfId="862" builtinId="9" hidden="1"/>
    <cellStyle name="已瀏覽過的超連結" xfId="864" builtinId="9" hidden="1"/>
    <cellStyle name="已瀏覽過的超連結" xfId="866" builtinId="9" hidden="1"/>
    <cellStyle name="已瀏覽過的超連結" xfId="868" builtinId="9" hidden="1"/>
    <cellStyle name="已瀏覽過的超連結" xfId="870" builtinId="9" hidden="1"/>
    <cellStyle name="已瀏覽過的超連結" xfId="872" builtinId="9" hidden="1"/>
    <cellStyle name="已瀏覽過的超連結" xfId="874" builtinId="9" hidden="1"/>
    <cellStyle name="已瀏覽過的超連結" xfId="876" builtinId="9" hidden="1"/>
    <cellStyle name="已瀏覽過的超連結" xfId="878" builtinId="9" hidden="1"/>
    <cellStyle name="已瀏覽過的超連結" xfId="880" builtinId="9" hidden="1"/>
    <cellStyle name="已瀏覽過的超連結" xfId="882" builtinId="9" hidden="1"/>
    <cellStyle name="已瀏覽過的超連結" xfId="884" builtinId="9" hidden="1"/>
    <cellStyle name="已瀏覽過的超連結" xfId="886" builtinId="9" hidden="1"/>
    <cellStyle name="已瀏覽過的超連結" xfId="888" builtinId="9" hidden="1"/>
    <cellStyle name="已瀏覽過的超連結" xfId="890" builtinId="9" hidden="1"/>
    <cellStyle name="已瀏覽過的超連結" xfId="892" builtinId="9" hidden="1"/>
    <cellStyle name="已瀏覽過的超連結" xfId="894" builtinId="9" hidden="1"/>
    <cellStyle name="已瀏覽過的超連結" xfId="896" builtinId="9" hidden="1"/>
    <cellStyle name="已瀏覽過的超連結" xfId="898" builtinId="9" hidden="1"/>
    <cellStyle name="已瀏覽過的超連結" xfId="900" builtinId="9" hidden="1"/>
    <cellStyle name="已瀏覽過的超連結" xfId="902" builtinId="9" hidden="1"/>
    <cellStyle name="已瀏覽過的超連結" xfId="904" builtinId="9" hidden="1"/>
    <cellStyle name="已瀏覽過的超連結" xfId="906" builtinId="9" hidden="1"/>
    <cellStyle name="已瀏覽過的超連結" xfId="908" builtinId="9" hidden="1"/>
    <cellStyle name="已瀏覽過的超連結" xfId="910" builtinId="9" hidden="1"/>
    <cellStyle name="已瀏覽過的超連結" xfId="912" builtinId="9" hidden="1"/>
    <cellStyle name="已瀏覽過的超連結" xfId="914" builtinId="9" hidden="1"/>
    <cellStyle name="已瀏覽過的超連結" xfId="916" builtinId="9" hidden="1"/>
    <cellStyle name="已瀏覽過的超連結" xfId="918" builtinId="9" hidden="1"/>
    <cellStyle name="已瀏覽過的超連結" xfId="920" builtinId="9" hidden="1"/>
    <cellStyle name="已瀏覽過的超連結" xfId="922" builtinId="9" hidden="1"/>
    <cellStyle name="已瀏覽過的超連結" xfId="924" builtinId="9" hidden="1"/>
    <cellStyle name="已瀏覽過的超連結" xfId="926" builtinId="9" hidden="1"/>
    <cellStyle name="已瀏覽過的超連結" xfId="928" builtinId="9" hidden="1"/>
    <cellStyle name="已瀏覽過的超連結" xfId="930" builtinId="9" hidden="1"/>
    <cellStyle name="已瀏覽過的超連結" xfId="932" builtinId="9" hidden="1"/>
    <cellStyle name="已瀏覽過的超連結" xfId="934" builtinId="9" hidden="1"/>
    <cellStyle name="已瀏覽過的超連結" xfId="936" builtinId="9" hidden="1"/>
    <cellStyle name="已瀏覽過的超連結" xfId="938" builtinId="9" hidden="1"/>
    <cellStyle name="已瀏覽過的超連結" xfId="940" builtinId="9" hidden="1"/>
    <cellStyle name="已瀏覽過的超連結" xfId="942" builtinId="9" hidden="1"/>
    <cellStyle name="已瀏覽過的超連結" xfId="944" builtinId="9" hidden="1"/>
    <cellStyle name="已瀏覽過的超連結" xfId="946" builtinId="9" hidden="1"/>
    <cellStyle name="已瀏覽過的超連結" xfId="948" builtinId="9" hidden="1"/>
    <cellStyle name="已瀏覽過的超連結" xfId="950" builtinId="9" hidden="1"/>
    <cellStyle name="已瀏覽過的超連結" xfId="952" builtinId="9" hidden="1"/>
    <cellStyle name="已瀏覽過的超連結" xfId="954" builtinId="9" hidden="1"/>
    <cellStyle name="已瀏覽過的超連結" xfId="956" builtinId="9" hidden="1"/>
    <cellStyle name="已瀏覽過的超連結" xfId="958" builtinId="9" hidden="1"/>
    <cellStyle name="已瀏覽過的超連結" xfId="960" builtinId="9" hidden="1"/>
    <cellStyle name="已瀏覽過的超連結" xfId="962" builtinId="9" hidden="1"/>
    <cellStyle name="已瀏覽過的超連結" xfId="964" builtinId="9" hidden="1"/>
    <cellStyle name="已瀏覽過的超連結" xfId="966" builtinId="9" hidden="1"/>
    <cellStyle name="已瀏覽過的超連結" xfId="968" builtinId="9" hidden="1"/>
    <cellStyle name="已瀏覽過的超連結" xfId="970" builtinId="9" hidden="1"/>
    <cellStyle name="已瀏覽過的超連結" xfId="972" builtinId="9" hidden="1"/>
    <cellStyle name="已瀏覽過的超連結" xfId="974" builtinId="9" hidden="1"/>
    <cellStyle name="已瀏覽過的超連結" xfId="976" builtinId="9" hidden="1"/>
    <cellStyle name="已瀏覽過的超連結" xfId="978" builtinId="9" hidden="1"/>
    <cellStyle name="已瀏覽過的超連結" xfId="980" builtinId="9" hidden="1"/>
    <cellStyle name="已瀏覽過的超連結" xfId="982" builtinId="9" hidden="1"/>
    <cellStyle name="已瀏覽過的超連結" xfId="984" builtinId="9" hidden="1"/>
    <cellStyle name="已瀏覽過的超連結" xfId="986" builtinId="9" hidden="1"/>
    <cellStyle name="已瀏覽過的超連結" xfId="988" builtinId="9" hidden="1"/>
    <cellStyle name="已瀏覽過的超連結" xfId="990" builtinId="9" hidden="1"/>
    <cellStyle name="已瀏覽過的超連結" xfId="992" builtinId="9" hidden="1"/>
    <cellStyle name="已瀏覽過的超連結" xfId="994" builtinId="9" hidden="1"/>
    <cellStyle name="已瀏覽過的超連結" xfId="996" builtinId="9" hidden="1"/>
    <cellStyle name="已瀏覽過的超連結" xfId="998" builtinId="9" hidden="1"/>
    <cellStyle name="已瀏覽過的超連結" xfId="1000" builtinId="9" hidden="1"/>
    <cellStyle name="已瀏覽過的超連結" xfId="1002" builtinId="9" hidden="1"/>
    <cellStyle name="已瀏覽過的超連結" xfId="1004" builtinId="9" hidden="1"/>
    <cellStyle name="已瀏覽過的超連結" xfId="1006" builtinId="9" hidden="1"/>
    <cellStyle name="已瀏覽過的超連結" xfId="1008" builtinId="9" hidden="1"/>
    <cellStyle name="已瀏覽過的超連結" xfId="1010" builtinId="9" hidden="1"/>
    <cellStyle name="已瀏覽過的超連結" xfId="1012" builtinId="9" hidden="1"/>
    <cellStyle name="已瀏覽過的超連結" xfId="1014" builtinId="9" hidden="1"/>
    <cellStyle name="已瀏覽過的超連結" xfId="1016" builtinId="9" hidden="1"/>
    <cellStyle name="已瀏覽過的超連結" xfId="1018" builtinId="9" hidden="1"/>
    <cellStyle name="已瀏覽過的超連結" xfId="1020" builtinId="9" hidden="1"/>
    <cellStyle name="已瀏覽過的超連結" xfId="1022" builtinId="9" hidden="1"/>
    <cellStyle name="已瀏覽過的超連結" xfId="1024" builtinId="9" hidden="1"/>
    <cellStyle name="已瀏覽過的超連結" xfId="1026" builtinId="9" hidden="1"/>
    <cellStyle name="已瀏覽過的超連結" xfId="1028" builtinId="9" hidden="1"/>
    <cellStyle name="已瀏覽過的超連結" xfId="1030" builtinId="9" hidden="1"/>
    <cellStyle name="已瀏覽過的超連結" xfId="1032" builtinId="9" hidden="1"/>
    <cellStyle name="已瀏覽過的超連結" xfId="1034" builtinId="9" hidden="1"/>
    <cellStyle name="已瀏覽過的超連結" xfId="1036" builtinId="9" hidden="1"/>
    <cellStyle name="已瀏覽過的超連結" xfId="1038" builtinId="9" hidden="1"/>
    <cellStyle name="已瀏覽過的超連結" xfId="1040" builtinId="9" hidden="1"/>
    <cellStyle name="已瀏覽過的超連結" xfId="1042" builtinId="9" hidden="1"/>
    <cellStyle name="已瀏覽過的超連結" xfId="1044" builtinId="9" hidden="1"/>
    <cellStyle name="已瀏覽過的超連結" xfId="1046" builtinId="9" hidden="1"/>
    <cellStyle name="已瀏覽過的超連結" xfId="1048" builtinId="9" hidden="1"/>
    <cellStyle name="已瀏覽過的超連結" xfId="1050" builtinId="9" hidden="1"/>
    <cellStyle name="已瀏覽過的超連結" xfId="1052" builtinId="9" hidden="1"/>
    <cellStyle name="已瀏覽過的超連結" xfId="1054" builtinId="9" hidden="1"/>
    <cellStyle name="已瀏覽過的超連結" xfId="1056" builtinId="9" hidden="1"/>
    <cellStyle name="已瀏覽過的超連結" xfId="1058" builtinId="9" hidden="1"/>
    <cellStyle name="已瀏覽過的超連結" xfId="1060" builtinId="9" hidden="1"/>
    <cellStyle name="已瀏覽過的超連結" xfId="1062" builtinId="9" hidden="1"/>
    <cellStyle name="已瀏覽過的超連結" xfId="1064" builtinId="9" hidden="1"/>
    <cellStyle name="已瀏覽過的超連結" xfId="1066" builtinId="9" hidden="1"/>
    <cellStyle name="已瀏覽過的超連結" xfId="1068" builtinId="9" hidden="1"/>
    <cellStyle name="已瀏覽過的超連結" xfId="1070" builtinId="9" hidden="1"/>
    <cellStyle name="已瀏覽過的超連結" xfId="1072" builtinId="9" hidden="1"/>
    <cellStyle name="已瀏覽過的超連結" xfId="1074" builtinId="9" hidden="1"/>
    <cellStyle name="已瀏覽過的超連結" xfId="1076" builtinId="9" hidden="1"/>
    <cellStyle name="已瀏覽過的超連結" xfId="1078" builtinId="9" hidden="1"/>
    <cellStyle name="已瀏覽過的超連結" xfId="1080" builtinId="9" hidden="1"/>
    <cellStyle name="已瀏覽過的超連結" xfId="1082" builtinId="9" hidden="1"/>
    <cellStyle name="已瀏覽過的超連結" xfId="1084" builtinId="9" hidden="1"/>
    <cellStyle name="已瀏覽過的超連結" xfId="1086" builtinId="9" hidden="1"/>
    <cellStyle name="已瀏覽過的超連結" xfId="1088" builtinId="9" hidden="1"/>
    <cellStyle name="已瀏覽過的超連結" xfId="1090" builtinId="9" hidden="1"/>
    <cellStyle name="已瀏覽過的超連結" xfId="1092" builtinId="9" hidden="1"/>
    <cellStyle name="已瀏覽過的超連結" xfId="1094" builtinId="9" hidden="1"/>
    <cellStyle name="已瀏覽過的超連結" xfId="1096" builtinId="9" hidden="1"/>
    <cellStyle name="已瀏覽過的超連結" xfId="1098" builtinId="9" hidden="1"/>
    <cellStyle name="已瀏覽過的超連結" xfId="1100" builtinId="9" hidden="1"/>
    <cellStyle name="已瀏覽過的超連結" xfId="1102" builtinId="9" hidden="1"/>
    <cellStyle name="已瀏覽過的超連結" xfId="1104" builtinId="9" hidden="1"/>
    <cellStyle name="已瀏覽過的超連結" xfId="1106" builtinId="9" hidden="1"/>
    <cellStyle name="已瀏覽過的超連結" xfId="1108" builtinId="9" hidden="1"/>
    <cellStyle name="已瀏覽過的超連結" xfId="1110" builtinId="9" hidden="1"/>
    <cellStyle name="已瀏覽過的超連結" xfId="1112" builtinId="9" hidden="1"/>
    <cellStyle name="已瀏覽過的超連結" xfId="1114" builtinId="9" hidden="1"/>
    <cellStyle name="已瀏覽過的超連結" xfId="1116" builtinId="9" hidden="1"/>
    <cellStyle name="已瀏覽過的超連結" xfId="1118" builtinId="9" hidden="1"/>
    <cellStyle name="已瀏覽過的超連結" xfId="1120" builtinId="9" hidden="1"/>
    <cellStyle name="已瀏覽過的超連結" xfId="1122" builtinId="9" hidden="1"/>
    <cellStyle name="已瀏覽過的超連結" xfId="1124" builtinId="9" hidden="1"/>
    <cellStyle name="已瀏覽過的超連結" xfId="1126" builtinId="9" hidden="1"/>
    <cellStyle name="已瀏覽過的超連結" xfId="1128" builtinId="9" hidden="1"/>
    <cellStyle name="已瀏覽過的超連結" xfId="1130" builtinId="9" hidden="1"/>
    <cellStyle name="已瀏覽過的超連結" xfId="1132" builtinId="9" hidden="1"/>
    <cellStyle name="已瀏覽過的超連結" xfId="1134" builtinId="9" hidden="1"/>
    <cellStyle name="已瀏覽過的超連結" xfId="1136" builtinId="9" hidden="1"/>
    <cellStyle name="已瀏覽過的超連結" xfId="1138" builtinId="9" hidden="1"/>
    <cellStyle name="已瀏覽過的超連結" xfId="1140" builtinId="9" hidden="1"/>
    <cellStyle name="已瀏覽過的超連結" xfId="1142" builtinId="9" hidden="1"/>
    <cellStyle name="已瀏覽過的超連結" xfId="1144" builtinId="9" hidden="1"/>
    <cellStyle name="已瀏覽過的超連結" xfId="1146" builtinId="9" hidden="1"/>
    <cellStyle name="已瀏覽過的超連結" xfId="1148" builtinId="9" hidden="1"/>
    <cellStyle name="已瀏覽過的超連結" xfId="1150" builtinId="9" hidden="1"/>
    <cellStyle name="已瀏覽過的超連結" xfId="1152" builtinId="9" hidden="1"/>
    <cellStyle name="已瀏覽過的超連結" xfId="1154" builtinId="9" hidden="1"/>
    <cellStyle name="已瀏覽過的超連結" xfId="1156" builtinId="9" hidden="1"/>
    <cellStyle name="已瀏覽過的超連結" xfId="1158" builtinId="9" hidden="1"/>
    <cellStyle name="已瀏覽過的超連結" xfId="1160" builtinId="9" hidden="1"/>
    <cellStyle name="已瀏覽過的超連結" xfId="1162" builtinId="9" hidden="1"/>
    <cellStyle name="已瀏覽過的超連結" xfId="1164" builtinId="9" hidden="1"/>
    <cellStyle name="已瀏覽過的超連結" xfId="1166" builtinId="9" hidden="1"/>
    <cellStyle name="已瀏覽過的超連結" xfId="1168" builtinId="9" hidden="1"/>
    <cellStyle name="已瀏覽過的超連結" xfId="1170" builtinId="9" hidden="1"/>
    <cellStyle name="已瀏覽過的超連結" xfId="1172" builtinId="9" hidden="1"/>
    <cellStyle name="已瀏覽過的超連結" xfId="1174" builtinId="9" hidden="1"/>
    <cellStyle name="已瀏覽過的超連結" xfId="1176" builtinId="9" hidden="1"/>
    <cellStyle name="已瀏覽過的超連結" xfId="1178" builtinId="9" hidden="1"/>
    <cellStyle name="已瀏覽過的超連結" xfId="1180" builtinId="9" hidden="1"/>
    <cellStyle name="已瀏覽過的超連結" xfId="1182" builtinId="9" hidden="1"/>
    <cellStyle name="已瀏覽過的超連結" xfId="1184" builtinId="9" hidden="1"/>
    <cellStyle name="已瀏覽過的超連結" xfId="1186" builtinId="9" hidden="1"/>
    <cellStyle name="已瀏覽過的超連結" xfId="1188" builtinId="9" hidden="1"/>
    <cellStyle name="已瀏覽過的超連結" xfId="1190" builtinId="9" hidden="1"/>
    <cellStyle name="已瀏覽過的超連結" xfId="1192" builtinId="9" hidden="1"/>
    <cellStyle name="已瀏覽過的超連結" xfId="1194" builtinId="9" hidden="1"/>
    <cellStyle name="已瀏覽過的超連結" xfId="1196" builtinId="9" hidden="1"/>
    <cellStyle name="已瀏覽過的超連結" xfId="1198" builtinId="9" hidden="1"/>
    <cellStyle name="已瀏覽過的超連結" xfId="1200" builtinId="9" hidden="1"/>
    <cellStyle name="已瀏覽過的超連結" xfId="1202" builtinId="9" hidden="1"/>
    <cellStyle name="已瀏覽過的超連結" xfId="1204" builtinId="9" hidden="1"/>
    <cellStyle name="已瀏覽過的超連結" xfId="1206" builtinId="9" hidden="1"/>
    <cellStyle name="已瀏覽過的超連結" xfId="1208" builtinId="9" hidden="1"/>
    <cellStyle name="已瀏覽過的超連結" xfId="1210" builtinId="9" hidden="1"/>
    <cellStyle name="已瀏覽過的超連結" xfId="1212" builtinId="9" hidden="1"/>
    <cellStyle name="已瀏覽過的超連結" xfId="1214" builtinId="9" hidden="1"/>
    <cellStyle name="已瀏覽過的超連結" xfId="1216" builtinId="9" hidden="1"/>
    <cellStyle name="已瀏覽過的超連結" xfId="1218" builtinId="9" hidden="1"/>
    <cellStyle name="已瀏覽過的超連結" xfId="1220" builtinId="9" hidden="1"/>
    <cellStyle name="已瀏覽過的超連結" xfId="1222" builtinId="9" hidden="1"/>
    <cellStyle name="已瀏覽過的超連結" xfId="1224" builtinId="9" hidden="1"/>
    <cellStyle name="已瀏覽過的超連結" xfId="1226" builtinId="9" hidden="1"/>
    <cellStyle name="已瀏覽過的超連結" xfId="1228" builtinId="9" hidden="1"/>
    <cellStyle name="已瀏覽過的超連結" xfId="1230" builtinId="9" hidden="1"/>
    <cellStyle name="已瀏覽過的超連結" xfId="1232" builtinId="9" hidden="1"/>
    <cellStyle name="已瀏覽過的超連結" xfId="1234" builtinId="9" hidden="1"/>
    <cellStyle name="已瀏覽過的超連結" xfId="1236" builtinId="9" hidden="1"/>
    <cellStyle name="已瀏覽過的超連結" xfId="1238" builtinId="9" hidden="1"/>
    <cellStyle name="已瀏覽過的超連結" xfId="1240" builtinId="9" hidden="1"/>
    <cellStyle name="已瀏覽過的超連結" xfId="1242" builtinId="9" hidden="1"/>
    <cellStyle name="已瀏覽過的超連結" xfId="1244" builtinId="9" hidden="1"/>
    <cellStyle name="已瀏覽過的超連結" xfId="1246" builtinId="9" hidden="1"/>
    <cellStyle name="已瀏覽過的超連結" xfId="1248" builtinId="9" hidden="1"/>
    <cellStyle name="已瀏覽過的超連結" xfId="1250" builtinId="9" hidden="1"/>
    <cellStyle name="已瀏覽過的超連結" xfId="1252" builtinId="9" hidden="1"/>
    <cellStyle name="已瀏覽過的超連結" xfId="1254" builtinId="9" hidden="1"/>
    <cellStyle name="已瀏覽過的超連結" xfId="1256" builtinId="9" hidden="1"/>
    <cellStyle name="已瀏覽過的超連結" xfId="1258" builtinId="9" hidden="1"/>
    <cellStyle name="已瀏覽過的超連結" xfId="1260" builtinId="9" hidden="1"/>
    <cellStyle name="已瀏覽過的超連結" xfId="1262" builtinId="9" hidden="1"/>
    <cellStyle name="已瀏覽過的超連結" xfId="1264" builtinId="9" hidden="1"/>
    <cellStyle name="已瀏覽過的超連結" xfId="1266" builtinId="9" hidden="1"/>
    <cellStyle name="已瀏覽過的超連結" xfId="1268" builtinId="9" hidden="1"/>
    <cellStyle name="已瀏覽過的超連結" xfId="1270" builtinId="9" hidden="1"/>
    <cellStyle name="已瀏覽過的超連結" xfId="1272" builtinId="9" hidden="1"/>
    <cellStyle name="已瀏覽過的超連結" xfId="1274" builtinId="9" hidden="1"/>
    <cellStyle name="已瀏覽過的超連結" xfId="1276" builtinId="9" hidden="1"/>
    <cellStyle name="已瀏覽過的超連結" xfId="1278" builtinId="9" hidden="1"/>
    <cellStyle name="已瀏覽過的超連結" xfId="1280" builtinId="9" hidden="1"/>
    <cellStyle name="已瀏覽過的超連結" xfId="1282" builtinId="9" hidden="1"/>
    <cellStyle name="已瀏覽過的超連結" xfId="1284" builtinId="9" hidden="1"/>
    <cellStyle name="已瀏覽過的超連結" xfId="1286" builtinId="9" hidden="1"/>
    <cellStyle name="已瀏覽過的超連結" xfId="1288" builtinId="9" hidden="1"/>
    <cellStyle name="已瀏覽過的超連結" xfId="1290" builtinId="9" hidden="1"/>
    <cellStyle name="已瀏覽過的超連結" xfId="1292" builtinId="9" hidden="1"/>
    <cellStyle name="已瀏覽過的超連結" xfId="1294" builtinId="9" hidden="1"/>
    <cellStyle name="已瀏覽過的超連結" xfId="1296" builtinId="9" hidden="1"/>
    <cellStyle name="已瀏覽過的超連結" xfId="1298" builtinId="9" hidden="1"/>
    <cellStyle name="已瀏覽過的超連結" xfId="1300" builtinId="9" hidden="1"/>
    <cellStyle name="已瀏覽過的超連結" xfId="1302" builtinId="9" hidden="1"/>
    <cellStyle name="已瀏覽過的超連結" xfId="1304" builtinId="9" hidden="1"/>
    <cellStyle name="已瀏覽過的超連結" xfId="1306" builtinId="9" hidden="1"/>
    <cellStyle name="已瀏覽過的超連結" xfId="1308" builtinId="9" hidden="1"/>
    <cellStyle name="已瀏覽過的超連結" xfId="1310" builtinId="9" hidden="1"/>
    <cellStyle name="已瀏覽過的超連結" xfId="1312" builtinId="9" hidden="1"/>
    <cellStyle name="已瀏覽過的超連結" xfId="1314" builtinId="9" hidden="1"/>
    <cellStyle name="已瀏覽過的超連結" xfId="1316" builtinId="9" hidden="1"/>
    <cellStyle name="已瀏覽過的超連結" xfId="1318" builtinId="9" hidden="1"/>
    <cellStyle name="已瀏覽過的超連結" xfId="1320" builtinId="9" hidden="1"/>
    <cellStyle name="已瀏覽過的超連結" xfId="1322" builtinId="9" hidden="1"/>
    <cellStyle name="已瀏覽過的超連結" xfId="1324" builtinId="9" hidden="1"/>
    <cellStyle name="已瀏覽過的超連結" xfId="1326" builtinId="9" hidden="1"/>
    <cellStyle name="已瀏覽過的超連結" xfId="1328" builtinId="9" hidden="1"/>
    <cellStyle name="已瀏覽過的超連結" xfId="1330" builtinId="9" hidden="1"/>
    <cellStyle name="已瀏覽過的超連結" xfId="1332" builtinId="9" hidden="1"/>
    <cellStyle name="已瀏覽過的超連結" xfId="1334" builtinId="9" hidden="1"/>
    <cellStyle name="已瀏覽過的超連結" xfId="1336" builtinId="9" hidden="1"/>
    <cellStyle name="已瀏覽過的超連結" xfId="1338" builtinId="9" hidden="1"/>
    <cellStyle name="已瀏覽過的超連結" xfId="1340" builtinId="9" hidden="1"/>
    <cellStyle name="已瀏覽過的超連結" xfId="1342" builtinId="9" hidden="1"/>
    <cellStyle name="已瀏覽過的超連結" xfId="1344" builtinId="9" hidden="1"/>
    <cellStyle name="已瀏覽過的超連結" xfId="1346" builtinId="9" hidden="1"/>
    <cellStyle name="已瀏覽過的超連結" xfId="1348" builtinId="9" hidden="1"/>
    <cellStyle name="已瀏覽過的超連結" xfId="1350" builtinId="9" hidden="1"/>
    <cellStyle name="已瀏覽過的超連結" xfId="1352" builtinId="9" hidden="1"/>
    <cellStyle name="已瀏覽過的超連結" xfId="1354" builtinId="9" hidden="1"/>
    <cellStyle name="已瀏覽過的超連結" xfId="1356" builtinId="9" hidden="1"/>
    <cellStyle name="已瀏覽過的超連結" xfId="1358" builtinId="9" hidden="1"/>
    <cellStyle name="已瀏覽過的超連結" xfId="1360" builtinId="9" hidden="1"/>
    <cellStyle name="已瀏覽過的超連結" xfId="1362" builtinId="9" hidden="1"/>
    <cellStyle name="已瀏覽過的超連結" xfId="1364" builtinId="9" hidden="1"/>
    <cellStyle name="已瀏覽過的超連結" xfId="1366" builtinId="9" hidden="1"/>
    <cellStyle name="已瀏覽過的超連結" xfId="1368" builtinId="9" hidden="1"/>
    <cellStyle name="已瀏覽過的超連結" xfId="1370" builtinId="9" hidden="1"/>
    <cellStyle name="已瀏覽過的超連結" xfId="1372" builtinId="9" hidden="1"/>
    <cellStyle name="已瀏覽過的超連結" xfId="1374" builtinId="9" hidden="1"/>
    <cellStyle name="已瀏覽過的超連結" xfId="1376" builtinId="9" hidden="1"/>
    <cellStyle name="已瀏覽過的超連結" xfId="1378" builtinId="9" hidden="1"/>
    <cellStyle name="已瀏覽過的超連結" xfId="1380" builtinId="9" hidden="1"/>
    <cellStyle name="已瀏覽過的超連結" xfId="1382" builtinId="9" hidden="1"/>
    <cellStyle name="已瀏覽過的超連結" xfId="1384" builtinId="9" hidden="1"/>
    <cellStyle name="已瀏覽過的超連結" xfId="1386" builtinId="9" hidden="1"/>
    <cellStyle name="已瀏覽過的超連結" xfId="1388" builtinId="9" hidden="1"/>
    <cellStyle name="已瀏覽過的超連結" xfId="1390" builtinId="9" hidden="1"/>
    <cellStyle name="已瀏覽過的超連結" xfId="1392" builtinId="9" hidden="1"/>
    <cellStyle name="已瀏覽過的超連結" xfId="1394" builtinId="9" hidden="1"/>
    <cellStyle name="已瀏覽過的超連結" xfId="1396" builtinId="9" hidden="1"/>
    <cellStyle name="已瀏覽過的超連結" xfId="1398" builtinId="9" hidden="1"/>
    <cellStyle name="已瀏覽過的超連結" xfId="1400" builtinId="9" hidden="1"/>
    <cellStyle name="已瀏覽過的超連結" xfId="1402" builtinId="9" hidden="1"/>
    <cellStyle name="已瀏覽過的超連結" xfId="1404" builtinId="9" hidden="1"/>
    <cellStyle name="已瀏覽過的超連結" xfId="1406" builtinId="9" hidden="1"/>
    <cellStyle name="已瀏覽過的超連結" xfId="1408" builtinId="9" hidden="1"/>
    <cellStyle name="已瀏覽過的超連結" xfId="1410" builtinId="9" hidden="1"/>
    <cellStyle name="已瀏覽過的超連結" xfId="1412" builtinId="9" hidden="1"/>
    <cellStyle name="已瀏覽過的超連結" xfId="1414" builtinId="9" hidden="1"/>
    <cellStyle name="已瀏覽過的超連結" xfId="1416" builtinId="9" hidden="1"/>
    <cellStyle name="已瀏覽過的超連結" xfId="1418" builtinId="9" hidden="1"/>
    <cellStyle name="已瀏覽過的超連結" xfId="1420" builtinId="9" hidden="1"/>
    <cellStyle name="已瀏覽過的超連結" xfId="1422" builtinId="9" hidden="1"/>
    <cellStyle name="已瀏覽過的超連結" xfId="1424" builtinId="9" hidden="1"/>
    <cellStyle name="已瀏覽過的超連結" xfId="1426" builtinId="9" hidden="1"/>
    <cellStyle name="已瀏覽過的超連結" xfId="1428" builtinId="9" hidden="1"/>
    <cellStyle name="已瀏覽過的超連結" xfId="1430" builtinId="9" hidden="1"/>
    <cellStyle name="已瀏覽過的超連結" xfId="1432" builtinId="9" hidden="1"/>
    <cellStyle name="已瀏覽過的超連結" xfId="1434" builtinId="9" hidden="1"/>
    <cellStyle name="已瀏覽過的超連結" xfId="1436" builtinId="9" hidden="1"/>
    <cellStyle name="已瀏覽過的超連結" xfId="1438" builtinId="9" hidden="1"/>
    <cellStyle name="已瀏覽過的超連結" xfId="1440" builtinId="9" hidden="1"/>
    <cellStyle name="已瀏覽過的超連結" xfId="1442" builtinId="9" hidden="1"/>
    <cellStyle name="已瀏覽過的超連結" xfId="1444" builtinId="9" hidden="1"/>
    <cellStyle name="已瀏覽過的超連結" xfId="1446" builtinId="9" hidden="1"/>
    <cellStyle name="已瀏覽過的超連結" xfId="1448" builtinId="9" hidden="1"/>
    <cellStyle name="已瀏覽過的超連結" xfId="1450" builtinId="9" hidden="1"/>
    <cellStyle name="已瀏覽過的超連結" xfId="1452" builtinId="9" hidden="1"/>
    <cellStyle name="已瀏覽過的超連結" xfId="1454" builtinId="9" hidden="1"/>
    <cellStyle name="已瀏覽過的超連結" xfId="1456" builtinId="9" hidden="1"/>
    <cellStyle name="已瀏覽過的超連結" xfId="1458" builtinId="9" hidden="1"/>
    <cellStyle name="已瀏覽過的超連結" xfId="1460" builtinId="9" hidden="1"/>
    <cellStyle name="已瀏覽過的超連結" xfId="1462" builtinId="9" hidden="1"/>
    <cellStyle name="已瀏覽過的超連結" xfId="1464" builtinId="9" hidden="1"/>
    <cellStyle name="已瀏覽過的超連結" xfId="1466" builtinId="9" hidden="1"/>
    <cellStyle name="已瀏覽過的超連結" xfId="1468" builtinId="9" hidden="1"/>
    <cellStyle name="已瀏覽過的超連結" xfId="1470" builtinId="9" hidden="1"/>
    <cellStyle name="已瀏覽過的超連結" xfId="1472" builtinId="9" hidden="1"/>
    <cellStyle name="已瀏覽過的超連結" xfId="1474" builtinId="9" hidden="1"/>
    <cellStyle name="已瀏覽過的超連結" xfId="1476" builtinId="9" hidden="1"/>
    <cellStyle name="已瀏覽過的超連結" xfId="1478" builtinId="9" hidden="1"/>
    <cellStyle name="已瀏覽過的超連結" xfId="1480" builtinId="9" hidden="1"/>
    <cellStyle name="已瀏覽過的超連結" xfId="1482" builtinId="9" hidden="1"/>
    <cellStyle name="已瀏覽過的超連結" xfId="1484" builtinId="9" hidden="1"/>
    <cellStyle name="已瀏覽過的超連結" xfId="1486" builtinId="9" hidden="1"/>
    <cellStyle name="已瀏覽過的超連結" xfId="1488" builtinId="9" hidden="1"/>
    <cellStyle name="已瀏覽過的超連結" xfId="1490" builtinId="9" hidden="1"/>
    <cellStyle name="已瀏覽過的超連結" xfId="1492" builtinId="9" hidden="1"/>
    <cellStyle name="已瀏覽過的超連結" xfId="1494" builtinId="9" hidden="1"/>
    <cellStyle name="已瀏覽過的超連結" xfId="1496" builtinId="9" hidden="1"/>
    <cellStyle name="已瀏覽過的超連結" xfId="1498" builtinId="9" hidden="1"/>
    <cellStyle name="已瀏覽過的超連結" xfId="1500" builtinId="9" hidden="1"/>
    <cellStyle name="已瀏覽過的超連結" xfId="1502" builtinId="9" hidden="1"/>
    <cellStyle name="已瀏覽過的超連結" xfId="1504" builtinId="9" hidden="1"/>
    <cellStyle name="已瀏覽過的超連結" xfId="1506" builtinId="9" hidden="1"/>
    <cellStyle name="已瀏覽過的超連結" xfId="1508" builtinId="9" hidden="1"/>
    <cellStyle name="已瀏覽過的超連結" xfId="1510" builtinId="9" hidden="1"/>
    <cellStyle name="已瀏覽過的超連結" xfId="1512" builtinId="9" hidden="1"/>
    <cellStyle name="已瀏覽過的超連結" xfId="1514" builtinId="9" hidden="1"/>
    <cellStyle name="已瀏覽過的超連結" xfId="1516" builtinId="9" hidden="1"/>
    <cellStyle name="已瀏覽過的超連結" xfId="1518" builtinId="9" hidden="1"/>
    <cellStyle name="已瀏覽過的超連結" xfId="1520" builtinId="9" hidden="1"/>
    <cellStyle name="已瀏覽過的超連結" xfId="1522" builtinId="9" hidden="1"/>
    <cellStyle name="已瀏覽過的超連結" xfId="1524" builtinId="9" hidden="1"/>
    <cellStyle name="已瀏覽過的超連結" xfId="1526" builtinId="9" hidden="1"/>
    <cellStyle name="已瀏覽過的超連結" xfId="1528" builtinId="9" hidden="1"/>
    <cellStyle name="已瀏覽過的超連結" xfId="1530" builtinId="9" hidden="1"/>
    <cellStyle name="已瀏覽過的超連結" xfId="1532" builtinId="9" hidden="1"/>
    <cellStyle name="已瀏覽過的超連結" xfId="1534" builtinId="9" hidden="1"/>
    <cellStyle name="已瀏覽過的超連結" xfId="1536" builtinId="9" hidden="1"/>
    <cellStyle name="已瀏覽過的超連結" xfId="1538" builtinId="9" hidden="1"/>
    <cellStyle name="已瀏覽過的超連結" xfId="1540" builtinId="9" hidden="1"/>
    <cellStyle name="已瀏覽過的超連結" xfId="1542" builtinId="9" hidden="1"/>
    <cellStyle name="已瀏覽過的超連結" xfId="1544" builtinId="9" hidden="1"/>
    <cellStyle name="已瀏覽過的超連結" xfId="1546" builtinId="9" hidden="1"/>
    <cellStyle name="已瀏覽過的超連結" xfId="1548" builtinId="9" hidden="1"/>
    <cellStyle name="已瀏覽過的超連結" xfId="1550" builtinId="9" hidden="1"/>
    <cellStyle name="已瀏覽過的超連結" xfId="1552" builtinId="9" hidden="1"/>
    <cellStyle name="已瀏覽過的超連結" xfId="1554" builtinId="9" hidden="1"/>
    <cellStyle name="已瀏覽過的超連結" xfId="1556" builtinId="9" hidden="1"/>
    <cellStyle name="已瀏覽過的超連結" xfId="1558" builtinId="9" hidden="1"/>
    <cellStyle name="已瀏覽過的超連結" xfId="1560" builtinId="9" hidden="1"/>
    <cellStyle name="已瀏覽過的超連結" xfId="1562" builtinId="9" hidden="1"/>
    <cellStyle name="已瀏覽過的超連結" xfId="1564" builtinId="9" hidden="1"/>
    <cellStyle name="已瀏覽過的超連結" xfId="1566" builtinId="9" hidden="1"/>
    <cellStyle name="已瀏覽過的超連結" xfId="1568" builtinId="9" hidden="1"/>
    <cellStyle name="已瀏覽過的超連結" xfId="1570" builtinId="9" hidden="1"/>
    <cellStyle name="已瀏覽過的超連結" xfId="1572" builtinId="9" hidden="1"/>
    <cellStyle name="已瀏覽過的超連結" xfId="1574" builtinId="9" hidden="1"/>
    <cellStyle name="已瀏覽過的超連結" xfId="1576" builtinId="9" hidden="1"/>
    <cellStyle name="已瀏覽過的超連結" xfId="1578" builtinId="9" hidden="1"/>
    <cellStyle name="已瀏覽過的超連結" xfId="1580" builtinId="9" hidden="1"/>
    <cellStyle name="已瀏覽過的超連結" xfId="1582" builtinId="9" hidden="1"/>
    <cellStyle name="已瀏覽過的超連結" xfId="1584" builtinId="9" hidden="1"/>
    <cellStyle name="已瀏覽過的超連結" xfId="1586" builtinId="9" hidden="1"/>
    <cellStyle name="已瀏覽過的超連結" xfId="1588" builtinId="9" hidden="1"/>
    <cellStyle name="已瀏覽過的超連結" xfId="1590" builtinId="9" hidden="1"/>
    <cellStyle name="已瀏覽過的超連結" xfId="1592" builtinId="9" hidden="1"/>
    <cellStyle name="已瀏覽過的超連結" xfId="1594" builtinId="9" hidden="1"/>
    <cellStyle name="已瀏覽過的超連結" xfId="1596" builtinId="9" hidden="1"/>
    <cellStyle name="已瀏覽過的超連結" xfId="1598" builtinId="9" hidden="1"/>
    <cellStyle name="已瀏覽過的超連結" xfId="1600" builtinId="9" hidden="1"/>
    <cellStyle name="已瀏覽過的超連結" xfId="1602" builtinId="9" hidden="1"/>
    <cellStyle name="已瀏覽過的超連結" xfId="1604" builtinId="9" hidden="1"/>
    <cellStyle name="已瀏覽過的超連結" xfId="1606" builtinId="9" hidden="1"/>
    <cellStyle name="已瀏覽過的超連結" xfId="1608" builtinId="9" hidden="1"/>
    <cellStyle name="已瀏覽過的超連結" xfId="1610" builtinId="9" hidden="1"/>
    <cellStyle name="已瀏覽過的超連結" xfId="1612" builtinId="9" hidden="1"/>
    <cellStyle name="已瀏覽過的超連結" xfId="1614" builtinId="9" hidden="1"/>
    <cellStyle name="已瀏覽過的超連結" xfId="1616" builtinId="9" hidden="1"/>
    <cellStyle name="已瀏覽過的超連結" xfId="1618" builtinId="9" hidden="1"/>
    <cellStyle name="已瀏覽過的超連結" xfId="1620" builtinId="9" hidden="1"/>
    <cellStyle name="已瀏覽過的超連結" xfId="1622" builtinId="9" hidden="1"/>
    <cellStyle name="已瀏覽過的超連結" xfId="1624" builtinId="9" hidden="1"/>
    <cellStyle name="已瀏覽過的超連結" xfId="1626" builtinId="9" hidden="1"/>
    <cellStyle name="已瀏覽過的超連結" xfId="1628" builtinId="9" hidden="1"/>
    <cellStyle name="已瀏覽過的超連結" xfId="1630" builtinId="9" hidden="1"/>
    <cellStyle name="已瀏覽過的超連結" xfId="1632" builtinId="9" hidden="1"/>
    <cellStyle name="已瀏覽過的超連結" xfId="1634" builtinId="9" hidden="1"/>
    <cellStyle name="已瀏覽過的超連結" xfId="1636" builtinId="9" hidden="1"/>
    <cellStyle name="已瀏覽過的超連結" xfId="1638" builtinId="9" hidden="1"/>
    <cellStyle name="已瀏覽過的超連結" xfId="1640" builtinId="9" hidden="1"/>
    <cellStyle name="已瀏覽過的超連結" xfId="1642" builtinId="9" hidden="1"/>
    <cellStyle name="已瀏覽過的超連結" xfId="1644" builtinId="9" hidden="1"/>
    <cellStyle name="已瀏覽過的超連結" xfId="1646" builtinId="9" hidden="1"/>
    <cellStyle name="已瀏覽過的超連結" xfId="1648" builtinId="9" hidden="1"/>
    <cellStyle name="已瀏覽過的超連結" xfId="1650" builtinId="9" hidden="1"/>
    <cellStyle name="已瀏覽過的超連結" xfId="1652" builtinId="9" hidden="1"/>
    <cellStyle name="已瀏覽過的超連結" xfId="1654" builtinId="9" hidden="1"/>
    <cellStyle name="已瀏覽過的超連結" xfId="1656" builtinId="9" hidden="1"/>
    <cellStyle name="已瀏覽過的超連結" xfId="1658" builtinId="9" hidden="1"/>
    <cellStyle name="已瀏覽過的超連結" xfId="1660" builtinId="9" hidden="1"/>
    <cellStyle name="已瀏覽過的超連結" xfId="1662" builtinId="9" hidden="1"/>
    <cellStyle name="已瀏覽過的超連結" xfId="1664" builtinId="9" hidden="1"/>
    <cellStyle name="已瀏覽過的超連結" xfId="1666" builtinId="9" hidden="1"/>
    <cellStyle name="已瀏覽過的超連結" xfId="1668" builtinId="9" hidden="1"/>
    <cellStyle name="已瀏覽過的超連結" xfId="1670" builtinId="9" hidden="1"/>
    <cellStyle name="已瀏覽過的超連結" xfId="1672" builtinId="9" hidden="1"/>
    <cellStyle name="已瀏覽過的超連結" xfId="1674" builtinId="9" hidden="1"/>
    <cellStyle name="已瀏覽過的超連結" xfId="1676" builtinId="9" hidden="1"/>
    <cellStyle name="已瀏覽過的超連結" xfId="1678" builtinId="9" hidden="1"/>
    <cellStyle name="已瀏覽過的超連結" xfId="1680" builtinId="9" hidden="1"/>
    <cellStyle name="已瀏覽過的超連結" xfId="1682" builtinId="9" hidden="1"/>
    <cellStyle name="已瀏覽過的超連結" xfId="1684" builtinId="9" hidden="1"/>
    <cellStyle name="已瀏覽過的超連結" xfId="1686" builtinId="9" hidden="1"/>
    <cellStyle name="已瀏覽過的超連結" xfId="1688" builtinId="9" hidden="1"/>
    <cellStyle name="已瀏覽過的超連結" xfId="1690" builtinId="9" hidden="1"/>
    <cellStyle name="已瀏覽過的超連結" xfId="1692" builtinId="9" hidden="1"/>
    <cellStyle name="已瀏覽過的超連結" xfId="1694" builtinId="9" hidden="1"/>
    <cellStyle name="已瀏覽過的超連結" xfId="1696" builtinId="9" hidden="1"/>
    <cellStyle name="已瀏覽過的超連結" xfId="1698" builtinId="9" hidden="1"/>
    <cellStyle name="已瀏覽過的超連結" xfId="1700" builtinId="9" hidden="1"/>
    <cellStyle name="已瀏覽過的超連結" xfId="1702" builtinId="9" hidden="1"/>
    <cellStyle name="已瀏覽過的超連結" xfId="1704" builtinId="9" hidden="1"/>
    <cellStyle name="已瀏覽過的超連結" xfId="1706" builtinId="9" hidden="1"/>
    <cellStyle name="已瀏覽過的超連結" xfId="1708" builtinId="9" hidden="1"/>
    <cellStyle name="已瀏覽過的超連結" xfId="1710" builtinId="9" hidden="1"/>
    <cellStyle name="已瀏覽過的超連結" xfId="1712" builtinId="9" hidden="1"/>
    <cellStyle name="已瀏覽過的超連結" xfId="1714" builtinId="9" hidden="1"/>
    <cellStyle name="已瀏覽過的超連結" xfId="1716" builtinId="9" hidden="1"/>
    <cellStyle name="已瀏覽過的超連結" xfId="1718" builtinId="9" hidden="1"/>
    <cellStyle name="已瀏覽過的超連結" xfId="1720" builtinId="9" hidden="1"/>
    <cellStyle name="已瀏覽過的超連結" xfId="1722" builtinId="9" hidden="1"/>
    <cellStyle name="已瀏覽過的超連結" xfId="1724" builtinId="9" hidden="1"/>
    <cellStyle name="已瀏覽過的超連結" xfId="1726" builtinId="9" hidden="1"/>
    <cellStyle name="已瀏覽過的超連結" xfId="1728" builtinId="9" hidden="1"/>
    <cellStyle name="已瀏覽過的超連結" xfId="1730" builtinId="9" hidden="1"/>
    <cellStyle name="已瀏覽過的超連結" xfId="1732" builtinId="9" hidden="1"/>
    <cellStyle name="已瀏覽過的超連結" xfId="1734" builtinId="9" hidden="1"/>
    <cellStyle name="已瀏覽過的超連結" xfId="1736" builtinId="9" hidden="1"/>
    <cellStyle name="已瀏覽過的超連結" xfId="1738" builtinId="9" hidden="1"/>
    <cellStyle name="已瀏覽過的超連結" xfId="1740" builtinId="9" hidden="1"/>
    <cellStyle name="已瀏覽過的超連結" xfId="1742" builtinId="9" hidden="1"/>
    <cellStyle name="已瀏覽過的超連結" xfId="1744" builtinId="9" hidden="1"/>
    <cellStyle name="已瀏覽過的超連結" xfId="1746" builtinId="9" hidden="1"/>
    <cellStyle name="已瀏覽過的超連結" xfId="1748" builtinId="9" hidden="1"/>
    <cellStyle name="已瀏覽過的超連結" xfId="1750" builtinId="9" hidden="1"/>
    <cellStyle name="已瀏覽過的超連結" xfId="1752" builtinId="9" hidden="1"/>
    <cellStyle name="已瀏覽過的超連結" xfId="1754" builtinId="9" hidden="1"/>
    <cellStyle name="已瀏覽過的超連結" xfId="1756" builtinId="9" hidden="1"/>
    <cellStyle name="已瀏覽過的超連結" xfId="1758" builtinId="9" hidden="1"/>
    <cellStyle name="已瀏覽過的超連結" xfId="1760" builtinId="9" hidden="1"/>
    <cellStyle name="已瀏覽過的超連結" xfId="1762" builtinId="9" hidden="1"/>
    <cellStyle name="已瀏覽過的超連結" xfId="1764" builtinId="9" hidden="1"/>
    <cellStyle name="已瀏覽過的超連結" xfId="1766" builtinId="9" hidden="1"/>
    <cellStyle name="已瀏覽過的超連結" xfId="1768" builtinId="9" hidden="1"/>
    <cellStyle name="已瀏覽過的超連結" xfId="1770" builtinId="9" hidden="1"/>
    <cellStyle name="已瀏覽過的超連結" xfId="1772" builtinId="9" hidden="1"/>
    <cellStyle name="已瀏覽過的超連結" xfId="1774" builtinId="9" hidden="1"/>
    <cellStyle name="已瀏覽過的超連結" xfId="1776" builtinId="9" hidden="1"/>
    <cellStyle name="已瀏覽過的超連結" xfId="1778" builtinId="9" hidden="1"/>
    <cellStyle name="已瀏覽過的超連結" xfId="1780" builtinId="9" hidden="1"/>
    <cellStyle name="已瀏覽過的超連結" xfId="1782" builtinId="9" hidden="1"/>
    <cellStyle name="已瀏覽過的超連結" xfId="1784" builtinId="9" hidden="1"/>
    <cellStyle name="已瀏覽過的超連結" xfId="1786" builtinId="9" hidden="1"/>
    <cellStyle name="已瀏覽過的超連結" xfId="1788" builtinId="9" hidden="1"/>
    <cellStyle name="已瀏覽過的超連結" xfId="1790" builtinId="9" hidden="1"/>
    <cellStyle name="已瀏覽過的超連結" xfId="1792" builtinId="9" hidden="1"/>
    <cellStyle name="已瀏覽過的超連結" xfId="1794" builtinId="9" hidden="1"/>
    <cellStyle name="已瀏覽過的超連結" xfId="1796" builtinId="9" hidden="1"/>
    <cellStyle name="已瀏覽過的超連結" xfId="1798" builtinId="9" hidden="1"/>
    <cellStyle name="已瀏覽過的超連結" xfId="1800" builtinId="9" hidden="1"/>
    <cellStyle name="已瀏覽過的超連結" xfId="1802" builtinId="9" hidden="1"/>
    <cellStyle name="已瀏覽過的超連結" xfId="1804" builtinId="9" hidden="1"/>
    <cellStyle name="已瀏覽過的超連結" xfId="1806" builtinId="9" hidden="1"/>
    <cellStyle name="已瀏覽過的超連結" xfId="1808" builtinId="9" hidden="1"/>
    <cellStyle name="已瀏覽過的超連結" xfId="1810" builtinId="9" hidden="1"/>
    <cellStyle name="已瀏覽過的超連結" xfId="1812" builtinId="9" hidden="1"/>
    <cellStyle name="已瀏覽過的超連結" xfId="1814" builtinId="9" hidden="1"/>
    <cellStyle name="已瀏覽過的超連結" xfId="1816" builtinId="9" hidden="1"/>
    <cellStyle name="已瀏覽過的超連結" xfId="1818" builtinId="9" hidden="1"/>
    <cellStyle name="已瀏覽過的超連結" xfId="1820" builtinId="9" hidden="1"/>
    <cellStyle name="已瀏覽過的超連結" xfId="1822" builtinId="9" hidden="1"/>
    <cellStyle name="已瀏覽過的超連結" xfId="1824" builtinId="9" hidden="1"/>
    <cellStyle name="已瀏覽過的超連結" xfId="1826" builtinId="9" hidden="1"/>
    <cellStyle name="已瀏覽過的超連結" xfId="1828" builtinId="9" hidden="1"/>
    <cellStyle name="已瀏覽過的超連結" xfId="1830" builtinId="9" hidden="1"/>
    <cellStyle name="已瀏覽過的超連結" xfId="1832" builtinId="9" hidden="1"/>
    <cellStyle name="已瀏覽過的超連結" xfId="1834" builtinId="9" hidden="1"/>
    <cellStyle name="已瀏覽過的超連結" xfId="1836" builtinId="9" hidden="1"/>
    <cellStyle name="已瀏覽過的超連結" xfId="1838" builtinId="9" hidden="1"/>
    <cellStyle name="已瀏覽過的超連結" xfId="1840" builtinId="9" hidden="1"/>
    <cellStyle name="已瀏覽過的超連結" xfId="1842" builtinId="9" hidden="1"/>
    <cellStyle name="已瀏覽過的超連結" xfId="1844" builtinId="9" hidden="1"/>
    <cellStyle name="已瀏覽過的超連結" xfId="1846" builtinId="9" hidden="1"/>
    <cellStyle name="已瀏覽過的超連結" xfId="1848" builtinId="9" hidden="1"/>
    <cellStyle name="已瀏覽過的超連結" xfId="1850" builtinId="9" hidden="1"/>
    <cellStyle name="已瀏覽過的超連結" xfId="1852" builtinId="9" hidden="1"/>
    <cellStyle name="已瀏覽過的超連結" xfId="1854" builtinId="9" hidden="1"/>
    <cellStyle name="已瀏覽過的超連結" xfId="1856" builtinId="9" hidden="1"/>
    <cellStyle name="已瀏覽過的超連結" xfId="1858" builtinId="9" hidden="1"/>
    <cellStyle name="已瀏覽過的超連結" xfId="1860" builtinId="9" hidden="1"/>
    <cellStyle name="已瀏覽過的超連結" xfId="1862" builtinId="9" hidden="1"/>
    <cellStyle name="已瀏覽過的超連結" xfId="1864" builtinId="9" hidden="1"/>
    <cellStyle name="已瀏覽過的超連結" xfId="1866" builtinId="9" hidden="1"/>
    <cellStyle name="已瀏覽過的超連結" xfId="1868" builtinId="9" hidden="1"/>
    <cellStyle name="已瀏覽過的超連結" xfId="1870" builtinId="9" hidden="1"/>
    <cellStyle name="已瀏覽過的超連結" xfId="1872" builtinId="9" hidden="1"/>
    <cellStyle name="已瀏覽過的超連結" xfId="1874" builtinId="9" hidden="1"/>
    <cellStyle name="已瀏覽過的超連結" xfId="1876" builtinId="9" hidden="1"/>
    <cellStyle name="已瀏覽過的超連結" xfId="1878" builtinId="9" hidden="1"/>
    <cellStyle name="已瀏覽過的超連結" xfId="1880" builtinId="9" hidden="1"/>
    <cellStyle name="已瀏覽過的超連結" xfId="1882" builtinId="9" hidden="1"/>
    <cellStyle name="已瀏覽過的超連結" xfId="1884" builtinId="9" hidden="1"/>
    <cellStyle name="已瀏覽過的超連結" xfId="1886" builtinId="9" hidden="1"/>
    <cellStyle name="已瀏覽過的超連結" xfId="1888" builtinId="9" hidden="1"/>
    <cellStyle name="已瀏覽過的超連結" xfId="1890" builtinId="9" hidden="1"/>
    <cellStyle name="已瀏覽過的超連結" xfId="1892" builtinId="9" hidden="1"/>
    <cellStyle name="已瀏覽過的超連結" xfId="1894" builtinId="9" hidden="1"/>
    <cellStyle name="已瀏覽過的超連結" xfId="1896" builtinId="9" hidden="1"/>
    <cellStyle name="已瀏覽過的超連結" xfId="1898" builtinId="9" hidden="1"/>
    <cellStyle name="已瀏覽過的超連結" xfId="1900" builtinId="9" hidden="1"/>
    <cellStyle name="已瀏覽過的超連結" xfId="1902" builtinId="9" hidden="1"/>
    <cellStyle name="已瀏覽過的超連結" xfId="1904" builtinId="9" hidden="1"/>
    <cellStyle name="已瀏覽過的超連結" xfId="1906" builtinId="9" hidden="1"/>
    <cellStyle name="已瀏覽過的超連結" xfId="1908" builtinId="9" hidden="1"/>
    <cellStyle name="已瀏覽過的超連結" xfId="1910" builtinId="9" hidden="1"/>
    <cellStyle name="已瀏覽過的超連結" xfId="1912" builtinId="9" hidden="1"/>
    <cellStyle name="已瀏覽過的超連結" xfId="1914" builtinId="9" hidden="1"/>
    <cellStyle name="已瀏覽過的超連結" xfId="1916" builtinId="9" hidden="1"/>
    <cellStyle name="已瀏覽過的超連結" xfId="1918" builtinId="9" hidden="1"/>
    <cellStyle name="已瀏覽過的超連結" xfId="1920" builtinId="9" hidden="1"/>
    <cellStyle name="已瀏覽過的超連結" xfId="1922" builtinId="9" hidden="1"/>
    <cellStyle name="已瀏覽過的超連結" xfId="1924" builtinId="9" hidden="1"/>
    <cellStyle name="已瀏覽過的超連結" xfId="1926" builtinId="9" hidden="1"/>
    <cellStyle name="已瀏覽過的超連結" xfId="1928" builtinId="9" hidden="1"/>
    <cellStyle name="已瀏覽過的超連結" xfId="1930" builtinId="9" hidden="1"/>
    <cellStyle name="已瀏覽過的超連結" xfId="1932" builtinId="9" hidden="1"/>
    <cellStyle name="已瀏覽過的超連結" xfId="1934" builtinId="9" hidden="1"/>
    <cellStyle name="已瀏覽過的超連結" xfId="1936" builtinId="9" hidden="1"/>
    <cellStyle name="已瀏覽過的超連結" xfId="1938" builtinId="9" hidden="1"/>
    <cellStyle name="已瀏覽過的超連結" xfId="1940" builtinId="9" hidden="1"/>
    <cellStyle name="已瀏覽過的超連結" xfId="1942" builtinId="9" hidden="1"/>
    <cellStyle name="已瀏覽過的超連結" xfId="1944" builtinId="9" hidden="1"/>
    <cellStyle name="已瀏覽過的超連結" xfId="1946" builtinId="9" hidden="1"/>
    <cellStyle name="已瀏覽過的超連結" xfId="1948" builtinId="9" hidden="1"/>
    <cellStyle name="已瀏覽過的超連結" xfId="1950" builtinId="9" hidden="1"/>
    <cellStyle name="已瀏覽過的超連結" xfId="1952" builtinId="9" hidden="1"/>
    <cellStyle name="已瀏覽過的超連結" xfId="1954" builtinId="9" hidden="1"/>
    <cellStyle name="已瀏覽過的超連結" xfId="1956" builtinId="9" hidden="1"/>
    <cellStyle name="已瀏覽過的超連結" xfId="1958" builtinId="9" hidden="1"/>
    <cellStyle name="已瀏覽過的超連結" xfId="1960" builtinId="9" hidden="1"/>
    <cellStyle name="已瀏覽過的超連結" xfId="1962" builtinId="9" hidden="1"/>
    <cellStyle name="已瀏覽過的超連結" xfId="1964" builtinId="9" hidden="1"/>
    <cellStyle name="已瀏覽過的超連結" xfId="1966" builtinId="9" hidden="1"/>
    <cellStyle name="已瀏覽過的超連結" xfId="1968" builtinId="9" hidden="1"/>
    <cellStyle name="已瀏覽過的超連結" xfId="1970" builtinId="9" hidden="1"/>
    <cellStyle name="已瀏覽過的超連結" xfId="1972" builtinId="9" hidden="1"/>
    <cellStyle name="已瀏覽過的超連結" xfId="1974" builtinId="9" hidden="1"/>
    <cellStyle name="已瀏覽過的超連結" xfId="1976" builtinId="9" hidden="1"/>
    <cellStyle name="已瀏覽過的超連結" xfId="1978" builtinId="9" hidden="1"/>
    <cellStyle name="已瀏覽過的超連結" xfId="1980" builtinId="9" hidden="1"/>
    <cellStyle name="已瀏覽過的超連結" xfId="1982" builtinId="9" hidden="1"/>
    <cellStyle name="已瀏覽過的超連結" xfId="1984" builtinId="9" hidden="1"/>
    <cellStyle name="已瀏覽過的超連結" xfId="1986" builtinId="9" hidden="1"/>
    <cellStyle name="已瀏覽過的超連結" xfId="1988" builtinId="9" hidden="1"/>
    <cellStyle name="已瀏覽過的超連結" xfId="1990" builtinId="9" hidden="1"/>
    <cellStyle name="已瀏覽過的超連結" xfId="1992" builtinId="9" hidden="1"/>
    <cellStyle name="已瀏覽過的超連結" xfId="1994" builtinId="9" hidden="1"/>
    <cellStyle name="已瀏覽過的超連結" xfId="1996" builtinId="9" hidden="1"/>
    <cellStyle name="已瀏覽過的超連結" xfId="1998" builtinId="9" hidden="1"/>
    <cellStyle name="已瀏覽過的超連結" xfId="2000" builtinId="9" hidden="1"/>
    <cellStyle name="已瀏覽過的超連結" xfId="2002" builtinId="9" hidden="1"/>
    <cellStyle name="已瀏覽過的超連結" xfId="2004" builtinId="9" hidden="1"/>
    <cellStyle name="已瀏覽過的超連結" xfId="2006" builtinId="9" hidden="1"/>
    <cellStyle name="已瀏覽過的超連結" xfId="2008" builtinId="9" hidden="1"/>
    <cellStyle name="已瀏覽過的超連結" xfId="2010" builtinId="9" hidden="1"/>
    <cellStyle name="已瀏覽過的超連結" xfId="2012" builtinId="9" hidden="1"/>
    <cellStyle name="已瀏覽過的超連結" xfId="2014" builtinId="9" hidden="1"/>
    <cellStyle name="已瀏覽過的超連結" xfId="2016" builtinId="9" hidden="1"/>
    <cellStyle name="已瀏覽過的超連結" xfId="2018" builtinId="9" hidden="1"/>
    <cellStyle name="已瀏覽過的超連結" xfId="2020" builtinId="9" hidden="1"/>
    <cellStyle name="已瀏覽過的超連結" xfId="2022" builtinId="9" hidden="1"/>
    <cellStyle name="已瀏覽過的超連結" xfId="2024" builtinId="9" hidden="1"/>
    <cellStyle name="已瀏覽過的超連結" xfId="2026" builtinId="9" hidden="1"/>
    <cellStyle name="已瀏覽過的超連結" xfId="2028" builtinId="9" hidden="1"/>
    <cellStyle name="已瀏覽過的超連結" xfId="2030" builtinId="9" hidden="1"/>
    <cellStyle name="已瀏覽過的超連結" xfId="2032" builtinId="9" hidden="1"/>
    <cellStyle name="已瀏覽過的超連結" xfId="2034" builtinId="9" hidden="1"/>
    <cellStyle name="已瀏覽過的超連結" xfId="2036" builtinId="9" hidden="1"/>
    <cellStyle name="已瀏覽過的超連結" xfId="2038" builtinId="9" hidden="1"/>
    <cellStyle name="已瀏覽過的超連結" xfId="2040" builtinId="9" hidden="1"/>
    <cellStyle name="已瀏覽過的超連結" xfId="2042" builtinId="9" hidden="1"/>
    <cellStyle name="已瀏覽過的超連結" xfId="2044" builtinId="9" hidden="1"/>
    <cellStyle name="已瀏覽過的超連結" xfId="2046" builtinId="9" hidden="1"/>
    <cellStyle name="已瀏覽過的超連結" xfId="2048" builtinId="9" hidden="1"/>
    <cellStyle name="已瀏覽過的超連結" xfId="2050" builtinId="9" hidden="1"/>
    <cellStyle name="已瀏覽過的超連結" xfId="2052" builtinId="9" hidden="1"/>
    <cellStyle name="已瀏覽過的超連結" xfId="2054" builtinId="9" hidden="1"/>
    <cellStyle name="已瀏覽過的超連結" xfId="2056" builtinId="9" hidden="1"/>
    <cellStyle name="已瀏覽過的超連結" xfId="2058" builtinId="9" hidden="1"/>
    <cellStyle name="已瀏覽過的超連結" xfId="2060" builtinId="9" hidden="1"/>
    <cellStyle name="已瀏覽過的超連結" xfId="2062" builtinId="9" hidden="1"/>
    <cellStyle name="已瀏覽過的超連結" xfId="2064" builtinId="9" hidden="1"/>
    <cellStyle name="已瀏覽過的超連結" xfId="2066" builtinId="9" hidden="1"/>
    <cellStyle name="已瀏覽過的超連結" xfId="2068" builtinId="9" hidden="1"/>
    <cellStyle name="已瀏覽過的超連結" xfId="2070" builtinId="9" hidden="1"/>
    <cellStyle name="已瀏覽過的超連結" xfId="2072" builtinId="9" hidden="1"/>
    <cellStyle name="已瀏覽過的超連結" xfId="2074" builtinId="9" hidden="1"/>
    <cellStyle name="已瀏覽過的超連結" xfId="2076" builtinId="9" hidden="1"/>
    <cellStyle name="已瀏覽過的超連結" xfId="2078" builtinId="9" hidden="1"/>
    <cellStyle name="已瀏覽過的超連結" xfId="2080" builtinId="9" hidden="1"/>
    <cellStyle name="已瀏覽過的超連結" xfId="2082" builtinId="9" hidden="1"/>
    <cellStyle name="已瀏覽過的超連結" xfId="2084" builtinId="9" hidden="1"/>
    <cellStyle name="已瀏覽過的超連結" xfId="2086" builtinId="9" hidden="1"/>
    <cellStyle name="已瀏覽過的超連結" xfId="2088" builtinId="9" hidden="1"/>
    <cellStyle name="已瀏覽過的超連結" xfId="2090" builtinId="9" hidden="1"/>
    <cellStyle name="已瀏覽過的超連結" xfId="2092" builtinId="9" hidden="1"/>
    <cellStyle name="已瀏覽過的超連結" xfId="2094" builtinId="9" hidden="1"/>
    <cellStyle name="已瀏覽過的超連結" xfId="2096" builtinId="9" hidden="1"/>
    <cellStyle name="已瀏覽過的超連結" xfId="2098" builtinId="9" hidden="1"/>
    <cellStyle name="已瀏覽過的超連結" xfId="2100" builtinId="9" hidden="1"/>
    <cellStyle name="已瀏覽過的超連結" xfId="2102" builtinId="9" hidden="1"/>
    <cellStyle name="已瀏覽過的超連結" xfId="2104" builtinId="9" hidden="1"/>
    <cellStyle name="已瀏覽過的超連結" xfId="2106" builtinId="9" hidden="1"/>
    <cellStyle name="已瀏覽過的超連結" xfId="2108" builtinId="9" hidden="1"/>
    <cellStyle name="已瀏覽過的超連結" xfId="2110" builtinId="9" hidden="1"/>
    <cellStyle name="已瀏覽過的超連結" xfId="2112" builtinId="9" hidden="1"/>
    <cellStyle name="已瀏覽過的超連結" xfId="2114" builtinId="9" hidden="1"/>
    <cellStyle name="已瀏覽過的超連結" xfId="2116" builtinId="9" hidden="1"/>
    <cellStyle name="已瀏覽過的超連結" xfId="2118" builtinId="9" hidden="1"/>
    <cellStyle name="已瀏覽過的超連結" xfId="2120" builtinId="9" hidden="1"/>
    <cellStyle name="已瀏覽過的超連結" xfId="2122" builtinId="9" hidden="1"/>
    <cellStyle name="已瀏覽過的超連結" xfId="2124" builtinId="9" hidden="1"/>
    <cellStyle name="已瀏覽過的超連結" xfId="2126" builtinId="9" hidden="1"/>
    <cellStyle name="已瀏覽過的超連結" xfId="2128" builtinId="9" hidden="1"/>
    <cellStyle name="已瀏覽過的超連結" xfId="2130" builtinId="9" hidden="1"/>
    <cellStyle name="已瀏覽過的超連結" xfId="2132" builtinId="9" hidden="1"/>
    <cellStyle name="已瀏覽過的超連結" xfId="2134" builtinId="9" hidden="1"/>
    <cellStyle name="已瀏覽過的超連結" xfId="2136" builtinId="9" hidden="1"/>
    <cellStyle name="已瀏覽過的超連結" xfId="2138" builtinId="9" hidden="1"/>
    <cellStyle name="已瀏覽過的超連結" xfId="2140" builtinId="9" hidden="1"/>
    <cellStyle name="已瀏覽過的超連結" xfId="2142" builtinId="9" hidden="1"/>
    <cellStyle name="已瀏覽過的超連結" xfId="2144" builtinId="9" hidden="1"/>
    <cellStyle name="已瀏覽過的超連結" xfId="2146" builtinId="9" hidden="1"/>
    <cellStyle name="已瀏覽過的超連結" xfId="2148" builtinId="9" hidden="1"/>
    <cellStyle name="已瀏覽過的超連結" xfId="2150" builtinId="9" hidden="1"/>
    <cellStyle name="已瀏覽過的超連結" xfId="2152" builtinId="9" hidden="1"/>
    <cellStyle name="已瀏覽過的超連結" xfId="2154" builtinId="9" hidden="1"/>
    <cellStyle name="已瀏覽過的超連結" xfId="2156" builtinId="9" hidden="1"/>
    <cellStyle name="已瀏覽過的超連結" xfId="2158" builtinId="9" hidden="1"/>
    <cellStyle name="已瀏覽過的超連結" xfId="2160" builtinId="9" hidden="1"/>
    <cellStyle name="已瀏覽過的超連結" xfId="2162" builtinId="9" hidden="1"/>
    <cellStyle name="已瀏覽過的超連結" xfId="2164" builtinId="9" hidden="1"/>
    <cellStyle name="已瀏覽過的超連結" xfId="2166" builtinId="9" hidden="1"/>
    <cellStyle name="已瀏覽過的超連結" xfId="2168" builtinId="9" hidden="1"/>
    <cellStyle name="已瀏覽過的超連結" xfId="2170" builtinId="9" hidden="1"/>
    <cellStyle name="已瀏覽過的超連結" xfId="2172" builtinId="9" hidden="1"/>
    <cellStyle name="已瀏覽過的超連結" xfId="2174" builtinId="9" hidden="1"/>
    <cellStyle name="已瀏覽過的超連結" xfId="2176" builtinId="9" hidden="1"/>
    <cellStyle name="已瀏覽過的超連結" xfId="2178" builtinId="9" hidden="1"/>
    <cellStyle name="已瀏覽過的超連結" xfId="2180" builtinId="9" hidden="1"/>
    <cellStyle name="已瀏覽過的超連結" xfId="2182" builtinId="9" hidden="1"/>
    <cellStyle name="已瀏覽過的超連結" xfId="2184" builtinId="9" hidden="1"/>
    <cellStyle name="已瀏覽過的超連結" xfId="2186" builtinId="9" hidden="1"/>
    <cellStyle name="已瀏覽過的超連結" xfId="2188" builtinId="9" hidden="1"/>
    <cellStyle name="已瀏覽過的超連結" xfId="2190" builtinId="9" hidden="1"/>
    <cellStyle name="已瀏覽過的超連結" xfId="2192" builtinId="9" hidden="1"/>
    <cellStyle name="已瀏覽過的超連結" xfId="2194" builtinId="9" hidden="1"/>
    <cellStyle name="已瀏覽過的超連結" xfId="2196" builtinId="9" hidden="1"/>
    <cellStyle name="已瀏覽過的超連結" xfId="2198" builtinId="9" hidden="1"/>
    <cellStyle name="已瀏覽過的超連結" xfId="2200" builtinId="9" hidden="1"/>
    <cellStyle name="已瀏覽過的超連結" xfId="2202" builtinId="9" hidden="1"/>
    <cellStyle name="已瀏覽過的超連結" xfId="2204" builtinId="9" hidden="1"/>
    <cellStyle name="已瀏覽過的超連結" xfId="2206" builtinId="9" hidden="1"/>
    <cellStyle name="已瀏覽過的超連結" xfId="2208" builtinId="9" hidden="1"/>
    <cellStyle name="已瀏覽過的超連結" xfId="2210" builtinId="9" hidden="1"/>
    <cellStyle name="已瀏覽過的超連結" xfId="2212" builtinId="9" hidden="1"/>
    <cellStyle name="已瀏覽過的超連結" xfId="2214" builtinId="9" hidden="1"/>
    <cellStyle name="已瀏覽過的超連結" xfId="2216" builtinId="9" hidden="1"/>
    <cellStyle name="已瀏覽過的超連結" xfId="2218" builtinId="9" hidden="1"/>
    <cellStyle name="已瀏覽過的超連結" xfId="2220" builtinId="9" hidden="1"/>
    <cellStyle name="已瀏覽過的超連結" xfId="2222" builtinId="9" hidden="1"/>
    <cellStyle name="已瀏覽過的超連結" xfId="2224" builtinId="9" hidden="1"/>
    <cellStyle name="已瀏覽過的超連結" xfId="2226" builtinId="9" hidden="1"/>
    <cellStyle name="已瀏覽過的超連結" xfId="2228" builtinId="9" hidden="1"/>
    <cellStyle name="已瀏覽過的超連結" xfId="2230" builtinId="9" hidden="1"/>
    <cellStyle name="已瀏覽過的超連結" xfId="2232" builtinId="9" hidden="1"/>
    <cellStyle name="已瀏覽過的超連結" xfId="2234" builtinId="9" hidden="1"/>
    <cellStyle name="已瀏覽過的超連結" xfId="2236" builtinId="9" hidden="1"/>
    <cellStyle name="已瀏覽過的超連結" xfId="2238" builtinId="9" hidden="1"/>
    <cellStyle name="已瀏覽過的超連結" xfId="2240" builtinId="9" hidden="1"/>
    <cellStyle name="已瀏覽過的超連結" xfId="2242" builtinId="9" hidden="1"/>
    <cellStyle name="已瀏覽過的超連結" xfId="2244" builtinId="9" hidden="1"/>
    <cellStyle name="已瀏覽過的超連結" xfId="2246" builtinId="9" hidden="1"/>
    <cellStyle name="已瀏覽過的超連結" xfId="2248" builtinId="9" hidden="1"/>
    <cellStyle name="已瀏覽過的超連結" xfId="2250" builtinId="9" hidden="1"/>
    <cellStyle name="已瀏覽過的超連結" xfId="2252" builtinId="9" hidden="1"/>
    <cellStyle name="已瀏覽過的超連結" xfId="2254" builtinId="9" hidden="1"/>
    <cellStyle name="已瀏覽過的超連結" xfId="2256" builtinId="9" hidden="1"/>
    <cellStyle name="已瀏覽過的超連結" xfId="2258" builtinId="9" hidden="1"/>
    <cellStyle name="已瀏覽過的超連結" xfId="2260" builtinId="9" hidden="1"/>
    <cellStyle name="已瀏覽過的超連結" xfId="2262" builtinId="9" hidden="1"/>
    <cellStyle name="已瀏覽過的超連結" xfId="2264" builtinId="9" hidden="1"/>
    <cellStyle name="已瀏覽過的超連結" xfId="2266" builtinId="9" hidden="1"/>
    <cellStyle name="已瀏覽過的超連結" xfId="2268" builtinId="9" hidden="1"/>
    <cellStyle name="已瀏覽過的超連結" xfId="2270" builtinId="9" hidden="1"/>
    <cellStyle name="已瀏覽過的超連結" xfId="2272" builtinId="9" hidden="1"/>
    <cellStyle name="已瀏覽過的超連結" xfId="2274" builtinId="9" hidden="1"/>
    <cellStyle name="已瀏覽過的超連結" xfId="2276" builtinId="9" hidden="1"/>
    <cellStyle name="已瀏覽過的超連結" xfId="2278" builtinId="9" hidden="1"/>
    <cellStyle name="已瀏覽過的超連結" xfId="2280" builtinId="9" hidden="1"/>
    <cellStyle name="已瀏覽過的超連結" xfId="2282" builtinId="9" hidden="1"/>
    <cellStyle name="已瀏覽過的超連結" xfId="2284" builtinId="9" hidden="1"/>
    <cellStyle name="已瀏覽過的超連結" xfId="2286" builtinId="9" hidden="1"/>
    <cellStyle name="已瀏覽過的超連結" xfId="2288" builtinId="9" hidden="1"/>
    <cellStyle name="已瀏覽過的超連結" xfId="2290" builtinId="9" hidden="1"/>
    <cellStyle name="已瀏覽過的超連結" xfId="2292" builtinId="9" hidden="1"/>
    <cellStyle name="已瀏覽過的超連結" xfId="2294" builtinId="9" hidden="1"/>
    <cellStyle name="已瀏覽過的超連結" xfId="2296" builtinId="9" hidden="1"/>
    <cellStyle name="已瀏覽過的超連結" xfId="2298" builtinId="9" hidden="1"/>
    <cellStyle name="已瀏覽過的超連結" xfId="2300" builtinId="9" hidden="1"/>
    <cellStyle name="已瀏覽過的超連結" xfId="2302" builtinId="9" hidden="1"/>
    <cellStyle name="已瀏覽過的超連結" xfId="2304" builtinId="9" hidden="1"/>
    <cellStyle name="已瀏覽過的超連結" xfId="2306" builtinId="9" hidden="1"/>
    <cellStyle name="已瀏覽過的超連結" xfId="2308" builtinId="9" hidden="1"/>
    <cellStyle name="已瀏覽過的超連結" xfId="2310" builtinId="9" hidden="1"/>
    <cellStyle name="已瀏覽過的超連結" xfId="2312" builtinId="9" hidden="1"/>
    <cellStyle name="已瀏覽過的超連結" xfId="2314" builtinId="9" hidden="1"/>
    <cellStyle name="已瀏覽過的超連結" xfId="2316" builtinId="9" hidden="1"/>
    <cellStyle name="已瀏覽過的超連結" xfId="2318" builtinId="9" hidden="1"/>
    <cellStyle name="已瀏覽過的超連結" xfId="2320" builtinId="9" hidden="1"/>
    <cellStyle name="已瀏覽過的超連結" xfId="2322" builtinId="9" hidden="1"/>
    <cellStyle name="已瀏覽過的超連結" xfId="2324" builtinId="9" hidden="1"/>
    <cellStyle name="已瀏覽過的超連結" xfId="2326" builtinId="9" hidden="1"/>
    <cellStyle name="已瀏覽過的超連結" xfId="2328" builtinId="9" hidden="1"/>
    <cellStyle name="已瀏覽過的超連結" xfId="2330" builtinId="9" hidden="1"/>
    <cellStyle name="已瀏覽過的超連結" xfId="2332" builtinId="9" hidden="1"/>
    <cellStyle name="已瀏覽過的超連結" xfId="2334" builtinId="9" hidden="1"/>
    <cellStyle name="已瀏覽過的超連結" xfId="2336" builtinId="9" hidden="1"/>
    <cellStyle name="已瀏覽過的超連結" xfId="2338" builtinId="9" hidden="1"/>
    <cellStyle name="已瀏覽過的超連結" xfId="2340" builtinId="9" hidden="1"/>
    <cellStyle name="已瀏覽過的超連結" xfId="2342" builtinId="9" hidden="1"/>
    <cellStyle name="已瀏覽過的超連結" xfId="2344" builtinId="9" hidden="1"/>
    <cellStyle name="已瀏覽過的超連結" xfId="2346" builtinId="9" hidden="1"/>
    <cellStyle name="已瀏覽過的超連結" xfId="2348" builtinId="9" hidden="1"/>
    <cellStyle name="已瀏覽過的超連結" xfId="2350" builtinId="9" hidden="1"/>
    <cellStyle name="已瀏覽過的超連結" xfId="2352" builtinId="9" hidden="1"/>
    <cellStyle name="已瀏覽過的超連結" xfId="2354" builtinId="9" hidden="1"/>
    <cellStyle name="已瀏覽過的超連結" xfId="2356" builtinId="9" hidden="1"/>
    <cellStyle name="已瀏覽過的超連結" xfId="2358" builtinId="9" hidden="1"/>
    <cellStyle name="已瀏覽過的超連結" xfId="2360" builtinId="9" hidden="1"/>
    <cellStyle name="已瀏覽過的超連結" xfId="2362" builtinId="9" hidden="1"/>
    <cellStyle name="已瀏覽過的超連結" xfId="2364" builtinId="9" hidden="1"/>
    <cellStyle name="已瀏覽過的超連結" xfId="2366" builtinId="9" hidden="1"/>
    <cellStyle name="已瀏覽過的超連結" xfId="2368" builtinId="9" hidden="1"/>
    <cellStyle name="已瀏覽過的超連結" xfId="2370" builtinId="9" hidden="1"/>
    <cellStyle name="已瀏覽過的超連結" xfId="2372" builtinId="9" hidden="1"/>
    <cellStyle name="已瀏覽過的超連結" xfId="2374" builtinId="9" hidden="1"/>
    <cellStyle name="已瀏覽過的超連結" xfId="2376" builtinId="9" hidden="1"/>
    <cellStyle name="已瀏覽過的超連結" xfId="2378" builtinId="9" hidden="1"/>
    <cellStyle name="已瀏覽過的超連結" xfId="2380" builtinId="9" hidden="1"/>
    <cellStyle name="已瀏覽過的超連結" xfId="2382" builtinId="9" hidden="1"/>
    <cellStyle name="已瀏覽過的超連結" xfId="2384" builtinId="9" hidden="1"/>
    <cellStyle name="已瀏覽過的超連結" xfId="2386" builtinId="9" hidden="1"/>
    <cellStyle name="已瀏覽過的超連結" xfId="2388" builtinId="9" hidden="1"/>
    <cellStyle name="已瀏覽過的超連結" xfId="2390" builtinId="9" hidden="1"/>
    <cellStyle name="已瀏覽過的超連結" xfId="2392" builtinId="9" hidden="1"/>
    <cellStyle name="已瀏覽過的超連結" xfId="2394" builtinId="9" hidden="1"/>
    <cellStyle name="已瀏覽過的超連結" xfId="2396" builtinId="9" hidden="1"/>
    <cellStyle name="已瀏覽過的超連結" xfId="2398" builtinId="9" hidden="1"/>
    <cellStyle name="已瀏覽過的超連結" xfId="2400" builtinId="9" hidden="1"/>
    <cellStyle name="已瀏覽過的超連結" xfId="2402" builtinId="9" hidden="1"/>
    <cellStyle name="已瀏覽過的超連結" xfId="2404" builtinId="9" hidden="1"/>
    <cellStyle name="已瀏覽過的超連結" xfId="2406" builtinId="9" hidden="1"/>
    <cellStyle name="已瀏覽過的超連結" xfId="2408" builtinId="9" hidden="1"/>
    <cellStyle name="已瀏覽過的超連結" xfId="2410" builtinId="9" hidden="1"/>
    <cellStyle name="已瀏覽過的超連結" xfId="2412" builtinId="9" hidden="1"/>
    <cellStyle name="已瀏覽過的超連結" xfId="2414" builtinId="9" hidden="1"/>
    <cellStyle name="已瀏覽過的超連結" xfId="2416" builtinId="9" hidden="1"/>
    <cellStyle name="已瀏覽過的超連結" xfId="2418" builtinId="9" hidden="1"/>
    <cellStyle name="已瀏覽過的超連結" xfId="2420" builtinId="9" hidden="1"/>
    <cellStyle name="已瀏覽過的超連結" xfId="2422" builtinId="9" hidden="1"/>
    <cellStyle name="已瀏覽過的超連結" xfId="2424" builtinId="9" hidden="1"/>
    <cellStyle name="已瀏覽過的超連結" xfId="2426" builtinId="9" hidden="1"/>
    <cellStyle name="已瀏覽過的超連結" xfId="2428" builtinId="9" hidden="1"/>
    <cellStyle name="已瀏覽過的超連結" xfId="2430" builtinId="9" hidden="1"/>
    <cellStyle name="已瀏覽過的超連結" xfId="2432" builtinId="9" hidden="1"/>
    <cellStyle name="已瀏覽過的超連結" xfId="2434" builtinId="9" hidden="1"/>
    <cellStyle name="已瀏覽過的超連結" xfId="2436" builtinId="9" hidden="1"/>
    <cellStyle name="已瀏覽過的超連結" xfId="2438" builtinId="9" hidden="1"/>
    <cellStyle name="已瀏覽過的超連結" xfId="2440" builtinId="9" hidden="1"/>
    <cellStyle name="已瀏覽過的超連結" xfId="2442" builtinId="9" hidden="1"/>
    <cellStyle name="已瀏覽過的超連結" xfId="2444" builtinId="9" hidden="1"/>
    <cellStyle name="已瀏覽過的超連結" xfId="2446" builtinId="9" hidden="1"/>
    <cellStyle name="已瀏覽過的超連結" xfId="2448" builtinId="9" hidden="1"/>
    <cellStyle name="已瀏覽過的超連結" xfId="2450" builtinId="9" hidden="1"/>
    <cellStyle name="已瀏覽過的超連結" xfId="2452" builtinId="9" hidden="1"/>
    <cellStyle name="已瀏覽過的超連結" xfId="2454" builtinId="9" hidden="1"/>
    <cellStyle name="已瀏覽過的超連結" xfId="2456" builtinId="9" hidden="1"/>
    <cellStyle name="已瀏覽過的超連結" xfId="2458" builtinId="9" hidden="1"/>
    <cellStyle name="已瀏覽過的超連結" xfId="2460" builtinId="9" hidden="1"/>
    <cellStyle name="已瀏覽過的超連結" xfId="2462" builtinId="9" hidden="1"/>
    <cellStyle name="已瀏覽過的超連結" xfId="2464" builtinId="9" hidden="1"/>
    <cellStyle name="已瀏覽過的超連結" xfId="2466" builtinId="9" hidden="1"/>
    <cellStyle name="已瀏覽過的超連結" xfId="2468" builtinId="9" hidden="1"/>
    <cellStyle name="已瀏覽過的超連結" xfId="2470" builtinId="9" hidden="1"/>
    <cellStyle name="已瀏覽過的超連結" xfId="2472" builtinId="9" hidden="1"/>
    <cellStyle name="已瀏覽過的超連結" xfId="2474" builtinId="9" hidden="1"/>
    <cellStyle name="已瀏覽過的超連結" xfId="2476" builtinId="9" hidden="1"/>
    <cellStyle name="已瀏覽過的超連結" xfId="2478" builtinId="9" hidden="1"/>
    <cellStyle name="已瀏覽過的超連結" xfId="2480" builtinId="9" hidden="1"/>
    <cellStyle name="已瀏覽過的超連結" xfId="2482" builtinId="9" hidden="1"/>
    <cellStyle name="已瀏覽過的超連結" xfId="2484" builtinId="9" hidden="1"/>
    <cellStyle name="已瀏覽過的超連結" xfId="2486" builtinId="9" hidden="1"/>
    <cellStyle name="已瀏覽過的超連結" xfId="2488" builtinId="9" hidden="1"/>
    <cellStyle name="已瀏覽過的超連結" xfId="2490" builtinId="9" hidden="1"/>
    <cellStyle name="已瀏覽過的超連結" xfId="2492" builtinId="9" hidden="1"/>
    <cellStyle name="已瀏覽過的超連結" xfId="2494" builtinId="9" hidden="1"/>
    <cellStyle name="已瀏覽過的超連結" xfId="2496" builtinId="9" hidden="1"/>
    <cellStyle name="已瀏覽過的超連結" xfId="2498" builtinId="9" hidden="1"/>
    <cellStyle name="已瀏覽過的超連結" xfId="2500" builtinId="9" hidden="1"/>
    <cellStyle name="已瀏覽過的超連結" xfId="2502" builtinId="9" hidden="1"/>
    <cellStyle name="已瀏覽過的超連結" xfId="2504" builtinId="9" hidden="1"/>
    <cellStyle name="已瀏覽過的超連結" xfId="2506" builtinId="9" hidden="1"/>
    <cellStyle name="已瀏覽過的超連結" xfId="2508" builtinId="9" hidden="1"/>
    <cellStyle name="已瀏覽過的超連結" xfId="2510" builtinId="9" hidden="1"/>
    <cellStyle name="已瀏覽過的超連結" xfId="2512" builtinId="9" hidden="1"/>
    <cellStyle name="已瀏覽過的超連結" xfId="2514" builtinId="9" hidden="1"/>
    <cellStyle name="已瀏覽過的超連結" xfId="2516" builtinId="9" hidden="1"/>
    <cellStyle name="已瀏覽過的超連結" xfId="2518" builtinId="9" hidden="1"/>
    <cellStyle name="已瀏覽過的超連結" xfId="2520" builtinId="9" hidden="1"/>
    <cellStyle name="已瀏覽過的超連結" xfId="2522" builtinId="9" hidden="1"/>
    <cellStyle name="已瀏覽過的超連結" xfId="2524" builtinId="9" hidden="1"/>
    <cellStyle name="已瀏覽過的超連結" xfId="2526" builtinId="9" hidden="1"/>
    <cellStyle name="已瀏覽過的超連結" xfId="2528" builtinId="9" hidden="1"/>
    <cellStyle name="已瀏覽過的超連結" xfId="2530" builtinId="9" hidden="1"/>
    <cellStyle name="已瀏覽過的超連結" xfId="2532" builtinId="9" hidden="1"/>
    <cellStyle name="已瀏覽過的超連結" xfId="2534" builtinId="9" hidden="1"/>
    <cellStyle name="已瀏覽過的超連結" xfId="2536" builtinId="9" hidden="1"/>
    <cellStyle name="已瀏覽過的超連結" xfId="2538" builtinId="9" hidden="1"/>
    <cellStyle name="已瀏覽過的超連結" xfId="2540" builtinId="9" hidden="1"/>
    <cellStyle name="已瀏覽過的超連結" xfId="2542" builtinId="9" hidden="1"/>
    <cellStyle name="已瀏覽過的超連結" xfId="2544" builtinId="9" hidden="1"/>
    <cellStyle name="已瀏覽過的超連結" xfId="2546" builtinId="9" hidden="1"/>
    <cellStyle name="已瀏覽過的超連結" xfId="2548" builtinId="9" hidden="1"/>
    <cellStyle name="已瀏覽過的超連結" xfId="2550" builtinId="9" hidden="1"/>
    <cellStyle name="已瀏覽過的超連結" xfId="2552" builtinId="9" hidden="1"/>
    <cellStyle name="已瀏覽過的超連結" xfId="2554" builtinId="9" hidden="1"/>
    <cellStyle name="已瀏覽過的超連結" xfId="2556" builtinId="9" hidden="1"/>
    <cellStyle name="已瀏覽過的超連結" xfId="2558" builtinId="9" hidden="1"/>
    <cellStyle name="已瀏覽過的超連結" xfId="2560" builtinId="9" hidden="1"/>
    <cellStyle name="已瀏覽過的超連結" xfId="2562" builtinId="9" hidden="1"/>
    <cellStyle name="已瀏覽過的超連結" xfId="2564" builtinId="9" hidden="1"/>
    <cellStyle name="已瀏覽過的超連結" xfId="2566" builtinId="9" hidden="1"/>
    <cellStyle name="已瀏覽過的超連結" xfId="2568" builtinId="9" hidden="1"/>
    <cellStyle name="已瀏覽過的超連結" xfId="2570" builtinId="9" hidden="1"/>
    <cellStyle name="已瀏覽過的超連結" xfId="2572" builtinId="9" hidden="1"/>
    <cellStyle name="已瀏覽過的超連結" xfId="2574" builtinId="9" hidden="1"/>
    <cellStyle name="已瀏覽過的超連結" xfId="2576" builtinId="9" hidden="1"/>
    <cellStyle name="已瀏覽過的超連結" xfId="2578" builtinId="9" hidden="1"/>
    <cellStyle name="已瀏覽過的超連結" xfId="2580" builtinId="9" hidden="1"/>
    <cellStyle name="已瀏覽過的超連結" xfId="2582" builtinId="9" hidden="1"/>
    <cellStyle name="已瀏覽過的超連結" xfId="2584" builtinId="9" hidden="1"/>
    <cellStyle name="已瀏覽過的超連結" xfId="2586" builtinId="9" hidden="1"/>
    <cellStyle name="已瀏覽過的超連結" xfId="2588" builtinId="9" hidden="1"/>
    <cellStyle name="已瀏覽過的超連結" xfId="2590" builtinId="9" hidden="1"/>
    <cellStyle name="已瀏覽過的超連結" xfId="2592" builtinId="9" hidden="1"/>
    <cellStyle name="已瀏覽過的超連結" xfId="2594" builtinId="9" hidden="1"/>
    <cellStyle name="已瀏覽過的超連結" xfId="2596" builtinId="9" hidden="1"/>
    <cellStyle name="已瀏覽過的超連結" xfId="2598" builtinId="9" hidden="1"/>
    <cellStyle name="已瀏覽過的超連結" xfId="2600" builtinId="9" hidden="1"/>
    <cellStyle name="已瀏覽過的超連結" xfId="2602" builtinId="9" hidden="1"/>
    <cellStyle name="已瀏覽過的超連結" xfId="2604" builtinId="9" hidden="1"/>
    <cellStyle name="已瀏覽過的超連結" xfId="2606" builtinId="9" hidden="1"/>
    <cellStyle name="已瀏覽過的超連結" xfId="2608" builtinId="9" hidden="1"/>
    <cellStyle name="已瀏覽過的超連結" xfId="2610" builtinId="9" hidden="1"/>
    <cellStyle name="已瀏覽過的超連結" xfId="2612" builtinId="9" hidden="1"/>
    <cellStyle name="已瀏覽過的超連結" xfId="2614" builtinId="9" hidden="1"/>
    <cellStyle name="已瀏覽過的超連結" xfId="2616" builtinId="9" hidden="1"/>
    <cellStyle name="已瀏覽過的超連結" xfId="2618" builtinId="9" hidden="1"/>
    <cellStyle name="已瀏覽過的超連結" xfId="2620" builtinId="9" hidden="1"/>
    <cellStyle name="已瀏覽過的超連結" xfId="2622" builtinId="9" hidden="1"/>
    <cellStyle name="已瀏覽過的超連結" xfId="2624" builtinId="9" hidden="1"/>
    <cellStyle name="已瀏覽過的超連結" xfId="2626" builtinId="9" hidden="1"/>
    <cellStyle name="已瀏覽過的超連結" xfId="2628" builtinId="9" hidden="1"/>
    <cellStyle name="已瀏覽過的超連結" xfId="2630" builtinId="9" hidden="1"/>
    <cellStyle name="已瀏覽過的超連結" xfId="2632" builtinId="9" hidden="1"/>
    <cellStyle name="已瀏覽過的超連結" xfId="2634" builtinId="9" hidden="1"/>
    <cellStyle name="已瀏覽過的超連結" xfId="2636" builtinId="9" hidden="1"/>
    <cellStyle name="已瀏覽過的超連結" xfId="2638" builtinId="9" hidden="1"/>
    <cellStyle name="已瀏覽過的超連結" xfId="2640" builtinId="9" hidden="1"/>
    <cellStyle name="已瀏覽過的超連結" xfId="2642" builtinId="9" hidden="1"/>
    <cellStyle name="已瀏覽過的超連結" xfId="2644" builtinId="9" hidden="1"/>
    <cellStyle name="已瀏覽過的超連結" xfId="2646" builtinId="9" hidden="1"/>
    <cellStyle name="已瀏覽過的超連結" xfId="2648" builtinId="9" hidden="1"/>
    <cellStyle name="已瀏覽過的超連結" xfId="2650" builtinId="9" hidden="1"/>
    <cellStyle name="已瀏覽過的超連結" xfId="2652" builtinId="9" hidden="1"/>
    <cellStyle name="已瀏覽過的超連結" xfId="2654" builtinId="9" hidden="1"/>
    <cellStyle name="已瀏覽過的超連結" xfId="2656" builtinId="9" hidden="1"/>
    <cellStyle name="已瀏覽過的超連結" xfId="2658" builtinId="9" hidden="1"/>
    <cellStyle name="已瀏覽過的超連結" xfId="2660" builtinId="9" hidden="1"/>
    <cellStyle name="已瀏覽過的超連結" xfId="2662" builtinId="9" hidden="1"/>
    <cellStyle name="已瀏覽過的超連結" xfId="2664" builtinId="9" hidden="1"/>
    <cellStyle name="已瀏覽過的超連結" xfId="2666" builtinId="9" hidden="1"/>
    <cellStyle name="已瀏覽過的超連結" xfId="2668" builtinId="9" hidden="1"/>
    <cellStyle name="已瀏覽過的超連結" xfId="2670" builtinId="9" hidden="1"/>
    <cellStyle name="已瀏覽過的超連結" xfId="2672" builtinId="9" hidden="1"/>
    <cellStyle name="已瀏覽過的超連結" xfId="2674" builtinId="9" hidden="1"/>
    <cellStyle name="已瀏覽過的超連結" xfId="2676" builtinId="9" hidden="1"/>
    <cellStyle name="已瀏覽過的超連結" xfId="2678" builtinId="9" hidden="1"/>
    <cellStyle name="已瀏覽過的超連結" xfId="2680" builtinId="9" hidden="1"/>
    <cellStyle name="已瀏覽過的超連結" xfId="2682" builtinId="9" hidden="1"/>
    <cellStyle name="已瀏覽過的超連結" xfId="2684" builtinId="9" hidden="1"/>
    <cellStyle name="已瀏覽過的超連結" xfId="2686" builtinId="9" hidden="1"/>
    <cellStyle name="已瀏覽過的超連結" xfId="2688" builtinId="9" hidden="1"/>
    <cellStyle name="已瀏覽過的超連結" xfId="2690" builtinId="9" hidden="1"/>
    <cellStyle name="已瀏覽過的超連結" xfId="2692" builtinId="9" hidden="1"/>
    <cellStyle name="已瀏覽過的超連結" xfId="2694" builtinId="9" hidden="1"/>
    <cellStyle name="已瀏覽過的超連結" xfId="2696" builtinId="9" hidden="1"/>
    <cellStyle name="已瀏覽過的超連結" xfId="2698" builtinId="9" hidden="1"/>
    <cellStyle name="已瀏覽過的超連結" xfId="2700" builtinId="9" hidden="1"/>
    <cellStyle name="已瀏覽過的超連結" xfId="2702" builtinId="9" hidden="1"/>
    <cellStyle name="已瀏覽過的超連結" xfId="2704" builtinId="9" hidden="1"/>
    <cellStyle name="已瀏覽過的超連結" xfId="2706" builtinId="9" hidden="1"/>
    <cellStyle name="已瀏覽過的超連結" xfId="2708" builtinId="9" hidden="1"/>
    <cellStyle name="已瀏覽過的超連結" xfId="2710" builtinId="9" hidden="1"/>
    <cellStyle name="已瀏覽過的超連結" xfId="2712" builtinId="9" hidden="1"/>
    <cellStyle name="已瀏覽過的超連結" xfId="2714" builtinId="9" hidden="1"/>
    <cellStyle name="已瀏覽過的超連結" xfId="2716" builtinId="9" hidden="1"/>
    <cellStyle name="已瀏覽過的超連結" xfId="2718" builtinId="9" hidden="1"/>
    <cellStyle name="已瀏覽過的超連結" xfId="2720" builtinId="9" hidden="1"/>
    <cellStyle name="已瀏覽過的超連結" xfId="2722" builtinId="9" hidden="1"/>
    <cellStyle name="已瀏覽過的超連結" xfId="2724" builtinId="9" hidden="1"/>
    <cellStyle name="已瀏覽過的超連結" xfId="2726" builtinId="9" hidden="1"/>
    <cellStyle name="已瀏覽過的超連結" xfId="2728" builtinId="9" hidden="1"/>
    <cellStyle name="已瀏覽過的超連結" xfId="2730" builtinId="9" hidden="1"/>
    <cellStyle name="已瀏覽過的超連結" xfId="2732" builtinId="9" hidden="1"/>
    <cellStyle name="已瀏覽過的超連結" xfId="2734" builtinId="9" hidden="1"/>
    <cellStyle name="已瀏覽過的超連結" xfId="2736" builtinId="9" hidden="1"/>
    <cellStyle name="已瀏覽過的超連結" xfId="2738" builtinId="9" hidden="1"/>
    <cellStyle name="已瀏覽過的超連結" xfId="2740" builtinId="9" hidden="1"/>
    <cellStyle name="已瀏覽過的超連結" xfId="2742" builtinId="9" hidden="1"/>
    <cellStyle name="已瀏覽過的超連結" xfId="2744" builtinId="9" hidden="1"/>
    <cellStyle name="已瀏覽過的超連結" xfId="2746" builtinId="9" hidden="1"/>
    <cellStyle name="已瀏覽過的超連結" xfId="2748" builtinId="9" hidden="1"/>
    <cellStyle name="已瀏覽過的超連結" xfId="2750" builtinId="9" hidden="1"/>
    <cellStyle name="已瀏覽過的超連結" xfId="2752" builtinId="9" hidden="1"/>
    <cellStyle name="已瀏覽過的超連結" xfId="2754" builtinId="9" hidden="1"/>
    <cellStyle name="已瀏覽過的超連結" xfId="2756" builtinId="9" hidden="1"/>
    <cellStyle name="已瀏覽過的超連結" xfId="2758" builtinId="9" hidden="1"/>
    <cellStyle name="已瀏覽過的超連結" xfId="2760" builtinId="9" hidden="1"/>
    <cellStyle name="已瀏覽過的超連結" xfId="2762" builtinId="9" hidden="1"/>
    <cellStyle name="已瀏覽過的超連結" xfId="2764" builtinId="9" hidden="1"/>
    <cellStyle name="已瀏覽過的超連結" xfId="2766" builtinId="9" hidden="1"/>
    <cellStyle name="已瀏覽過的超連結" xfId="2768" builtinId="9" hidden="1"/>
    <cellStyle name="已瀏覽過的超連結" xfId="2770" builtinId="9" hidden="1"/>
    <cellStyle name="已瀏覽過的超連結" xfId="2772" builtinId="9" hidden="1"/>
    <cellStyle name="已瀏覽過的超連結" xfId="2774" builtinId="9" hidden="1"/>
    <cellStyle name="已瀏覽過的超連結" xfId="2776" builtinId="9" hidden="1"/>
    <cellStyle name="已瀏覽過的超連結" xfId="2778" builtinId="9" hidden="1"/>
    <cellStyle name="已瀏覽過的超連結" xfId="2780" builtinId="9" hidden="1"/>
    <cellStyle name="已瀏覽過的超連結" xfId="2782" builtinId="9" hidden="1"/>
    <cellStyle name="已瀏覽過的超連結" xfId="2784" builtinId="9" hidden="1"/>
    <cellStyle name="已瀏覽過的超連結" xfId="2786" builtinId="9" hidden="1"/>
    <cellStyle name="已瀏覽過的超連結" xfId="2788" builtinId="9" hidden="1"/>
    <cellStyle name="已瀏覽過的超連結" xfId="2790" builtinId="9" hidden="1"/>
    <cellStyle name="已瀏覽過的超連結" xfId="2792" builtinId="9" hidden="1"/>
    <cellStyle name="已瀏覽過的超連結" xfId="2794" builtinId="9" hidden="1"/>
    <cellStyle name="已瀏覽過的超連結" xfId="2796" builtinId="9" hidden="1"/>
    <cellStyle name="已瀏覽過的超連結" xfId="2798" builtinId="9" hidden="1"/>
    <cellStyle name="已瀏覽過的超連結" xfId="2800" builtinId="9" hidden="1"/>
    <cellStyle name="已瀏覽過的超連結" xfId="2802" builtinId="9" hidden="1"/>
    <cellStyle name="已瀏覽過的超連結" xfId="2804" builtinId="9" hidden="1"/>
    <cellStyle name="已瀏覽過的超連結" xfId="2806" builtinId="9" hidden="1"/>
    <cellStyle name="已瀏覽過的超連結" xfId="2808" builtinId="9" hidden="1"/>
    <cellStyle name="已瀏覽過的超連結" xfId="2810" builtinId="9" hidden="1"/>
    <cellStyle name="已瀏覽過的超連結" xfId="2812" builtinId="9" hidden="1"/>
    <cellStyle name="已瀏覽過的超連結" xfId="2814" builtinId="9" hidden="1"/>
    <cellStyle name="已瀏覽過的超連結" xfId="2816" builtinId="9" hidden="1"/>
    <cellStyle name="已瀏覽過的超連結" xfId="2818" builtinId="9" hidden="1"/>
    <cellStyle name="已瀏覽過的超連結" xfId="2820" builtinId="9" hidden="1"/>
    <cellStyle name="已瀏覽過的超連結" xfId="2822" builtinId="9" hidden="1"/>
    <cellStyle name="已瀏覽過的超連結" xfId="2824" builtinId="9" hidden="1"/>
    <cellStyle name="已瀏覽過的超連結" xfId="2826" builtinId="9" hidden="1"/>
    <cellStyle name="已瀏覽過的超連結" xfId="2828" builtinId="9" hidden="1"/>
    <cellStyle name="已瀏覽過的超連結" xfId="2830" builtinId="9" hidden="1"/>
    <cellStyle name="已瀏覽過的超連結" xfId="2832" builtinId="9" hidden="1"/>
    <cellStyle name="已瀏覽過的超連結" xfId="2834" builtinId="9" hidden="1"/>
    <cellStyle name="已瀏覽過的超連結" xfId="2836" builtinId="9" hidden="1"/>
    <cellStyle name="已瀏覽過的超連結" xfId="2838" builtinId="9" hidden="1"/>
    <cellStyle name="已瀏覽過的超連結" xfId="2840" builtinId="9" hidden="1"/>
    <cellStyle name="已瀏覽過的超連結" xfId="2842" builtinId="9" hidden="1"/>
    <cellStyle name="已瀏覽過的超連結" xfId="2844" builtinId="9" hidden="1"/>
    <cellStyle name="已瀏覽過的超連結" xfId="2846" builtinId="9" hidden="1"/>
    <cellStyle name="已瀏覽過的超連結" xfId="2848" builtinId="9" hidden="1"/>
    <cellStyle name="已瀏覽過的超連結" xfId="2850" builtinId="9" hidden="1"/>
    <cellStyle name="已瀏覽過的超連結" xfId="2852" builtinId="9" hidden="1"/>
    <cellStyle name="已瀏覽過的超連結" xfId="2854" builtinId="9" hidden="1"/>
    <cellStyle name="已瀏覽過的超連結" xfId="2856" builtinId="9" hidden="1"/>
    <cellStyle name="已瀏覽過的超連結" xfId="2858" builtinId="9" hidden="1"/>
    <cellStyle name="已瀏覽過的超連結" xfId="2860" builtinId="9" hidden="1"/>
    <cellStyle name="已瀏覽過的超連結" xfId="2862" builtinId="9" hidden="1"/>
    <cellStyle name="已瀏覽過的超連結" xfId="2864" builtinId="9" hidden="1"/>
    <cellStyle name="已瀏覽過的超連結" xfId="2866" builtinId="9" hidden="1"/>
    <cellStyle name="已瀏覽過的超連結" xfId="2868" builtinId="9" hidden="1"/>
    <cellStyle name="已瀏覽過的超連結" xfId="2870" builtinId="9" hidden="1"/>
    <cellStyle name="已瀏覽過的超連結" xfId="2872" builtinId="9" hidden="1"/>
    <cellStyle name="已瀏覽過的超連結" xfId="2874" builtinId="9" hidden="1"/>
    <cellStyle name="已瀏覽過的超連結" xfId="2876" builtinId="9" hidden="1"/>
    <cellStyle name="已瀏覽過的超連結" xfId="2878" builtinId="9" hidden="1"/>
    <cellStyle name="已瀏覽過的超連結" xfId="2880" builtinId="9" hidden="1"/>
    <cellStyle name="已瀏覽過的超連結" xfId="2882" builtinId="9" hidden="1"/>
    <cellStyle name="已瀏覽過的超連結" xfId="2884" builtinId="9" hidden="1"/>
    <cellStyle name="已瀏覽過的超連結" xfId="2886" builtinId="9" hidden="1"/>
    <cellStyle name="已瀏覽過的超連結" xfId="2888" builtinId="9" hidden="1"/>
    <cellStyle name="已瀏覽過的超連結" xfId="2890" builtinId="9" hidden="1"/>
    <cellStyle name="已瀏覽過的超連結" xfId="2892" builtinId="9" hidden="1"/>
    <cellStyle name="已瀏覽過的超連結" xfId="2894" builtinId="9" hidden="1"/>
    <cellStyle name="已瀏覽過的超連結" xfId="2896" builtinId="9" hidden="1"/>
    <cellStyle name="已瀏覽過的超連結" xfId="2898" builtinId="9" hidden="1"/>
    <cellStyle name="已瀏覽過的超連結" xfId="2900" builtinId="9" hidden="1"/>
    <cellStyle name="已瀏覽過的超連結" xfId="2902" builtinId="9" hidden="1"/>
    <cellStyle name="已瀏覽過的超連結" xfId="2904" builtinId="9" hidden="1"/>
    <cellStyle name="已瀏覽過的超連結" xfId="2906" builtinId="9" hidden="1"/>
    <cellStyle name="已瀏覽過的超連結" xfId="2908" builtinId="9" hidden="1"/>
    <cellStyle name="已瀏覽過的超連結" xfId="2910" builtinId="9" hidden="1"/>
    <cellStyle name="已瀏覽過的超連結" xfId="2912" builtinId="9" hidden="1"/>
    <cellStyle name="已瀏覽過的超連結" xfId="2914" builtinId="9" hidden="1"/>
    <cellStyle name="已瀏覽過的超連結" xfId="2916" builtinId="9" hidden="1"/>
    <cellStyle name="已瀏覽過的超連結" xfId="2918" builtinId="9" hidden="1"/>
    <cellStyle name="已瀏覽過的超連結" xfId="2920" builtinId="9" hidden="1"/>
    <cellStyle name="已瀏覽過的超連結" xfId="2922" builtinId="9" hidden="1"/>
    <cellStyle name="已瀏覽過的超連結" xfId="2924" builtinId="9" hidden="1"/>
    <cellStyle name="已瀏覽過的超連結" xfId="2926" builtinId="9" hidden="1"/>
    <cellStyle name="已瀏覽過的超連結" xfId="2928" builtinId="9" hidden="1"/>
    <cellStyle name="已瀏覽過的超連結" xfId="2930" builtinId="9" hidden="1"/>
    <cellStyle name="已瀏覽過的超連結" xfId="2932" builtinId="9" hidden="1"/>
    <cellStyle name="已瀏覽過的超連結" xfId="2934" builtinId="9" hidden="1"/>
    <cellStyle name="已瀏覽過的超連結" xfId="2936" builtinId="9" hidden="1"/>
    <cellStyle name="已瀏覽過的超連結" xfId="2938" builtinId="9" hidden="1"/>
    <cellStyle name="已瀏覽過的超連結" xfId="2940" builtinId="9" hidden="1"/>
    <cellStyle name="已瀏覽過的超連結" xfId="2942" builtinId="9" hidden="1"/>
    <cellStyle name="已瀏覽過的超連結" xfId="2944" builtinId="9" hidden="1"/>
    <cellStyle name="已瀏覽過的超連結" xfId="2946" builtinId="9" hidden="1"/>
    <cellStyle name="已瀏覽過的超連結" xfId="2948" builtinId="9" hidden="1"/>
    <cellStyle name="已瀏覽過的超連結" xfId="2950" builtinId="9" hidden="1"/>
    <cellStyle name="已瀏覽過的超連結" xfId="2952" builtinId="9" hidden="1"/>
    <cellStyle name="已瀏覽過的超連結" xfId="2954" builtinId="9" hidden="1"/>
    <cellStyle name="已瀏覽過的超連結" xfId="2956" builtinId="9" hidden="1"/>
    <cellStyle name="已瀏覽過的超連結" xfId="2958" builtinId="9" hidden="1"/>
    <cellStyle name="已瀏覽過的超連結" xfId="2960" builtinId="9" hidden="1"/>
    <cellStyle name="已瀏覽過的超連結" xfId="2962" builtinId="9" hidden="1"/>
    <cellStyle name="已瀏覽過的超連結" xfId="2964" builtinId="9" hidden="1"/>
    <cellStyle name="已瀏覽過的超連結" xfId="2966" builtinId="9" hidden="1"/>
    <cellStyle name="已瀏覽過的超連結" xfId="2968" builtinId="9" hidden="1"/>
    <cellStyle name="已瀏覽過的超連結" xfId="2970" builtinId="9" hidden="1"/>
    <cellStyle name="已瀏覽過的超連結" xfId="2972" builtinId="9" hidden="1"/>
    <cellStyle name="已瀏覽過的超連結" xfId="2974" builtinId="9" hidden="1"/>
    <cellStyle name="已瀏覽過的超連結" xfId="2976" builtinId="9" hidden="1"/>
    <cellStyle name="已瀏覽過的超連結" xfId="2978" builtinId="9" hidden="1"/>
    <cellStyle name="已瀏覽過的超連結" xfId="2980" builtinId="9" hidden="1"/>
    <cellStyle name="已瀏覽過的超連結" xfId="2982" builtinId="9" hidden="1"/>
    <cellStyle name="已瀏覽過的超連結" xfId="2984" builtinId="9" hidden="1"/>
    <cellStyle name="已瀏覽過的超連結" xfId="2986" builtinId="9" hidden="1"/>
    <cellStyle name="已瀏覽過的超連結" xfId="2988" builtinId="9" hidden="1"/>
    <cellStyle name="已瀏覽過的超連結" xfId="2990" builtinId="9" hidden="1"/>
    <cellStyle name="已瀏覽過的超連結" xfId="2992" builtinId="9" hidden="1"/>
    <cellStyle name="已瀏覽過的超連結" xfId="2994" builtinId="9" hidden="1"/>
    <cellStyle name="已瀏覽過的超連結" xfId="2996" builtinId="9" hidden="1"/>
    <cellStyle name="已瀏覽過的超連結" xfId="2998" builtinId="9" hidden="1"/>
    <cellStyle name="已瀏覽過的超連結" xfId="3000" builtinId="9" hidden="1"/>
    <cellStyle name="已瀏覽過的超連結" xfId="3002" builtinId="9" hidden="1"/>
    <cellStyle name="已瀏覽過的超連結" xfId="3004" builtinId="9" hidden="1"/>
    <cellStyle name="已瀏覽過的超連結" xfId="3006" builtinId="9" hidden="1"/>
    <cellStyle name="已瀏覽過的超連結" xfId="3008" builtinId="9" hidden="1"/>
    <cellStyle name="已瀏覽過的超連結" xfId="3010" builtinId="9" hidden="1"/>
    <cellStyle name="已瀏覽過的超連結" xfId="3012" builtinId="9" hidden="1"/>
    <cellStyle name="已瀏覽過的超連結" xfId="3014" builtinId="9" hidden="1"/>
    <cellStyle name="已瀏覽過的超連結" xfId="3016" builtinId="9" hidden="1"/>
    <cellStyle name="已瀏覽過的超連結" xfId="3018" builtinId="9" hidden="1"/>
    <cellStyle name="已瀏覽過的超連結" xfId="3020" builtinId="9" hidden="1"/>
    <cellStyle name="已瀏覽過的超連結" xfId="3022" builtinId="9" hidden="1"/>
    <cellStyle name="已瀏覽過的超連結" xfId="3024" builtinId="9" hidden="1"/>
    <cellStyle name="已瀏覽過的超連結" xfId="3026" builtinId="9" hidden="1"/>
    <cellStyle name="已瀏覽過的超連結" xfId="3028" builtinId="9" hidden="1"/>
    <cellStyle name="已瀏覽過的超連結" xfId="3030" builtinId="9" hidden="1"/>
    <cellStyle name="已瀏覽過的超連結" xfId="3032" builtinId="9" hidden="1"/>
    <cellStyle name="已瀏覽過的超連結" xfId="3034" builtinId="9" hidden="1"/>
    <cellStyle name="已瀏覽過的超連結" xfId="3036" builtinId="9" hidden="1"/>
    <cellStyle name="已瀏覽過的超連結" xfId="3038" builtinId="9" hidden="1"/>
    <cellStyle name="已瀏覽過的超連結" xfId="3040" builtinId="9" hidden="1"/>
    <cellStyle name="已瀏覽過的超連結" xfId="3042" builtinId="9" hidden="1"/>
    <cellStyle name="已瀏覽過的超連結" xfId="3044" builtinId="9" hidden="1"/>
    <cellStyle name="已瀏覽過的超連結" xfId="3046" builtinId="9" hidden="1"/>
    <cellStyle name="已瀏覽過的超連結" xfId="3048" builtinId="9" hidden="1"/>
    <cellStyle name="已瀏覽過的超連結" xfId="3050" builtinId="9" hidden="1"/>
    <cellStyle name="已瀏覽過的超連結" xfId="3052" builtinId="9" hidden="1"/>
    <cellStyle name="已瀏覽過的超連結" xfId="3054" builtinId="9" hidden="1"/>
    <cellStyle name="已瀏覽過的超連結" xfId="3056" builtinId="9" hidden="1"/>
    <cellStyle name="已瀏覽過的超連結" xfId="3058" builtinId="9" hidden="1"/>
    <cellStyle name="已瀏覽過的超連結" xfId="3060" builtinId="9" hidden="1"/>
    <cellStyle name="已瀏覽過的超連結" xfId="3062" builtinId="9" hidden="1"/>
    <cellStyle name="已瀏覽過的超連結" xfId="3064" builtinId="9" hidden="1"/>
    <cellStyle name="已瀏覽過的超連結" xfId="3066" builtinId="9" hidden="1"/>
    <cellStyle name="已瀏覽過的超連結" xfId="3068" builtinId="9" hidden="1"/>
    <cellStyle name="已瀏覽過的超連結" xfId="3070" builtinId="9" hidden="1"/>
    <cellStyle name="已瀏覽過的超連結" xfId="3072" builtinId="9" hidden="1"/>
    <cellStyle name="已瀏覽過的超連結" xfId="3074" builtinId="9" hidden="1"/>
    <cellStyle name="已瀏覽過的超連結" xfId="3076" builtinId="9" hidden="1"/>
    <cellStyle name="已瀏覽過的超連結" xfId="3078" builtinId="9" hidden="1"/>
    <cellStyle name="已瀏覽過的超連結" xfId="3080" builtinId="9" hidden="1"/>
    <cellStyle name="已瀏覽過的超連結" xfId="3082" builtinId="9" hidden="1"/>
    <cellStyle name="已瀏覽過的超連結" xfId="3084" builtinId="9" hidden="1"/>
    <cellStyle name="已瀏覽過的超連結" xfId="3086" builtinId="9" hidden="1"/>
    <cellStyle name="已瀏覽過的超連結" xfId="3088" builtinId="9" hidden="1"/>
    <cellStyle name="已瀏覽過的超連結" xfId="3090" builtinId="9" hidden="1"/>
    <cellStyle name="已瀏覽過的超連結" xfId="3092" builtinId="9" hidden="1"/>
    <cellStyle name="已瀏覽過的超連結" xfId="3094" builtinId="9" hidden="1"/>
    <cellStyle name="已瀏覽過的超連結" xfId="3096" builtinId="9" hidden="1"/>
    <cellStyle name="已瀏覽過的超連結" xfId="3098" builtinId="9" hidden="1"/>
    <cellStyle name="已瀏覽過的超連結" xfId="3100" builtinId="9" hidden="1"/>
    <cellStyle name="已瀏覽過的超連結" xfId="3102" builtinId="9" hidden="1"/>
    <cellStyle name="已瀏覽過的超連結" xfId="3104" builtinId="9" hidden="1"/>
    <cellStyle name="已瀏覽過的超連結" xfId="3106" builtinId="9" hidden="1"/>
    <cellStyle name="已瀏覽過的超連結" xfId="3108" builtinId="9" hidden="1"/>
    <cellStyle name="已瀏覽過的超連結" xfId="3110" builtinId="9" hidden="1"/>
    <cellStyle name="已瀏覽過的超連結" xfId="3112" builtinId="9" hidden="1"/>
    <cellStyle name="已瀏覽過的超連結" xfId="3114" builtinId="9" hidden="1"/>
    <cellStyle name="已瀏覽過的超連結" xfId="3116" builtinId="9" hidden="1"/>
    <cellStyle name="已瀏覽過的超連結" xfId="3118" builtinId="9" hidden="1"/>
    <cellStyle name="已瀏覽過的超連結" xfId="3120" builtinId="9" hidden="1"/>
    <cellStyle name="已瀏覽過的超連結" xfId="3122" builtinId="9" hidden="1"/>
    <cellStyle name="已瀏覽過的超連結" xfId="3124" builtinId="9" hidden="1"/>
    <cellStyle name="已瀏覽過的超連結" xfId="3126" builtinId="9" hidden="1"/>
    <cellStyle name="已瀏覽過的超連結" xfId="3128" builtinId="9" hidden="1"/>
    <cellStyle name="已瀏覽過的超連結" xfId="3130" builtinId="9" hidden="1"/>
    <cellStyle name="已瀏覽過的超連結" xfId="3132" builtinId="9" hidden="1"/>
    <cellStyle name="已瀏覽過的超連結" xfId="3134" builtinId="9" hidden="1"/>
    <cellStyle name="已瀏覽過的超連結" xfId="3136" builtinId="9" hidden="1"/>
    <cellStyle name="已瀏覽過的超連結" xfId="3138" builtinId="9" hidden="1"/>
    <cellStyle name="已瀏覽過的超連結" xfId="3140" builtinId="9" hidden="1"/>
    <cellStyle name="已瀏覽過的超連結" xfId="3142" builtinId="9" hidden="1"/>
    <cellStyle name="已瀏覽過的超連結" xfId="3144" builtinId="9" hidden="1"/>
    <cellStyle name="已瀏覽過的超連結" xfId="3146" builtinId="9" hidden="1"/>
    <cellStyle name="已瀏覽過的超連結" xfId="3148" builtinId="9" hidden="1"/>
    <cellStyle name="已瀏覽過的超連結" xfId="3150" builtinId="9" hidden="1"/>
    <cellStyle name="已瀏覽過的超連結" xfId="3152" builtinId="9" hidden="1"/>
    <cellStyle name="已瀏覽過的超連結" xfId="3154" builtinId="9" hidden="1"/>
    <cellStyle name="已瀏覽過的超連結" xfId="3156" builtinId="9" hidden="1"/>
    <cellStyle name="已瀏覽過的超連結" xfId="3158" builtinId="9" hidden="1"/>
    <cellStyle name="已瀏覽過的超連結" xfId="3160" builtinId="9" hidden="1"/>
    <cellStyle name="已瀏覽過的超連結" xfId="3162" builtinId="9" hidden="1"/>
    <cellStyle name="已瀏覽過的超連結" xfId="3164" builtinId="9" hidden="1"/>
    <cellStyle name="已瀏覽過的超連結" xfId="3166" builtinId="9" hidden="1"/>
    <cellStyle name="已瀏覽過的超連結" xfId="3168" builtinId="9" hidden="1"/>
    <cellStyle name="已瀏覽過的超連結" xfId="3170" builtinId="9" hidden="1"/>
    <cellStyle name="已瀏覽過的超連結" xfId="3172" builtinId="9" hidden="1"/>
    <cellStyle name="已瀏覽過的超連結" xfId="3174" builtinId="9" hidden="1"/>
    <cellStyle name="已瀏覽過的超連結" xfId="3176" builtinId="9" hidden="1"/>
    <cellStyle name="已瀏覽過的超連結" xfId="3178" builtinId="9" hidden="1"/>
    <cellStyle name="已瀏覽過的超連結" xfId="3180" builtinId="9" hidden="1"/>
    <cellStyle name="已瀏覽過的超連結" xfId="3182" builtinId="9" hidden="1"/>
    <cellStyle name="已瀏覽過的超連結" xfId="3184" builtinId="9" hidden="1"/>
    <cellStyle name="已瀏覽過的超連結" xfId="3186" builtinId="9" hidden="1"/>
    <cellStyle name="已瀏覽過的超連結" xfId="3188" builtinId="9" hidden="1"/>
    <cellStyle name="已瀏覽過的超連結" xfId="3190" builtinId="9" hidden="1"/>
    <cellStyle name="已瀏覽過的超連結" xfId="3192" builtinId="9" hidden="1"/>
    <cellStyle name="已瀏覽過的超連結" xfId="3194" builtinId="9" hidden="1"/>
    <cellStyle name="已瀏覽過的超連結" xfId="3196" builtinId="9" hidden="1"/>
    <cellStyle name="已瀏覽過的超連結" xfId="3198" builtinId="9" hidden="1"/>
    <cellStyle name="已瀏覽過的超連結" xfId="3200" builtinId="9" hidden="1"/>
    <cellStyle name="已瀏覽過的超連結" xfId="3202" builtinId="9" hidden="1"/>
    <cellStyle name="已瀏覽過的超連結" xfId="3204" builtinId="9" hidden="1"/>
    <cellStyle name="已瀏覽過的超連結" xfId="3206" builtinId="9" hidden="1"/>
    <cellStyle name="已瀏覽過的超連結" xfId="3208" builtinId="9" hidden="1"/>
    <cellStyle name="已瀏覽過的超連結" xfId="3210" builtinId="9" hidden="1"/>
    <cellStyle name="已瀏覽過的超連結" xfId="3212" builtinId="9" hidden="1"/>
    <cellStyle name="已瀏覽過的超連結" xfId="3214" builtinId="9" hidden="1"/>
    <cellStyle name="已瀏覽過的超連結" xfId="3216" builtinId="9" hidden="1"/>
    <cellStyle name="已瀏覽過的超連結" xfId="3218" builtinId="9" hidden="1"/>
    <cellStyle name="已瀏覽過的超連結" xfId="3220" builtinId="9" hidden="1"/>
    <cellStyle name="已瀏覽過的超連結" xfId="3222" builtinId="9" hidden="1"/>
    <cellStyle name="已瀏覽過的超連結" xfId="3224" builtinId="9" hidden="1"/>
    <cellStyle name="已瀏覽過的超連結" xfId="3226" builtinId="9" hidden="1"/>
    <cellStyle name="已瀏覽過的超連結" xfId="3228" builtinId="9" hidden="1"/>
    <cellStyle name="已瀏覽過的超連結" xfId="3230" builtinId="9" hidden="1"/>
    <cellStyle name="已瀏覽過的超連結" xfId="3232" builtinId="9" hidden="1"/>
    <cellStyle name="已瀏覽過的超連結" xfId="3234" builtinId="9" hidden="1"/>
    <cellStyle name="已瀏覽過的超連結" xfId="3236" builtinId="9" hidden="1"/>
    <cellStyle name="已瀏覽過的超連結" xfId="3238" builtinId="9" hidden="1"/>
    <cellStyle name="已瀏覽過的超連結" xfId="3240" builtinId="9" hidden="1"/>
    <cellStyle name="已瀏覽過的超連結" xfId="3242" builtinId="9" hidden="1"/>
    <cellStyle name="已瀏覽過的超連結" xfId="3244" builtinId="9" hidden="1"/>
    <cellStyle name="已瀏覽過的超連結" xfId="3246" builtinId="9" hidden="1"/>
    <cellStyle name="已瀏覽過的超連結" xfId="3248" builtinId="9" hidden="1"/>
    <cellStyle name="已瀏覽過的超連結" xfId="3250" builtinId="9" hidden="1"/>
    <cellStyle name="已瀏覽過的超連結" xfId="3252" builtinId="9" hidden="1"/>
    <cellStyle name="已瀏覽過的超連結" xfId="3254" builtinId="9" hidden="1"/>
    <cellStyle name="已瀏覽過的超連結" xfId="3256" builtinId="9" hidden="1"/>
    <cellStyle name="已瀏覽過的超連結" xfId="3258" builtinId="9" hidden="1"/>
    <cellStyle name="已瀏覽過的超連結" xfId="3260" builtinId="9" hidden="1"/>
    <cellStyle name="已瀏覽過的超連結" xfId="3262" builtinId="9" hidden="1"/>
    <cellStyle name="已瀏覽過的超連結" xfId="3264" builtinId="9" hidden="1"/>
    <cellStyle name="已瀏覽過的超連結" xfId="3266" builtinId="9" hidden="1"/>
    <cellStyle name="已瀏覽過的超連結" xfId="3268" builtinId="9" hidden="1"/>
    <cellStyle name="已瀏覽過的超連結" xfId="3270" builtinId="9" hidden="1"/>
    <cellStyle name="已瀏覽過的超連結" xfId="3272" builtinId="9" hidden="1"/>
    <cellStyle name="已瀏覽過的超連結" xfId="3274" builtinId="9" hidden="1"/>
    <cellStyle name="已瀏覽過的超連結" xfId="3276" builtinId="9" hidden="1"/>
    <cellStyle name="已瀏覽過的超連結" xfId="3278" builtinId="9" hidden="1"/>
    <cellStyle name="已瀏覽過的超連結" xfId="3280" builtinId="9" hidden="1"/>
    <cellStyle name="已瀏覽過的超連結" xfId="3282" builtinId="9" hidden="1"/>
    <cellStyle name="已瀏覽過的超連結" xfId="3284" builtinId="9" hidden="1"/>
    <cellStyle name="已瀏覽過的超連結" xfId="3286" builtinId="9" hidden="1"/>
    <cellStyle name="已瀏覽過的超連結" xfId="3288" builtinId="9" hidden="1"/>
    <cellStyle name="已瀏覽過的超連結" xfId="3290" builtinId="9" hidden="1"/>
    <cellStyle name="已瀏覽過的超連結" xfId="3292" builtinId="9" hidden="1"/>
    <cellStyle name="已瀏覽過的超連結" xfId="3294" builtinId="9" hidden="1"/>
    <cellStyle name="已瀏覽過的超連結" xfId="3296" builtinId="9" hidden="1"/>
    <cellStyle name="已瀏覽過的超連結" xfId="3298" builtinId="9" hidden="1"/>
    <cellStyle name="已瀏覽過的超連結" xfId="3300" builtinId="9" hidden="1"/>
    <cellStyle name="已瀏覽過的超連結" xfId="3302" builtinId="9" hidden="1"/>
    <cellStyle name="已瀏覽過的超連結" xfId="3304" builtinId="9" hidden="1"/>
    <cellStyle name="已瀏覽過的超連結" xfId="3306" builtinId="9" hidden="1"/>
    <cellStyle name="已瀏覽過的超連結" xfId="3308" builtinId="9" hidden="1"/>
    <cellStyle name="已瀏覽過的超連結" xfId="3310" builtinId="9" hidden="1"/>
    <cellStyle name="已瀏覽過的超連結" xfId="3312" builtinId="9" hidden="1"/>
    <cellStyle name="已瀏覽過的超連結" xfId="3314" builtinId="9" hidden="1"/>
    <cellStyle name="已瀏覽過的超連結" xfId="3316" builtinId="9" hidden="1"/>
    <cellStyle name="已瀏覽過的超連結" xfId="3318" builtinId="9" hidden="1"/>
    <cellStyle name="已瀏覽過的超連結" xfId="3320" builtinId="9" hidden="1"/>
    <cellStyle name="已瀏覽過的超連結" xfId="3322" builtinId="9" hidden="1"/>
    <cellStyle name="已瀏覽過的超連結" xfId="3324" builtinId="9" hidden="1"/>
    <cellStyle name="已瀏覽過的超連結" xfId="3326" builtinId="9" hidden="1"/>
    <cellStyle name="已瀏覽過的超連結" xfId="3328" builtinId="9" hidden="1"/>
    <cellStyle name="已瀏覽過的超連結" xfId="3330" builtinId="9" hidden="1"/>
    <cellStyle name="已瀏覽過的超連結" xfId="3332" builtinId="9" hidden="1"/>
    <cellStyle name="已瀏覽過的超連結" xfId="3334" builtinId="9" hidden="1"/>
    <cellStyle name="已瀏覽過的超連結" xfId="3336" builtinId="9" hidden="1"/>
    <cellStyle name="已瀏覽過的超連結" xfId="3338" builtinId="9" hidden="1"/>
    <cellStyle name="已瀏覽過的超連結" xfId="3340" builtinId="9" hidden="1"/>
    <cellStyle name="已瀏覽過的超連結" xfId="3342" builtinId="9" hidden="1"/>
    <cellStyle name="已瀏覽過的超連結" xfId="3344" builtinId="9" hidden="1"/>
    <cellStyle name="已瀏覽過的超連結" xfId="3346" builtinId="9" hidden="1"/>
    <cellStyle name="已瀏覽過的超連結" xfId="3348" builtinId="9" hidden="1"/>
    <cellStyle name="已瀏覽過的超連結" xfId="3350" builtinId="9" hidden="1"/>
    <cellStyle name="已瀏覽過的超連結" xfId="3352" builtinId="9" hidden="1"/>
    <cellStyle name="已瀏覽過的超連結" xfId="3354" builtinId="9" hidden="1"/>
    <cellStyle name="已瀏覽過的超連結" xfId="3356" builtinId="9" hidden="1"/>
    <cellStyle name="已瀏覽過的超連結" xfId="3358" builtinId="9" hidden="1"/>
    <cellStyle name="已瀏覽過的超連結" xfId="3360" builtinId="9" hidden="1"/>
    <cellStyle name="已瀏覽過的超連結" xfId="3362" builtinId="9" hidden="1"/>
    <cellStyle name="已瀏覽過的超連結" xfId="3364" builtinId="9" hidden="1"/>
    <cellStyle name="已瀏覽過的超連結" xfId="3366" builtinId="9" hidden="1"/>
    <cellStyle name="已瀏覽過的超連結" xfId="3368" builtinId="9" hidden="1"/>
    <cellStyle name="已瀏覽過的超連結" xfId="3370" builtinId="9" hidden="1"/>
    <cellStyle name="已瀏覽過的超連結" xfId="3372" builtinId="9" hidden="1"/>
    <cellStyle name="已瀏覽過的超連結" xfId="3374" builtinId="9" hidden="1"/>
    <cellStyle name="已瀏覽過的超連結" xfId="3376" builtinId="9" hidden="1"/>
    <cellStyle name="已瀏覽過的超連結" xfId="3378" builtinId="9" hidden="1"/>
    <cellStyle name="已瀏覽過的超連結" xfId="3380" builtinId="9" hidden="1"/>
    <cellStyle name="已瀏覽過的超連結" xfId="3382" builtinId="9" hidden="1"/>
    <cellStyle name="已瀏覽過的超連結" xfId="3384" builtinId="9" hidden="1"/>
    <cellStyle name="已瀏覽過的超連結" xfId="3386" builtinId="9" hidden="1"/>
    <cellStyle name="已瀏覽過的超連結" xfId="3388" builtinId="9" hidden="1"/>
    <cellStyle name="已瀏覽過的超連結" xfId="3390" builtinId="9" hidden="1"/>
    <cellStyle name="已瀏覽過的超連結" xfId="3392" builtinId="9" hidden="1"/>
    <cellStyle name="已瀏覽過的超連結" xfId="3394" builtinId="9" hidden="1"/>
    <cellStyle name="已瀏覽過的超連結" xfId="3396" builtinId="9" hidden="1"/>
    <cellStyle name="已瀏覽過的超連結" xfId="3398" builtinId="9" hidden="1"/>
    <cellStyle name="已瀏覽過的超連結" xfId="3400" builtinId="9" hidden="1"/>
    <cellStyle name="已瀏覽過的超連結" xfId="3402" builtinId="9" hidden="1"/>
    <cellStyle name="已瀏覽過的超連結" xfId="3404" builtinId="9" hidden="1"/>
    <cellStyle name="已瀏覽過的超連結" xfId="3406" builtinId="9" hidden="1"/>
    <cellStyle name="已瀏覽過的超連結" xfId="3408" builtinId="9" hidden="1"/>
    <cellStyle name="已瀏覽過的超連結" xfId="3410" builtinId="9" hidden="1"/>
    <cellStyle name="已瀏覽過的超連結" xfId="3412" builtinId="9" hidden="1"/>
    <cellStyle name="已瀏覽過的超連結" xfId="3414" builtinId="9" hidden="1"/>
    <cellStyle name="已瀏覽過的超連結" xfId="3416" builtinId="9" hidden="1"/>
    <cellStyle name="已瀏覽過的超連結" xfId="3418" builtinId="9" hidden="1"/>
    <cellStyle name="已瀏覽過的超連結" xfId="3420" builtinId="9" hidden="1"/>
    <cellStyle name="已瀏覽過的超連結" xfId="3422" builtinId="9" hidden="1"/>
    <cellStyle name="已瀏覽過的超連結" xfId="3424" builtinId="9" hidden="1"/>
    <cellStyle name="已瀏覽過的超連結" xfId="3426" builtinId="9" hidden="1"/>
    <cellStyle name="已瀏覽過的超連結" xfId="3428" builtinId="9" hidden="1"/>
    <cellStyle name="已瀏覽過的超連結" xfId="3430" builtinId="9" hidden="1"/>
    <cellStyle name="已瀏覽過的超連結" xfId="3432" builtinId="9" hidden="1"/>
    <cellStyle name="已瀏覽過的超連結" xfId="3434" builtinId="9" hidden="1"/>
    <cellStyle name="已瀏覽過的超連結" xfId="3436" builtinId="9" hidden="1"/>
    <cellStyle name="已瀏覽過的超連結" xfId="3438" builtinId="9" hidden="1"/>
    <cellStyle name="已瀏覽過的超連結" xfId="3440" builtinId="9" hidden="1"/>
    <cellStyle name="已瀏覽過的超連結" xfId="3442" builtinId="9" hidden="1"/>
    <cellStyle name="已瀏覽過的超連結" xfId="3444" builtinId="9" hidden="1"/>
    <cellStyle name="已瀏覽過的超連結" xfId="3446" builtinId="9" hidden="1"/>
    <cellStyle name="已瀏覽過的超連結" xfId="3448" builtinId="9" hidden="1"/>
    <cellStyle name="已瀏覽過的超連結" xfId="3450" builtinId="9" hidden="1"/>
    <cellStyle name="已瀏覽過的超連結" xfId="3452" builtinId="9" hidden="1"/>
    <cellStyle name="已瀏覽過的超連結" xfId="3454" builtinId="9" hidden="1"/>
    <cellStyle name="已瀏覽過的超連結" xfId="3456" builtinId="9" hidden="1"/>
    <cellStyle name="已瀏覽過的超連結" xfId="3458" builtinId="9" hidden="1"/>
    <cellStyle name="已瀏覽過的超連結" xfId="3460" builtinId="9" hidden="1"/>
    <cellStyle name="已瀏覽過的超連結" xfId="3462" builtinId="9" hidden="1"/>
    <cellStyle name="已瀏覽過的超連結" xfId="3464" builtinId="9" hidden="1"/>
    <cellStyle name="已瀏覽過的超連結" xfId="3466" builtinId="9" hidden="1"/>
    <cellStyle name="已瀏覽過的超連結" xfId="3468" builtinId="9" hidden="1"/>
    <cellStyle name="已瀏覽過的超連結" xfId="3470" builtinId="9" hidden="1"/>
    <cellStyle name="已瀏覽過的超連結" xfId="3472" builtinId="9" hidden="1"/>
    <cellStyle name="已瀏覽過的超連結" xfId="3474" builtinId="9" hidden="1"/>
    <cellStyle name="已瀏覽過的超連結" xfId="3476" builtinId="9" hidden="1"/>
    <cellStyle name="已瀏覽過的超連結" xfId="3478" builtinId="9" hidden="1"/>
    <cellStyle name="已瀏覽過的超連結" xfId="3480" builtinId="9" hidden="1"/>
    <cellStyle name="已瀏覽過的超連結" xfId="3482" builtinId="9" hidden="1"/>
    <cellStyle name="已瀏覽過的超連結" xfId="3484" builtinId="9" hidden="1"/>
    <cellStyle name="已瀏覽過的超連結" xfId="3486" builtinId="9" hidden="1"/>
    <cellStyle name="已瀏覽過的超連結" xfId="3488" builtinId="9" hidden="1"/>
    <cellStyle name="已瀏覽過的超連結" xfId="3490" builtinId="9" hidden="1"/>
    <cellStyle name="已瀏覽過的超連結" xfId="3492" builtinId="9" hidden="1"/>
    <cellStyle name="已瀏覽過的超連結" xfId="3494" builtinId="9" hidden="1"/>
    <cellStyle name="已瀏覽過的超連結" xfId="3496" builtinId="9" hidden="1"/>
    <cellStyle name="已瀏覽過的超連結" xfId="3498" builtinId="9" hidden="1"/>
    <cellStyle name="已瀏覽過的超連結" xfId="3500" builtinId="9" hidden="1"/>
    <cellStyle name="已瀏覽過的超連結" xfId="3502" builtinId="9" hidden="1"/>
    <cellStyle name="已瀏覽過的超連結" xfId="3504" builtinId="9" hidden="1"/>
    <cellStyle name="已瀏覽過的超連結" xfId="3506" builtinId="9" hidden="1"/>
    <cellStyle name="已瀏覽過的超連結" xfId="3508" builtinId="9" hidden="1"/>
    <cellStyle name="已瀏覽過的超連結" xfId="3510" builtinId="9" hidden="1"/>
    <cellStyle name="已瀏覽過的超連結" xfId="3512" builtinId="9" hidden="1"/>
    <cellStyle name="已瀏覽過的超連結" xfId="3514" builtinId="9" hidden="1"/>
    <cellStyle name="已瀏覽過的超連結" xfId="3516" builtinId="9" hidden="1"/>
    <cellStyle name="已瀏覽過的超連結" xfId="3518" builtinId="9" hidden="1"/>
    <cellStyle name="已瀏覽過的超連結" xfId="3520" builtinId="9" hidden="1"/>
    <cellStyle name="已瀏覽過的超連結" xfId="3522" builtinId="9" hidden="1"/>
    <cellStyle name="已瀏覽過的超連結" xfId="3524" builtinId="9" hidden="1"/>
    <cellStyle name="已瀏覽過的超連結" xfId="3526" builtinId="9" hidden="1"/>
    <cellStyle name="已瀏覽過的超連結" xfId="3528" builtinId="9" hidden="1"/>
    <cellStyle name="已瀏覽過的超連結" xfId="3530" builtinId="9" hidden="1"/>
    <cellStyle name="已瀏覽過的超連結" xfId="3532" builtinId="9" hidden="1"/>
    <cellStyle name="已瀏覽過的超連結" xfId="3534" builtinId="9" hidden="1"/>
    <cellStyle name="已瀏覽過的超連結" xfId="3536" builtinId="9" hidden="1"/>
    <cellStyle name="已瀏覽過的超連結" xfId="3538" builtinId="9" hidden="1"/>
    <cellStyle name="已瀏覽過的超連結" xfId="3540" builtinId="9" hidden="1"/>
    <cellStyle name="已瀏覽過的超連結" xfId="3542" builtinId="9" hidden="1"/>
    <cellStyle name="已瀏覽過的超連結" xfId="3544" builtinId="9" hidden="1"/>
    <cellStyle name="已瀏覽過的超連結" xfId="3546" builtinId="9" hidden="1"/>
    <cellStyle name="已瀏覽過的超連結" xfId="3548" builtinId="9" hidden="1"/>
    <cellStyle name="已瀏覽過的超連結" xfId="3550" builtinId="9" hidden="1"/>
    <cellStyle name="已瀏覽過的超連結" xfId="3552" builtinId="9" hidden="1"/>
    <cellStyle name="已瀏覽過的超連結" xfId="3554" builtinId="9" hidden="1"/>
    <cellStyle name="已瀏覽過的超連結" xfId="3556" builtinId="9" hidden="1"/>
    <cellStyle name="已瀏覽過的超連結" xfId="3558" builtinId="9" hidden="1"/>
    <cellStyle name="已瀏覽過的超連結" xfId="3560" builtinId="9" hidden="1"/>
    <cellStyle name="已瀏覽過的超連結" xfId="3562" builtinId="9" hidden="1"/>
    <cellStyle name="已瀏覽過的超連結" xfId="3564" builtinId="9" hidden="1"/>
    <cellStyle name="已瀏覽過的超連結" xfId="3566" builtinId="9" hidden="1"/>
    <cellStyle name="已瀏覽過的超連結" xfId="3568" builtinId="9" hidden="1"/>
    <cellStyle name="已瀏覽過的超連結" xfId="3570" builtinId="9" hidden="1"/>
    <cellStyle name="已瀏覽過的超連結" xfId="3572" builtinId="9" hidden="1"/>
    <cellStyle name="已瀏覽過的超連結" xfId="3574" builtinId="9" hidden="1"/>
    <cellStyle name="已瀏覽過的超連結" xfId="3576" builtinId="9" hidden="1"/>
    <cellStyle name="已瀏覽過的超連結" xfId="3578" builtinId="9" hidden="1"/>
    <cellStyle name="已瀏覽過的超連結" xfId="3580" builtinId="9" hidden="1"/>
    <cellStyle name="已瀏覽過的超連結" xfId="3582" builtinId="9" hidden="1"/>
    <cellStyle name="已瀏覽過的超連結" xfId="3584" builtinId="9" hidden="1"/>
    <cellStyle name="已瀏覽過的超連結" xfId="3586" builtinId="9" hidden="1"/>
    <cellStyle name="已瀏覽過的超連結" xfId="3588" builtinId="9" hidden="1"/>
    <cellStyle name="已瀏覽過的超連結" xfId="3590" builtinId="9" hidden="1"/>
    <cellStyle name="已瀏覽過的超連結" xfId="3592" builtinId="9" hidden="1"/>
    <cellStyle name="已瀏覽過的超連結" xfId="3594" builtinId="9" hidden="1"/>
    <cellStyle name="已瀏覽過的超連結" xfId="3596" builtinId="9" hidden="1"/>
    <cellStyle name="已瀏覽過的超連結" xfId="3598" builtinId="9" hidden="1"/>
    <cellStyle name="已瀏覽過的超連結" xfId="3600" builtinId="9" hidden="1"/>
    <cellStyle name="已瀏覽過的超連結" xfId="3602" builtinId="9" hidden="1"/>
    <cellStyle name="已瀏覽過的超連結" xfId="3604" builtinId="9" hidden="1"/>
    <cellStyle name="已瀏覽過的超連結" xfId="3606" builtinId="9" hidden="1"/>
    <cellStyle name="已瀏覽過的超連結" xfId="3608" builtinId="9" hidden="1"/>
    <cellStyle name="已瀏覽過的超連結" xfId="3610" builtinId="9" hidden="1"/>
    <cellStyle name="已瀏覽過的超連結" xfId="3612" builtinId="9" hidden="1"/>
    <cellStyle name="已瀏覽過的超連結" xfId="3614" builtinId="9" hidden="1"/>
    <cellStyle name="已瀏覽過的超連結" xfId="3616" builtinId="9" hidden="1"/>
    <cellStyle name="已瀏覽過的超連結" xfId="3618" builtinId="9" hidden="1"/>
    <cellStyle name="已瀏覽過的超連結" xfId="3620" builtinId="9" hidden="1"/>
    <cellStyle name="已瀏覽過的超連結" xfId="3622" builtinId="9" hidden="1"/>
    <cellStyle name="已瀏覽過的超連結" xfId="3624" builtinId="9" hidden="1"/>
    <cellStyle name="已瀏覽過的超連結" xfId="3626" builtinId="9" hidden="1"/>
    <cellStyle name="已瀏覽過的超連結" xfId="3628" builtinId="9" hidden="1"/>
    <cellStyle name="已瀏覽過的超連結" xfId="3630" builtinId="9" hidden="1"/>
    <cellStyle name="已瀏覽過的超連結" xfId="3632" builtinId="9" hidden="1"/>
    <cellStyle name="已瀏覽過的超連結" xfId="3634" builtinId="9" hidden="1"/>
    <cellStyle name="已瀏覽過的超連結" xfId="3636" builtinId="9" hidden="1"/>
    <cellStyle name="已瀏覽過的超連結" xfId="3638" builtinId="9" hidden="1"/>
    <cellStyle name="已瀏覽過的超連結" xfId="3640" builtinId="9" hidden="1"/>
    <cellStyle name="已瀏覽過的超連結" xfId="3642" builtinId="9" hidden="1"/>
    <cellStyle name="已瀏覽過的超連結" xfId="3644" builtinId="9" hidden="1"/>
    <cellStyle name="已瀏覽過的超連結" xfId="3646" builtinId="9" hidden="1"/>
    <cellStyle name="已瀏覽過的超連結" xfId="3648" builtinId="9" hidden="1"/>
    <cellStyle name="已瀏覽過的超連結" xfId="3650" builtinId="9" hidden="1"/>
    <cellStyle name="已瀏覽過的超連結" xfId="3652" builtinId="9" hidden="1"/>
    <cellStyle name="已瀏覽過的超連結" xfId="3654" builtinId="9" hidden="1"/>
    <cellStyle name="已瀏覽過的超連結" xfId="3656" builtinId="9" hidden="1"/>
    <cellStyle name="已瀏覽過的超連結" xfId="3658" builtinId="9" hidden="1"/>
    <cellStyle name="已瀏覽過的超連結" xfId="3660" builtinId="9" hidden="1"/>
    <cellStyle name="已瀏覽過的超連結" xfId="3662" builtinId="9" hidden="1"/>
    <cellStyle name="已瀏覽過的超連結" xfId="3664" builtinId="9" hidden="1"/>
    <cellStyle name="已瀏覽過的超連結" xfId="3666" builtinId="9" hidden="1"/>
    <cellStyle name="已瀏覽過的超連結" xfId="3668" builtinId="9" hidden="1"/>
    <cellStyle name="已瀏覽過的超連結" xfId="3670" builtinId="9" hidden="1"/>
    <cellStyle name="已瀏覽過的超連結" xfId="3672" builtinId="9" hidden="1"/>
    <cellStyle name="已瀏覽過的超連結" xfId="3674" builtinId="9" hidden="1"/>
    <cellStyle name="已瀏覽過的超連結" xfId="3676" builtinId="9" hidden="1"/>
    <cellStyle name="已瀏覽過的超連結" xfId="3678" builtinId="9" hidden="1"/>
    <cellStyle name="已瀏覽過的超連結" xfId="3680" builtinId="9" hidden="1"/>
    <cellStyle name="已瀏覽過的超連結" xfId="3682" builtinId="9" hidden="1"/>
    <cellStyle name="已瀏覽過的超連結" xfId="3684" builtinId="9" hidden="1"/>
    <cellStyle name="已瀏覽過的超連結" xfId="3686" builtinId="9" hidden="1"/>
    <cellStyle name="已瀏覽過的超連結" xfId="3688" builtinId="9" hidden="1"/>
    <cellStyle name="已瀏覽過的超連結" xfId="3690" builtinId="9" hidden="1"/>
    <cellStyle name="已瀏覽過的超連結" xfId="3692" builtinId="9" hidden="1"/>
    <cellStyle name="已瀏覽過的超連結" xfId="3694" builtinId="9" hidden="1"/>
    <cellStyle name="已瀏覽過的超連結" xfId="3696" builtinId="9" hidden="1"/>
    <cellStyle name="已瀏覽過的超連結" xfId="3698" builtinId="9" hidden="1"/>
    <cellStyle name="已瀏覽過的超連結" xfId="3700" builtinId="9" hidden="1"/>
    <cellStyle name="已瀏覽過的超連結" xfId="3702" builtinId="9" hidden="1"/>
    <cellStyle name="已瀏覽過的超連結" xfId="3704" builtinId="9" hidden="1"/>
    <cellStyle name="已瀏覽過的超連結" xfId="3706" builtinId="9" hidden="1"/>
    <cellStyle name="已瀏覽過的超連結" xfId="3708" builtinId="9" hidden="1"/>
    <cellStyle name="已瀏覽過的超連結" xfId="3710" builtinId="9" hidden="1"/>
    <cellStyle name="已瀏覽過的超連結" xfId="3712" builtinId="9" hidden="1"/>
    <cellStyle name="已瀏覽過的超連結" xfId="3714" builtinId="9" hidden="1"/>
    <cellStyle name="已瀏覽過的超連結" xfId="3716" builtinId="9" hidden="1"/>
    <cellStyle name="已瀏覽過的超連結" xfId="3718" builtinId="9" hidden="1"/>
    <cellStyle name="已瀏覽過的超連結" xfId="3720" builtinId="9" hidden="1"/>
    <cellStyle name="已瀏覽過的超連結" xfId="3722" builtinId="9" hidden="1"/>
    <cellStyle name="已瀏覽過的超連結" xfId="3724" builtinId="9" hidden="1"/>
    <cellStyle name="已瀏覽過的超連結" xfId="3726" builtinId="9" hidden="1"/>
    <cellStyle name="已瀏覽過的超連結" xfId="3728" builtinId="9" hidden="1"/>
    <cellStyle name="已瀏覽過的超連結" xfId="3730" builtinId="9" hidden="1"/>
    <cellStyle name="已瀏覽過的超連結" xfId="3732" builtinId="9" hidden="1"/>
    <cellStyle name="已瀏覽過的超連結" xfId="3734" builtinId="9" hidden="1"/>
    <cellStyle name="已瀏覽過的超連結" xfId="3736" builtinId="9" hidden="1"/>
    <cellStyle name="已瀏覽過的超連結" xfId="3738" builtinId="9" hidden="1"/>
    <cellStyle name="已瀏覽過的超連結" xfId="3740" builtinId="9" hidden="1"/>
    <cellStyle name="已瀏覽過的超連結" xfId="3742" builtinId="9" hidden="1"/>
    <cellStyle name="已瀏覽過的超連結" xfId="3744" builtinId="9" hidden="1"/>
    <cellStyle name="已瀏覽過的超連結" xfId="3746" builtinId="9" hidden="1"/>
    <cellStyle name="已瀏覽過的超連結" xfId="3748" builtinId="9" hidden="1"/>
    <cellStyle name="已瀏覽過的超連結" xfId="3750" builtinId="9" hidden="1"/>
    <cellStyle name="已瀏覽過的超連結" xfId="3752" builtinId="9" hidden="1"/>
    <cellStyle name="已瀏覽過的超連結" xfId="3754" builtinId="9" hidden="1"/>
    <cellStyle name="已瀏覽過的超連結" xfId="3756" builtinId="9" hidden="1"/>
    <cellStyle name="已瀏覽過的超連結" xfId="3758" builtinId="9" hidden="1"/>
    <cellStyle name="已瀏覽過的超連結" xfId="3760" builtinId="9" hidden="1"/>
    <cellStyle name="已瀏覽過的超連結" xfId="3762" builtinId="9" hidden="1"/>
    <cellStyle name="已瀏覽過的超連結" xfId="3764" builtinId="9" hidden="1"/>
    <cellStyle name="已瀏覽過的超連結" xfId="3766" builtinId="9" hidden="1"/>
    <cellStyle name="已瀏覽過的超連結" xfId="3768" builtinId="9" hidden="1"/>
    <cellStyle name="已瀏覽過的超連結" xfId="3770" builtinId="9" hidden="1"/>
    <cellStyle name="已瀏覽過的超連結" xfId="3772" builtinId="9" hidden="1"/>
    <cellStyle name="已瀏覽過的超連結" xfId="3774" builtinId="9" hidden="1"/>
    <cellStyle name="已瀏覽過的超連結" xfId="3776" builtinId="9" hidden="1"/>
    <cellStyle name="已瀏覽過的超連結" xfId="3778" builtinId="9" hidden="1"/>
    <cellStyle name="已瀏覽過的超連結" xfId="3780" builtinId="9" hidden="1"/>
    <cellStyle name="已瀏覽過的超連結" xfId="3782" builtinId="9" hidden="1"/>
    <cellStyle name="已瀏覽過的超連結" xfId="3784" builtinId="9" hidden="1"/>
    <cellStyle name="已瀏覽過的超連結" xfId="3786" builtinId="9" hidden="1"/>
    <cellStyle name="已瀏覽過的超連結" xfId="3788" builtinId="9" hidden="1"/>
    <cellStyle name="已瀏覽過的超連結" xfId="3790" builtinId="9" hidden="1"/>
    <cellStyle name="已瀏覽過的超連結" xfId="3792" builtinId="9" hidden="1"/>
    <cellStyle name="已瀏覽過的超連結" xfId="3794" builtinId="9" hidden="1"/>
    <cellStyle name="已瀏覽過的超連結" xfId="3796" builtinId="9" hidden="1"/>
    <cellStyle name="已瀏覽過的超連結" xfId="3798" builtinId="9" hidden="1"/>
    <cellStyle name="已瀏覽過的超連結" xfId="3800" builtinId="9" hidden="1"/>
    <cellStyle name="已瀏覽過的超連結" xfId="3802" builtinId="9" hidden="1"/>
    <cellStyle name="已瀏覽過的超連結" xfId="3804" builtinId="9" hidden="1"/>
    <cellStyle name="已瀏覽過的超連結" xfId="3806" builtinId="9" hidden="1"/>
    <cellStyle name="已瀏覽過的超連結" xfId="3808" builtinId="9" hidden="1"/>
    <cellStyle name="已瀏覽過的超連結" xfId="3810" builtinId="9" hidden="1"/>
    <cellStyle name="已瀏覽過的超連結" xfId="3812" builtinId="9" hidden="1"/>
    <cellStyle name="已瀏覽過的超連結" xfId="3814" builtinId="9" hidden="1"/>
    <cellStyle name="已瀏覽過的超連結" xfId="3816" builtinId="9" hidden="1"/>
    <cellStyle name="已瀏覽過的超連結" xfId="3818" builtinId="9" hidden="1"/>
    <cellStyle name="已瀏覽過的超連結" xfId="3820" builtinId="9" hidden="1"/>
    <cellStyle name="已瀏覽過的超連結" xfId="3822" builtinId="9" hidden="1"/>
    <cellStyle name="已瀏覽過的超連結" xfId="3824" builtinId="9" hidden="1"/>
    <cellStyle name="已瀏覽過的超連結" xfId="3826" builtinId="9" hidden="1"/>
    <cellStyle name="已瀏覽過的超連結" xfId="3828" builtinId="9" hidden="1"/>
    <cellStyle name="已瀏覽過的超連結" xfId="3830" builtinId="9" hidden="1"/>
    <cellStyle name="已瀏覽過的超連結" xfId="3832" builtinId="9" hidden="1"/>
    <cellStyle name="已瀏覽過的超連結" xfId="3834" builtinId="9" hidden="1"/>
    <cellStyle name="已瀏覽過的超連結" xfId="3836" builtinId="9" hidden="1"/>
    <cellStyle name="已瀏覽過的超連結" xfId="3838" builtinId="9" hidden="1"/>
    <cellStyle name="已瀏覽過的超連結" xfId="3840" builtinId="9" hidden="1"/>
    <cellStyle name="已瀏覽過的超連結" xfId="3842" builtinId="9" hidden="1"/>
    <cellStyle name="已瀏覽過的超連結" xfId="3844" builtinId="9" hidden="1"/>
    <cellStyle name="已瀏覽過的超連結" xfId="3846" builtinId="9" hidden="1"/>
    <cellStyle name="已瀏覽過的超連結" xfId="3848" builtinId="9" hidden="1"/>
    <cellStyle name="已瀏覽過的超連結" xfId="3850" builtinId="9" hidden="1"/>
    <cellStyle name="已瀏覽過的超連結" xfId="3852" builtinId="9" hidden="1"/>
    <cellStyle name="已瀏覽過的超連結" xfId="3854" builtinId="9" hidden="1"/>
    <cellStyle name="已瀏覽過的超連結" xfId="3856" builtinId="9" hidden="1"/>
    <cellStyle name="已瀏覽過的超連結" xfId="3858" builtinId="9" hidden="1"/>
    <cellStyle name="已瀏覽過的超連結" xfId="3860" builtinId="9" hidden="1"/>
    <cellStyle name="已瀏覽過的超連結" xfId="3862" builtinId="9" hidden="1"/>
    <cellStyle name="已瀏覽過的超連結" xfId="3864" builtinId="9" hidden="1"/>
    <cellStyle name="已瀏覽過的超連結" xfId="3866" builtinId="9" hidden="1"/>
    <cellStyle name="已瀏覽過的超連結" xfId="3868" builtinId="9" hidden="1"/>
    <cellStyle name="已瀏覽過的超連結" xfId="3870" builtinId="9" hidden="1"/>
    <cellStyle name="已瀏覽過的超連結" xfId="3872" builtinId="9" hidden="1"/>
    <cellStyle name="已瀏覽過的超連結" xfId="3874" builtinId="9" hidden="1"/>
    <cellStyle name="已瀏覽過的超連結" xfId="3876" builtinId="9" hidden="1"/>
    <cellStyle name="已瀏覽過的超連結" xfId="3878" builtinId="9" hidden="1"/>
    <cellStyle name="已瀏覽過的超連結" xfId="3880" builtinId="9" hidden="1"/>
    <cellStyle name="已瀏覽過的超連結" xfId="3882" builtinId="9" hidden="1"/>
    <cellStyle name="已瀏覽過的超連結" xfId="3884" builtinId="9" hidden="1"/>
    <cellStyle name="已瀏覽過的超連結" xfId="3886" builtinId="9" hidden="1"/>
    <cellStyle name="已瀏覽過的超連結" xfId="3888" builtinId="9" hidden="1"/>
    <cellStyle name="已瀏覽過的超連結" xfId="3890" builtinId="9" hidden="1"/>
    <cellStyle name="已瀏覽過的超連結" xfId="3892" builtinId="9" hidden="1"/>
    <cellStyle name="已瀏覽過的超連結" xfId="3894" builtinId="9" hidden="1"/>
    <cellStyle name="已瀏覽過的超連結" xfId="3896" builtinId="9" hidden="1"/>
    <cellStyle name="已瀏覽過的超連結" xfId="3898" builtinId="9" hidden="1"/>
    <cellStyle name="已瀏覽過的超連結" xfId="3900" builtinId="9" hidden="1"/>
    <cellStyle name="已瀏覽過的超連結" xfId="3902" builtinId="9" hidden="1"/>
    <cellStyle name="已瀏覽過的超連結" xfId="3904" builtinId="9" hidden="1"/>
    <cellStyle name="已瀏覽過的超連結" xfId="3906" builtinId="9" hidden="1"/>
    <cellStyle name="已瀏覽過的超連結" xfId="3908" builtinId="9" hidden="1"/>
    <cellStyle name="已瀏覽過的超連結" xfId="3910" builtinId="9" hidden="1"/>
    <cellStyle name="已瀏覽過的超連結" xfId="3912" builtinId="9" hidden="1"/>
    <cellStyle name="已瀏覽過的超連結" xfId="3914" builtinId="9" hidden="1"/>
    <cellStyle name="已瀏覽過的超連結" xfId="3916" builtinId="9" hidden="1"/>
    <cellStyle name="已瀏覽過的超連結" xfId="3918" builtinId="9" hidden="1"/>
    <cellStyle name="已瀏覽過的超連結" xfId="3920" builtinId="9" hidden="1"/>
    <cellStyle name="已瀏覽過的超連結" xfId="3922" builtinId="9" hidden="1"/>
    <cellStyle name="已瀏覽過的超連結" xfId="3924" builtinId="9" hidden="1"/>
    <cellStyle name="已瀏覽過的超連結" xfId="3926" builtinId="9" hidden="1"/>
    <cellStyle name="已瀏覽過的超連結" xfId="3928" builtinId="9" hidden="1"/>
    <cellStyle name="已瀏覽過的超連結" xfId="3930" builtinId="9" hidden="1"/>
    <cellStyle name="已瀏覽過的超連結" xfId="3932" builtinId="9" hidden="1"/>
    <cellStyle name="已瀏覽過的超連結" xfId="3934" builtinId="9" hidden="1"/>
    <cellStyle name="已瀏覽過的超連結" xfId="3936" builtinId="9" hidden="1"/>
    <cellStyle name="已瀏覽過的超連結" xfId="3938" builtinId="9" hidden="1"/>
    <cellStyle name="已瀏覽過的超連結" xfId="3940" builtinId="9" hidden="1"/>
    <cellStyle name="已瀏覽過的超連結" xfId="3942" builtinId="9" hidden="1"/>
    <cellStyle name="已瀏覽過的超連結" xfId="3944" builtinId="9" hidden="1"/>
    <cellStyle name="已瀏覽過的超連結" xfId="3946" builtinId="9" hidden="1"/>
    <cellStyle name="已瀏覽過的超連結" xfId="3948" builtinId="9" hidden="1"/>
    <cellStyle name="已瀏覽過的超連結" xfId="3950" builtinId="9" hidden="1"/>
    <cellStyle name="已瀏覽過的超連結" xfId="3952" builtinId="9" hidden="1"/>
    <cellStyle name="已瀏覽過的超連結" xfId="3954" builtinId="9" hidden="1"/>
    <cellStyle name="已瀏覽過的超連結" xfId="3956" builtinId="9" hidden="1"/>
    <cellStyle name="已瀏覽過的超連結" xfId="3958" builtinId="9" hidden="1"/>
    <cellStyle name="已瀏覽過的超連結" xfId="3960" builtinId="9" hidden="1"/>
    <cellStyle name="已瀏覽過的超連結" xfId="3962" builtinId="9" hidden="1"/>
    <cellStyle name="已瀏覽過的超連結" xfId="3964" builtinId="9" hidden="1"/>
    <cellStyle name="已瀏覽過的超連結" xfId="3966" builtinId="9" hidden="1"/>
    <cellStyle name="已瀏覽過的超連結" xfId="3968" builtinId="9" hidden="1"/>
    <cellStyle name="已瀏覽過的超連結" xfId="3970" builtinId="9" hidden="1"/>
    <cellStyle name="已瀏覽過的超連結" xfId="3972" builtinId="9" hidden="1"/>
    <cellStyle name="已瀏覽過的超連結" xfId="3974" builtinId="9" hidden="1"/>
    <cellStyle name="已瀏覽過的超連結" xfId="3976" builtinId="9" hidden="1"/>
    <cellStyle name="已瀏覽過的超連結" xfId="3978" builtinId="9" hidden="1"/>
    <cellStyle name="已瀏覽過的超連結" xfId="3980" builtinId="9" hidden="1"/>
    <cellStyle name="已瀏覽過的超連結" xfId="3982" builtinId="9" hidden="1"/>
    <cellStyle name="已瀏覽過的超連結" xfId="3984" builtinId="9" hidden="1"/>
    <cellStyle name="已瀏覽過的超連結" xfId="3986" builtinId="9" hidden="1"/>
    <cellStyle name="已瀏覽過的超連結" xfId="3988" builtinId="9" hidden="1"/>
    <cellStyle name="已瀏覽過的超連結" xfId="3990" builtinId="9" hidden="1"/>
    <cellStyle name="已瀏覽過的超連結" xfId="3992" builtinId="9" hidden="1"/>
    <cellStyle name="已瀏覽過的超連結" xfId="3994" builtinId="9" hidden="1"/>
    <cellStyle name="已瀏覽過的超連結" xfId="3996" builtinId="9" hidden="1"/>
    <cellStyle name="已瀏覽過的超連結" xfId="3998" builtinId="9" hidden="1"/>
    <cellStyle name="已瀏覽過的超連結" xfId="4000" builtinId="9" hidden="1"/>
    <cellStyle name="已瀏覽過的超連結" xfId="4002" builtinId="9" hidden="1"/>
    <cellStyle name="已瀏覽過的超連結" xfId="4004" builtinId="9" hidden="1"/>
    <cellStyle name="已瀏覽過的超連結" xfId="4006" builtinId="9" hidden="1"/>
    <cellStyle name="已瀏覽過的超連結" xfId="4008" builtinId="9" hidden="1"/>
    <cellStyle name="已瀏覽過的超連結" xfId="4010" builtinId="9" hidden="1"/>
    <cellStyle name="已瀏覽過的超連結" xfId="4012" builtinId="9" hidden="1"/>
    <cellStyle name="已瀏覽過的超連結" xfId="4014" builtinId="9" hidden="1"/>
    <cellStyle name="已瀏覽過的超連結" xfId="4016" builtinId="9" hidden="1"/>
    <cellStyle name="已瀏覽過的超連結" xfId="4018" builtinId="9" hidden="1"/>
    <cellStyle name="已瀏覽過的超連結" xfId="4020" builtinId="9" hidden="1"/>
    <cellStyle name="已瀏覽過的超連結" xfId="4022" builtinId="9" hidden="1"/>
    <cellStyle name="已瀏覽過的超連結" xfId="4024" builtinId="9" hidden="1"/>
    <cellStyle name="已瀏覽過的超連結" xfId="4026" builtinId="9" hidden="1"/>
    <cellStyle name="已瀏覽過的超連結" xfId="4028" builtinId="9" hidden="1"/>
    <cellStyle name="已瀏覽過的超連結" xfId="4030" builtinId="9" hidden="1"/>
    <cellStyle name="已瀏覽過的超連結" xfId="4032" builtinId="9" hidden="1"/>
    <cellStyle name="已瀏覽過的超連結" xfId="4034" builtinId="9" hidden="1"/>
    <cellStyle name="已瀏覽過的超連結" xfId="4036" builtinId="9" hidden="1"/>
    <cellStyle name="已瀏覽過的超連結" xfId="4038" builtinId="9" hidden="1"/>
    <cellStyle name="已瀏覽過的超連結" xfId="4040" builtinId="9" hidden="1"/>
    <cellStyle name="已瀏覽過的超連結" xfId="4042" builtinId="9" hidden="1"/>
    <cellStyle name="已瀏覽過的超連結" xfId="4044" builtinId="9" hidden="1"/>
    <cellStyle name="已瀏覽過的超連結" xfId="4046" builtinId="9" hidden="1"/>
    <cellStyle name="已瀏覽過的超連結" xfId="4048" builtinId="9" hidden="1"/>
    <cellStyle name="已瀏覽過的超連結" xfId="4050" builtinId="9" hidden="1"/>
    <cellStyle name="已瀏覽過的超連結" xfId="4052" builtinId="9" hidden="1"/>
    <cellStyle name="已瀏覽過的超連結" xfId="4054" builtinId="9" hidden="1"/>
    <cellStyle name="已瀏覽過的超連結" xfId="4056" builtinId="9" hidden="1"/>
    <cellStyle name="已瀏覽過的超連結" xfId="4058" builtinId="9" hidden="1"/>
    <cellStyle name="已瀏覽過的超連結" xfId="4060" builtinId="9" hidden="1"/>
    <cellStyle name="已瀏覽過的超連結" xfId="4062" builtinId="9" hidden="1"/>
    <cellStyle name="已瀏覽過的超連結" xfId="4064" builtinId="9" hidden="1"/>
    <cellStyle name="已瀏覽過的超連結" xfId="4066" builtinId="9" hidden="1"/>
    <cellStyle name="已瀏覽過的超連結" xfId="4068" builtinId="9" hidden="1"/>
    <cellStyle name="已瀏覽過的超連結" xfId="4070" builtinId="9" hidden="1"/>
    <cellStyle name="已瀏覽過的超連結" xfId="4072" builtinId="9" hidden="1"/>
    <cellStyle name="已瀏覽過的超連結" xfId="4074" builtinId="9" hidden="1"/>
    <cellStyle name="已瀏覽過的超連結" xfId="4076" builtinId="9" hidden="1"/>
    <cellStyle name="已瀏覽過的超連結" xfId="4078" builtinId="9" hidden="1"/>
    <cellStyle name="已瀏覽過的超連結" xfId="4080" builtinId="9" hidden="1"/>
    <cellStyle name="已瀏覽過的超連結" xfId="4082" builtinId="9" hidden="1"/>
    <cellStyle name="已瀏覽過的超連結" xfId="4084" builtinId="9" hidden="1"/>
    <cellStyle name="已瀏覽過的超連結" xfId="4086" builtinId="9" hidden="1"/>
    <cellStyle name="已瀏覽過的超連結" xfId="4088" builtinId="9" hidden="1"/>
    <cellStyle name="已瀏覽過的超連結" xfId="4090" builtinId="9" hidden="1"/>
    <cellStyle name="已瀏覽過的超連結" xfId="4092" builtinId="9" hidden="1"/>
    <cellStyle name="已瀏覽過的超連結" xfId="4094" builtinId="9" hidden="1"/>
    <cellStyle name="已瀏覽過的超連結" xfId="4096" builtinId="9" hidden="1"/>
    <cellStyle name="已瀏覽過的超連結" xfId="4098" builtinId="9" hidden="1"/>
    <cellStyle name="已瀏覽過的超連結" xfId="4100" builtinId="9" hidden="1"/>
    <cellStyle name="已瀏覽過的超連結" xfId="4102" builtinId="9" hidden="1"/>
    <cellStyle name="已瀏覽過的超連結" xfId="4104" builtinId="9" hidden="1"/>
    <cellStyle name="已瀏覽過的超連結" xfId="4106" builtinId="9" hidden="1"/>
    <cellStyle name="已瀏覽過的超連結" xfId="4108" builtinId="9" hidden="1"/>
    <cellStyle name="已瀏覽過的超連結" xfId="4110" builtinId="9" hidden="1"/>
    <cellStyle name="已瀏覽過的超連結" xfId="4112" builtinId="9" hidden="1"/>
    <cellStyle name="已瀏覽過的超連結" xfId="4114" builtinId="9" hidden="1"/>
    <cellStyle name="已瀏覽過的超連結" xfId="4116" builtinId="9" hidden="1"/>
    <cellStyle name="已瀏覽過的超連結" xfId="4118" builtinId="9" hidden="1"/>
    <cellStyle name="已瀏覽過的超連結" xfId="4120" builtinId="9" hidden="1"/>
    <cellStyle name="已瀏覽過的超連結" xfId="4122" builtinId="9" hidden="1"/>
    <cellStyle name="已瀏覽過的超連結" xfId="4124" builtinId="9" hidden="1"/>
    <cellStyle name="已瀏覽過的超連結" xfId="4126" builtinId="9" hidden="1"/>
    <cellStyle name="已瀏覽過的超連結" xfId="4128" builtinId="9" hidden="1"/>
    <cellStyle name="已瀏覽過的超連結" xfId="4130" builtinId="9" hidden="1"/>
    <cellStyle name="已瀏覽過的超連結" xfId="4132" builtinId="9" hidden="1"/>
    <cellStyle name="已瀏覽過的超連結" xfId="4134" builtinId="9" hidden="1"/>
    <cellStyle name="已瀏覽過的超連結" xfId="4136" builtinId="9" hidden="1"/>
    <cellStyle name="已瀏覽過的超連結" xfId="4138" builtinId="9" hidden="1"/>
    <cellStyle name="已瀏覽過的超連結" xfId="4140" builtinId="9" hidden="1"/>
    <cellStyle name="已瀏覽過的超連結" xfId="4142" builtinId="9" hidden="1"/>
    <cellStyle name="已瀏覽過的超連結" xfId="4144" builtinId="9" hidden="1"/>
    <cellStyle name="已瀏覽過的超連結" xfId="4146" builtinId="9" hidden="1"/>
    <cellStyle name="已瀏覽過的超連結" xfId="4148" builtinId="9" hidden="1"/>
    <cellStyle name="已瀏覽過的超連結" xfId="4150" builtinId="9" hidden="1"/>
    <cellStyle name="已瀏覽過的超連結" xfId="4152" builtinId="9" hidden="1"/>
    <cellStyle name="已瀏覽過的超連結" xfId="4154" builtinId="9" hidden="1"/>
    <cellStyle name="已瀏覽過的超連結" xfId="4156" builtinId="9" hidden="1"/>
    <cellStyle name="已瀏覽過的超連結" xfId="4158" builtinId="9" hidden="1"/>
    <cellStyle name="已瀏覽過的超連結" xfId="4160" builtinId="9" hidden="1"/>
    <cellStyle name="已瀏覽過的超連結" xfId="4162" builtinId="9" hidden="1"/>
    <cellStyle name="已瀏覽過的超連結" xfId="4164" builtinId="9" hidden="1"/>
    <cellStyle name="已瀏覽過的超連結" xfId="4166" builtinId="9" hidden="1"/>
    <cellStyle name="已瀏覽過的超連結" xfId="4168" builtinId="9" hidden="1"/>
    <cellStyle name="已瀏覽過的超連結" xfId="4170" builtinId="9" hidden="1"/>
    <cellStyle name="已瀏覽過的超連結" xfId="4172" builtinId="9" hidden="1"/>
    <cellStyle name="已瀏覽過的超連結" xfId="4174" builtinId="9" hidden="1"/>
    <cellStyle name="已瀏覽過的超連結" xfId="4176" builtinId="9" hidden="1"/>
    <cellStyle name="已瀏覽過的超連結" xfId="4178" builtinId="9" hidden="1"/>
    <cellStyle name="已瀏覽過的超連結" xfId="4180" builtinId="9" hidden="1"/>
    <cellStyle name="已瀏覽過的超連結" xfId="4182" builtinId="9" hidden="1"/>
    <cellStyle name="已瀏覽過的超連結" xfId="4184" builtinId="9" hidden="1"/>
    <cellStyle name="已瀏覽過的超連結" xfId="4186" builtinId="9" hidden="1"/>
    <cellStyle name="已瀏覽過的超連結" xfId="4188" builtinId="9" hidden="1"/>
    <cellStyle name="已瀏覽過的超連結" xfId="4190" builtinId="9" hidden="1"/>
    <cellStyle name="已瀏覽過的超連結" xfId="4192" builtinId="9" hidden="1"/>
    <cellStyle name="已瀏覽過的超連結" xfId="4194" builtinId="9" hidden="1"/>
    <cellStyle name="已瀏覽過的超連結" xfId="4196" builtinId="9" hidden="1"/>
    <cellStyle name="已瀏覽過的超連結" xfId="4198" builtinId="9" hidden="1"/>
    <cellStyle name="已瀏覽過的超連結" xfId="4200" builtinId="9" hidden="1"/>
    <cellStyle name="已瀏覽過的超連結" xfId="4202" builtinId="9" hidden="1"/>
    <cellStyle name="已瀏覽過的超連結" xfId="4204" builtinId="9" hidden="1"/>
    <cellStyle name="已瀏覽過的超連結" xfId="4206" builtinId="9" hidden="1"/>
    <cellStyle name="已瀏覽過的超連結" xfId="4208" builtinId="9" hidden="1"/>
    <cellStyle name="已瀏覽過的超連結" xfId="4210" builtinId="9" hidden="1"/>
    <cellStyle name="已瀏覽過的超連結" xfId="4212" builtinId="9" hidden="1"/>
    <cellStyle name="已瀏覽過的超連結" xfId="4214" builtinId="9" hidden="1"/>
    <cellStyle name="已瀏覽過的超連結" xfId="4216" builtinId="9" hidden="1"/>
    <cellStyle name="已瀏覽過的超連結" xfId="4218" builtinId="9" hidden="1"/>
    <cellStyle name="已瀏覽過的超連結" xfId="4220" builtinId="9" hidden="1"/>
    <cellStyle name="已瀏覽過的超連結" xfId="4222" builtinId="9" hidden="1"/>
    <cellStyle name="已瀏覽過的超連結" xfId="4224" builtinId="9" hidden="1"/>
    <cellStyle name="已瀏覽過的超連結" xfId="4226" builtinId="9" hidden="1"/>
    <cellStyle name="已瀏覽過的超連結" xfId="4228" builtinId="9" hidden="1"/>
    <cellStyle name="已瀏覽過的超連結" xfId="4230" builtinId="9" hidden="1"/>
    <cellStyle name="已瀏覽過的超連結" xfId="4232" builtinId="9" hidden="1"/>
    <cellStyle name="已瀏覽過的超連結" xfId="4234" builtinId="9" hidden="1"/>
    <cellStyle name="已瀏覽過的超連結" xfId="4236" builtinId="9" hidden="1"/>
    <cellStyle name="已瀏覽過的超連結" xfId="4238" builtinId="9" hidden="1"/>
    <cellStyle name="已瀏覽過的超連結" xfId="4240" builtinId="9" hidden="1"/>
    <cellStyle name="已瀏覽過的超連結" xfId="4242" builtinId="9" hidden="1"/>
    <cellStyle name="已瀏覽過的超連結" xfId="4244" builtinId="9" hidden="1"/>
    <cellStyle name="已瀏覽過的超連結" xfId="4246" builtinId="9" hidden="1"/>
    <cellStyle name="已瀏覽過的超連結" xfId="4248" builtinId="9" hidden="1"/>
    <cellStyle name="已瀏覽過的超連結" xfId="4250" builtinId="9" hidden="1"/>
    <cellStyle name="已瀏覽過的超連結" xfId="4252" builtinId="9" hidden="1"/>
    <cellStyle name="已瀏覽過的超連結" xfId="4254" builtinId="9" hidden="1"/>
    <cellStyle name="已瀏覽過的超連結" xfId="4256" builtinId="9" hidden="1"/>
    <cellStyle name="已瀏覽過的超連結" xfId="4258" builtinId="9" hidden="1"/>
    <cellStyle name="已瀏覽過的超連結" xfId="4260" builtinId="9" hidden="1"/>
    <cellStyle name="已瀏覽過的超連結" xfId="4262" builtinId="9" hidden="1"/>
    <cellStyle name="已瀏覽過的超連結" xfId="4264" builtinId="9" hidden="1"/>
    <cellStyle name="已瀏覽過的超連結" xfId="4266" builtinId="9" hidden="1"/>
    <cellStyle name="已瀏覽過的超連結" xfId="4268" builtinId="9" hidden="1"/>
    <cellStyle name="已瀏覽過的超連結" xfId="4270" builtinId="9" hidden="1"/>
    <cellStyle name="已瀏覽過的超連結" xfId="4272" builtinId="9" hidden="1"/>
    <cellStyle name="已瀏覽過的超連結" xfId="4274" builtinId="9" hidden="1"/>
    <cellStyle name="已瀏覽過的超連結" xfId="4276" builtinId="9" hidden="1"/>
    <cellStyle name="已瀏覽過的超連結" xfId="4278" builtinId="9" hidden="1"/>
    <cellStyle name="已瀏覽過的超連結" xfId="4280" builtinId="9" hidden="1"/>
    <cellStyle name="已瀏覽過的超連結" xfId="4282" builtinId="9" hidden="1"/>
    <cellStyle name="已瀏覽過的超連結" xfId="4284" builtinId="9" hidden="1"/>
    <cellStyle name="已瀏覽過的超連結" xfId="4286" builtinId="9" hidden="1"/>
    <cellStyle name="已瀏覽過的超連結" xfId="4288" builtinId="9" hidden="1"/>
    <cellStyle name="已瀏覽過的超連結" xfId="4290" builtinId="9" hidden="1"/>
    <cellStyle name="已瀏覽過的超連結" xfId="4292" builtinId="9" hidden="1"/>
    <cellStyle name="已瀏覽過的超連結" xfId="4294" builtinId="9" hidden="1"/>
    <cellStyle name="已瀏覽過的超連結" xfId="4296" builtinId="9" hidden="1"/>
    <cellStyle name="已瀏覽過的超連結" xfId="4298" builtinId="9" hidden="1"/>
    <cellStyle name="已瀏覽過的超連結" xfId="4300" builtinId="9" hidden="1"/>
    <cellStyle name="已瀏覽過的超連結" xfId="4302" builtinId="9" hidden="1"/>
    <cellStyle name="已瀏覽過的超連結" xfId="4304" builtinId="9" hidden="1"/>
    <cellStyle name="已瀏覽過的超連結" xfId="4306" builtinId="9" hidden="1"/>
    <cellStyle name="已瀏覽過的超連結" xfId="4308" builtinId="9" hidden="1"/>
    <cellStyle name="已瀏覽過的超連結" xfId="4310" builtinId="9" hidden="1"/>
    <cellStyle name="已瀏覽過的超連結" xfId="4312" builtinId="9" hidden="1"/>
    <cellStyle name="已瀏覽過的超連結" xfId="4314" builtinId="9" hidden="1"/>
    <cellStyle name="已瀏覽過的超連結" xfId="4316" builtinId="9" hidden="1"/>
    <cellStyle name="已瀏覽過的超連結" xfId="4318" builtinId="9" hidden="1"/>
    <cellStyle name="已瀏覽過的超連結" xfId="4320" builtinId="9" hidden="1"/>
    <cellStyle name="已瀏覽過的超連結" xfId="4322" builtinId="9" hidden="1"/>
    <cellStyle name="已瀏覽過的超連結" xfId="4324" builtinId="9" hidden="1"/>
    <cellStyle name="已瀏覽過的超連結" xfId="4326" builtinId="9" hidden="1"/>
    <cellStyle name="已瀏覽過的超連結" xfId="4328" builtinId="9" hidden="1"/>
    <cellStyle name="已瀏覽過的超連結" xfId="4330" builtinId="9" hidden="1"/>
    <cellStyle name="已瀏覽過的超連結" xfId="4332" builtinId="9" hidden="1"/>
    <cellStyle name="已瀏覽過的超連結" xfId="4334" builtinId="9" hidden="1"/>
    <cellStyle name="已瀏覽過的超連結" xfId="4336" builtinId="9" hidden="1"/>
    <cellStyle name="已瀏覽過的超連結" xfId="4338" builtinId="9" hidden="1"/>
    <cellStyle name="已瀏覽過的超連結" xfId="4340" builtinId="9" hidden="1"/>
    <cellStyle name="已瀏覽過的超連結" xfId="4342" builtinId="9" hidden="1"/>
    <cellStyle name="已瀏覽過的超連結" xfId="4344" builtinId="9" hidden="1"/>
    <cellStyle name="已瀏覽過的超連結" xfId="4346" builtinId="9" hidden="1"/>
    <cellStyle name="已瀏覽過的超連結" xfId="4348" builtinId="9" hidden="1"/>
    <cellStyle name="已瀏覽過的超連結" xfId="4350" builtinId="9" hidden="1"/>
    <cellStyle name="已瀏覽過的超連結" xfId="4352" builtinId="9" hidden="1"/>
    <cellStyle name="已瀏覽過的超連結" xfId="4354" builtinId="9" hidden="1"/>
    <cellStyle name="已瀏覽過的超連結" xfId="4356" builtinId="9" hidden="1"/>
    <cellStyle name="已瀏覽過的超連結" xfId="4358" builtinId="9" hidden="1"/>
    <cellStyle name="已瀏覽過的超連結" xfId="4360" builtinId="9" hidden="1"/>
    <cellStyle name="已瀏覽過的超連結" xfId="4362" builtinId="9" hidden="1"/>
    <cellStyle name="已瀏覽過的超連結" xfId="4364" builtinId="9" hidden="1"/>
    <cellStyle name="已瀏覽過的超連結" xfId="4366" builtinId="9" hidden="1"/>
    <cellStyle name="已瀏覽過的超連結" xfId="4368" builtinId="9" hidden="1"/>
    <cellStyle name="已瀏覽過的超連結" xfId="4370" builtinId="9" hidden="1"/>
    <cellStyle name="已瀏覽過的超連結" xfId="4372" builtinId="9" hidden="1"/>
    <cellStyle name="已瀏覽過的超連結" xfId="4374" builtinId="9" hidden="1"/>
    <cellStyle name="已瀏覽過的超連結" xfId="4376" builtinId="9" hidden="1"/>
    <cellStyle name="已瀏覽過的超連結" xfId="4378" builtinId="9" hidden="1"/>
    <cellStyle name="已瀏覽過的超連結" xfId="4380" builtinId="9" hidden="1"/>
    <cellStyle name="已瀏覽過的超連結" xfId="4382" builtinId="9" hidden="1"/>
    <cellStyle name="已瀏覽過的超連結" xfId="4384" builtinId="9" hidden="1"/>
    <cellStyle name="已瀏覽過的超連結" xfId="4386" builtinId="9" hidden="1"/>
    <cellStyle name="已瀏覽過的超連結" xfId="4388" builtinId="9" hidden="1"/>
    <cellStyle name="已瀏覽過的超連結" xfId="4390" builtinId="9" hidden="1"/>
    <cellStyle name="已瀏覽過的超連結" xfId="4392" builtinId="9" hidden="1"/>
    <cellStyle name="已瀏覽過的超連結" xfId="4394" builtinId="9" hidden="1"/>
    <cellStyle name="已瀏覽過的超連結" xfId="4396" builtinId="9" hidden="1"/>
    <cellStyle name="已瀏覽過的超連結" xfId="4398" builtinId="9" hidden="1"/>
    <cellStyle name="已瀏覽過的超連結" xfId="4400" builtinId="9" hidden="1"/>
    <cellStyle name="已瀏覽過的超連結" xfId="4402" builtinId="9" hidden="1"/>
    <cellStyle name="已瀏覽過的超連結" xfId="4404" builtinId="9" hidden="1"/>
    <cellStyle name="已瀏覽過的超連結" xfId="4406" builtinId="9" hidden="1"/>
    <cellStyle name="已瀏覽過的超連結" xfId="4408" builtinId="9" hidden="1"/>
    <cellStyle name="已瀏覽過的超連結" xfId="4410" builtinId="9" hidden="1"/>
    <cellStyle name="已瀏覽過的超連結" xfId="4412" builtinId="9" hidden="1"/>
    <cellStyle name="已瀏覽過的超連結" xfId="4414" builtinId="9" hidden="1"/>
    <cellStyle name="已瀏覽過的超連結" xfId="4416" builtinId="9" hidden="1"/>
    <cellStyle name="已瀏覽過的超連結" xfId="4418" builtinId="9" hidden="1"/>
    <cellStyle name="已瀏覽過的超連結" xfId="4420" builtinId="9" hidden="1"/>
    <cellStyle name="已瀏覽過的超連結" xfId="4422" builtinId="9" hidden="1"/>
    <cellStyle name="已瀏覽過的超連結" xfId="4424" builtinId="9" hidden="1"/>
    <cellStyle name="已瀏覽過的超連結" xfId="4426" builtinId="9" hidden="1"/>
    <cellStyle name="已瀏覽過的超連結" xfId="4428" builtinId="9" hidden="1"/>
    <cellStyle name="已瀏覽過的超連結" xfId="4430" builtinId="9" hidden="1"/>
    <cellStyle name="已瀏覽過的超連結" xfId="4432" builtinId="9" hidden="1"/>
    <cellStyle name="已瀏覽過的超連結" xfId="4434" builtinId="9" hidden="1"/>
    <cellStyle name="已瀏覽過的超連結" xfId="4436" builtinId="9" hidden="1"/>
    <cellStyle name="已瀏覽過的超連結" xfId="4438" builtinId="9" hidden="1"/>
    <cellStyle name="已瀏覽過的超連結" xfId="4440" builtinId="9" hidden="1"/>
    <cellStyle name="已瀏覽過的超連結" xfId="4442" builtinId="9" hidden="1"/>
    <cellStyle name="已瀏覽過的超連結" xfId="4444" builtinId="9" hidden="1"/>
    <cellStyle name="已瀏覽過的超連結" xfId="4446" builtinId="9" hidden="1"/>
    <cellStyle name="已瀏覽過的超連結" xfId="4448" builtinId="9" hidden="1"/>
    <cellStyle name="已瀏覽過的超連結" xfId="4450" builtinId="9" hidden="1"/>
    <cellStyle name="已瀏覽過的超連結" xfId="4452" builtinId="9" hidden="1"/>
    <cellStyle name="已瀏覽過的超連結" xfId="4454" builtinId="9" hidden="1"/>
    <cellStyle name="已瀏覽過的超連結" xfId="4456" builtinId="9" hidden="1"/>
    <cellStyle name="已瀏覽過的超連結" xfId="4458" builtinId="9" hidden="1"/>
    <cellStyle name="已瀏覽過的超連結" xfId="4460" builtinId="9" hidden="1"/>
    <cellStyle name="已瀏覽過的超連結" xfId="4462" builtinId="9" hidden="1"/>
    <cellStyle name="已瀏覽過的超連結" xfId="4464" builtinId="9" hidden="1"/>
    <cellStyle name="已瀏覽過的超連結" xfId="4466" builtinId="9" hidden="1"/>
    <cellStyle name="已瀏覽過的超連結" xfId="4468" builtinId="9" hidden="1"/>
    <cellStyle name="已瀏覽過的超連結" xfId="4470" builtinId="9" hidden="1"/>
    <cellStyle name="已瀏覽過的超連結" xfId="4472" builtinId="9" hidden="1"/>
    <cellStyle name="已瀏覽過的超連結" xfId="4474" builtinId="9" hidden="1"/>
    <cellStyle name="已瀏覽過的超連結" xfId="4476" builtinId="9" hidden="1"/>
    <cellStyle name="已瀏覽過的超連結" xfId="4478" builtinId="9" hidden="1"/>
    <cellStyle name="已瀏覽過的超連結" xfId="4480" builtinId="9" hidden="1"/>
    <cellStyle name="已瀏覽過的超連結" xfId="4482" builtinId="9" hidden="1"/>
    <cellStyle name="已瀏覽過的超連結" xfId="4484" builtinId="9" hidden="1"/>
    <cellStyle name="已瀏覽過的超連結" xfId="4486" builtinId="9" hidden="1"/>
    <cellStyle name="已瀏覽過的超連結" xfId="4488" builtinId="9" hidden="1"/>
    <cellStyle name="已瀏覽過的超連結" xfId="4490" builtinId="9" hidden="1"/>
    <cellStyle name="已瀏覽過的超連結" xfId="4492" builtinId="9" hidden="1"/>
    <cellStyle name="已瀏覽過的超連結" xfId="4494" builtinId="9" hidden="1"/>
    <cellStyle name="已瀏覽過的超連結" xfId="4496" builtinId="9" hidden="1"/>
    <cellStyle name="已瀏覽過的超連結" xfId="4498" builtinId="9" hidden="1"/>
    <cellStyle name="已瀏覽過的超連結" xfId="4500" builtinId="9" hidden="1"/>
    <cellStyle name="已瀏覽過的超連結" xfId="4502" builtinId="9" hidden="1"/>
    <cellStyle name="已瀏覽過的超連結" xfId="4504" builtinId="9" hidden="1"/>
    <cellStyle name="已瀏覽過的超連結" xfId="4506" builtinId="9" hidden="1"/>
    <cellStyle name="已瀏覽過的超連結" xfId="4508" builtinId="9" hidden="1"/>
    <cellStyle name="已瀏覽過的超連結" xfId="4510" builtinId="9" hidden="1"/>
    <cellStyle name="已瀏覽過的超連結" xfId="4512" builtinId="9" hidden="1"/>
    <cellStyle name="已瀏覽過的超連結" xfId="4514" builtinId="9" hidden="1"/>
    <cellStyle name="已瀏覽過的超連結" xfId="4516" builtinId="9" hidden="1"/>
    <cellStyle name="已瀏覽過的超連結" xfId="4518" builtinId="9" hidden="1"/>
    <cellStyle name="已瀏覽過的超連結" xfId="4520" builtinId="9" hidden="1"/>
    <cellStyle name="已瀏覽過的超連結" xfId="4522" builtinId="9" hidden="1"/>
    <cellStyle name="已瀏覽過的超連結" xfId="4524" builtinId="9" hidden="1"/>
    <cellStyle name="已瀏覽過的超連結" xfId="4526" builtinId="9" hidden="1"/>
    <cellStyle name="已瀏覽過的超連結" xfId="4528" builtinId="9" hidden="1"/>
    <cellStyle name="已瀏覽過的超連結" xfId="4530" builtinId="9" hidden="1"/>
    <cellStyle name="已瀏覽過的超連結" xfId="4532" builtinId="9" hidden="1"/>
    <cellStyle name="已瀏覽過的超連結" xfId="4534" builtinId="9" hidden="1"/>
    <cellStyle name="已瀏覽過的超連結" xfId="4536" builtinId="9" hidden="1"/>
    <cellStyle name="已瀏覽過的超連結" xfId="4538" builtinId="9" hidden="1"/>
    <cellStyle name="已瀏覽過的超連結" xfId="4540" builtinId="9" hidden="1"/>
    <cellStyle name="已瀏覽過的超連結" xfId="4542" builtinId="9" hidden="1"/>
    <cellStyle name="已瀏覽過的超連結" xfId="4544" builtinId="9" hidden="1"/>
    <cellStyle name="已瀏覽過的超連結" xfId="4546" builtinId="9" hidden="1"/>
    <cellStyle name="已瀏覽過的超連結" xfId="4548" builtinId="9" hidden="1"/>
    <cellStyle name="已瀏覽過的超連結" xfId="4550" builtinId="9" hidden="1"/>
    <cellStyle name="已瀏覽過的超連結" xfId="4552" builtinId="9" hidden="1"/>
    <cellStyle name="已瀏覽過的超連結" xfId="4554" builtinId="9" hidden="1"/>
    <cellStyle name="已瀏覽過的超連結" xfId="4556" builtinId="9" hidden="1"/>
    <cellStyle name="已瀏覽過的超連結" xfId="4558" builtinId="9" hidden="1"/>
    <cellStyle name="已瀏覽過的超連結" xfId="4560" builtinId="9" hidden="1"/>
    <cellStyle name="已瀏覽過的超連結" xfId="4562" builtinId="9" hidden="1"/>
    <cellStyle name="已瀏覽過的超連結" xfId="4564" builtinId="9" hidden="1"/>
    <cellStyle name="已瀏覽過的超連結" xfId="4566" builtinId="9" hidden="1"/>
    <cellStyle name="已瀏覽過的超連結" xfId="4568" builtinId="9" hidden="1"/>
    <cellStyle name="已瀏覽過的超連結" xfId="4570" builtinId="9" hidden="1"/>
    <cellStyle name="已瀏覽過的超連結" xfId="4572" builtinId="9" hidden="1"/>
    <cellStyle name="已瀏覽過的超連結" xfId="4574" builtinId="9" hidden="1"/>
    <cellStyle name="已瀏覽過的超連結" xfId="4576" builtinId="9" hidden="1"/>
    <cellStyle name="已瀏覽過的超連結" xfId="4578" builtinId="9" hidden="1"/>
    <cellStyle name="已瀏覽過的超連結" xfId="4580" builtinId="9" hidden="1"/>
    <cellStyle name="已瀏覽過的超連結" xfId="4582" builtinId="9" hidden="1"/>
    <cellStyle name="已瀏覽過的超連結" xfId="4584" builtinId="9" hidden="1"/>
    <cellStyle name="已瀏覽過的超連結" xfId="4586" builtinId="9" hidden="1"/>
    <cellStyle name="已瀏覽過的超連結" xfId="4588" builtinId="9" hidden="1"/>
    <cellStyle name="已瀏覽過的超連結" xfId="4590" builtinId="9" hidden="1"/>
    <cellStyle name="已瀏覽過的超連結" xfId="4592" builtinId="9" hidden="1"/>
    <cellStyle name="已瀏覽過的超連結" xfId="4594" builtinId="9" hidden="1"/>
    <cellStyle name="已瀏覽過的超連結" xfId="4596" builtinId="9" hidden="1"/>
    <cellStyle name="已瀏覽過的超連結" xfId="4598" builtinId="9" hidden="1"/>
    <cellStyle name="已瀏覽過的超連結" xfId="4600" builtinId="9" hidden="1"/>
    <cellStyle name="已瀏覽過的超連結" xfId="4602" builtinId="9" hidden="1"/>
    <cellStyle name="已瀏覽過的超連結" xfId="4604" builtinId="9" hidden="1"/>
    <cellStyle name="已瀏覽過的超連結" xfId="4606" builtinId="9" hidden="1"/>
    <cellStyle name="已瀏覽過的超連結" xfId="4608" builtinId="9" hidden="1"/>
    <cellStyle name="已瀏覽過的超連結" xfId="4610" builtinId="9" hidden="1"/>
    <cellStyle name="已瀏覽過的超連結" xfId="4612" builtinId="9" hidden="1"/>
    <cellStyle name="已瀏覽過的超連結" xfId="4614" builtinId="9" hidden="1"/>
    <cellStyle name="已瀏覽過的超連結" xfId="4616" builtinId="9" hidden="1"/>
    <cellStyle name="已瀏覽過的超連結" xfId="4618" builtinId="9" hidden="1"/>
    <cellStyle name="已瀏覽過的超連結" xfId="4620" builtinId="9" hidden="1"/>
    <cellStyle name="已瀏覽過的超連結" xfId="4622" builtinId="9" hidden="1"/>
    <cellStyle name="已瀏覽過的超連結" xfId="4624" builtinId="9" hidden="1"/>
    <cellStyle name="已瀏覽過的超連結" xfId="4626" builtinId="9" hidden="1"/>
    <cellStyle name="已瀏覽過的超連結" xfId="4628" builtinId="9" hidden="1"/>
    <cellStyle name="已瀏覽過的超連結" xfId="4630" builtinId="9" hidden="1"/>
    <cellStyle name="已瀏覽過的超連結" xfId="4632" builtinId="9" hidden="1"/>
    <cellStyle name="已瀏覽過的超連結" xfId="4634" builtinId="9" hidden="1"/>
    <cellStyle name="已瀏覽過的超連結" xfId="4636" builtinId="9" hidden="1"/>
    <cellStyle name="已瀏覽過的超連結" xfId="4638" builtinId="9" hidden="1"/>
    <cellStyle name="已瀏覽過的超連結" xfId="4640" builtinId="9" hidden="1"/>
    <cellStyle name="已瀏覽過的超連結" xfId="4642" builtinId="9" hidden="1"/>
    <cellStyle name="已瀏覽過的超連結" xfId="4644" builtinId="9" hidden="1"/>
    <cellStyle name="已瀏覽過的超連結" xfId="4646" builtinId="9" hidden="1"/>
    <cellStyle name="已瀏覽過的超連結" xfId="4648" builtinId="9" hidden="1"/>
    <cellStyle name="已瀏覽過的超連結" xfId="4650" builtinId="9" hidden="1"/>
    <cellStyle name="已瀏覽過的超連結" xfId="4652" builtinId="9" hidden="1"/>
    <cellStyle name="已瀏覽過的超連結" xfId="4654" builtinId="9" hidden="1"/>
    <cellStyle name="已瀏覽過的超連結" xfId="4656" builtinId="9" hidden="1"/>
    <cellStyle name="已瀏覽過的超連結" xfId="4658" builtinId="9" hidden="1"/>
    <cellStyle name="已瀏覽過的超連結" xfId="4660" builtinId="9" hidden="1"/>
    <cellStyle name="已瀏覽過的超連結" xfId="4662" builtinId="9" hidden="1"/>
    <cellStyle name="已瀏覽過的超連結" xfId="4664" builtinId="9" hidden="1"/>
    <cellStyle name="已瀏覽過的超連結" xfId="4666" builtinId="9" hidden="1"/>
    <cellStyle name="已瀏覽過的超連結" xfId="4668" builtinId="9" hidden="1"/>
    <cellStyle name="已瀏覽過的超連結" xfId="4670" builtinId="9" hidden="1"/>
    <cellStyle name="已瀏覽過的超連結" xfId="4672" builtinId="9" hidden="1"/>
    <cellStyle name="已瀏覽過的超連結" xfId="4674" builtinId="9" hidden="1"/>
    <cellStyle name="已瀏覽過的超連結" xfId="4676" builtinId="9" hidden="1"/>
    <cellStyle name="已瀏覽過的超連結" xfId="4678" builtinId="9" hidden="1"/>
    <cellStyle name="已瀏覽過的超連結" xfId="4680" builtinId="9" hidden="1"/>
    <cellStyle name="已瀏覽過的超連結" xfId="4682" builtinId="9" hidden="1"/>
    <cellStyle name="已瀏覽過的超連結" xfId="4684" builtinId="9" hidden="1"/>
    <cellStyle name="已瀏覽過的超連結" xfId="4686" builtinId="9" hidden="1"/>
    <cellStyle name="已瀏覽過的超連結" xfId="4688" builtinId="9" hidden="1"/>
    <cellStyle name="已瀏覽過的超連結" xfId="4690" builtinId="9" hidden="1"/>
    <cellStyle name="已瀏覽過的超連結" xfId="4692" builtinId="9" hidden="1"/>
    <cellStyle name="已瀏覽過的超連結" xfId="4694" builtinId="9" hidden="1"/>
    <cellStyle name="已瀏覽過的超連結" xfId="4696" builtinId="9" hidden="1"/>
    <cellStyle name="已瀏覽過的超連結" xfId="4698" builtinId="9" hidden="1"/>
    <cellStyle name="已瀏覽過的超連結" xfId="4700" builtinId="9" hidden="1"/>
    <cellStyle name="已瀏覽過的超連結" xfId="4702" builtinId="9" hidden="1"/>
    <cellStyle name="已瀏覽過的超連結" xfId="4704" builtinId="9" hidden="1"/>
    <cellStyle name="已瀏覽過的超連結" xfId="4706" builtinId="9" hidden="1"/>
    <cellStyle name="已瀏覽過的超連結" xfId="4708" builtinId="9" hidden="1"/>
    <cellStyle name="已瀏覽過的超連結" xfId="4710" builtinId="9" hidden="1"/>
    <cellStyle name="已瀏覽過的超連結" xfId="4712" builtinId="9" hidden="1"/>
    <cellStyle name="已瀏覽過的超連結" xfId="4714" builtinId="9" hidden="1"/>
    <cellStyle name="已瀏覽過的超連結" xfId="4716" builtinId="9" hidden="1"/>
    <cellStyle name="已瀏覽過的超連結" xfId="4718" builtinId="9" hidden="1"/>
    <cellStyle name="已瀏覽過的超連結" xfId="4720" builtinId="9" hidden="1"/>
    <cellStyle name="已瀏覽過的超連結" xfId="4722" builtinId="9" hidden="1"/>
    <cellStyle name="已瀏覽過的超連結" xfId="4724" builtinId="9" hidden="1"/>
    <cellStyle name="已瀏覽過的超連結" xfId="4726" builtinId="9" hidden="1"/>
    <cellStyle name="已瀏覽過的超連結" xfId="4728" builtinId="9" hidden="1"/>
    <cellStyle name="已瀏覽過的超連結" xfId="4730" builtinId="9" hidden="1"/>
    <cellStyle name="已瀏覽過的超連結" xfId="4732" builtinId="9" hidden="1"/>
    <cellStyle name="已瀏覽過的超連結" xfId="4734" builtinId="9" hidden="1"/>
    <cellStyle name="已瀏覽過的超連結" xfId="4736" builtinId="9" hidden="1"/>
    <cellStyle name="已瀏覽過的超連結" xfId="4738" builtinId="9" hidden="1"/>
    <cellStyle name="已瀏覽過的超連結" xfId="4740" builtinId="9" hidden="1"/>
    <cellStyle name="已瀏覽過的超連結" xfId="4742" builtinId="9" hidden="1"/>
    <cellStyle name="已瀏覽過的超連結" xfId="4744" builtinId="9" hidden="1"/>
    <cellStyle name="已瀏覽過的超連結" xfId="4746" builtinId="9" hidden="1"/>
    <cellStyle name="已瀏覽過的超連結" xfId="4748" builtinId="9" hidden="1"/>
    <cellStyle name="已瀏覽過的超連結" xfId="4750" builtinId="9" hidden="1"/>
    <cellStyle name="已瀏覽過的超連結" xfId="4752" builtinId="9" hidden="1"/>
    <cellStyle name="已瀏覽過的超連結" xfId="4754" builtinId="9" hidden="1"/>
    <cellStyle name="已瀏覽過的超連結" xfId="4756" builtinId="9" hidden="1"/>
    <cellStyle name="已瀏覽過的超連結" xfId="4758" builtinId="9" hidden="1"/>
    <cellStyle name="已瀏覽過的超連結" xfId="4760" builtinId="9" hidden="1"/>
    <cellStyle name="已瀏覽過的超連結" xfId="4762" builtinId="9" hidden="1"/>
    <cellStyle name="已瀏覽過的超連結" xfId="4764" builtinId="9" hidden="1"/>
    <cellStyle name="已瀏覽過的超連結" xfId="4766" builtinId="9" hidden="1"/>
    <cellStyle name="已瀏覽過的超連結" xfId="4768" builtinId="9" hidden="1"/>
    <cellStyle name="已瀏覽過的超連結" xfId="4770" builtinId="9" hidden="1"/>
    <cellStyle name="已瀏覽過的超連結" xfId="4772" builtinId="9" hidden="1"/>
    <cellStyle name="已瀏覽過的超連結" xfId="4774" builtinId="9" hidden="1"/>
    <cellStyle name="已瀏覽過的超連結" xfId="4776" builtinId="9" hidden="1"/>
    <cellStyle name="已瀏覽過的超連結" xfId="4778" builtinId="9" hidden="1"/>
    <cellStyle name="已瀏覽過的超連結" xfId="4780" builtinId="9" hidden="1"/>
    <cellStyle name="已瀏覽過的超連結" xfId="4782" builtinId="9" hidden="1"/>
    <cellStyle name="已瀏覽過的超連結" xfId="4784" builtinId="9" hidden="1"/>
    <cellStyle name="已瀏覽過的超連結" xfId="4786" builtinId="9" hidden="1"/>
    <cellStyle name="已瀏覽過的超連結" xfId="4788" builtinId="9" hidden="1"/>
    <cellStyle name="已瀏覽過的超連結" xfId="4790" builtinId="9" hidden="1"/>
    <cellStyle name="已瀏覽過的超連結" xfId="4792" builtinId="9" hidden="1"/>
    <cellStyle name="已瀏覽過的超連結" xfId="4794" builtinId="9" hidden="1"/>
    <cellStyle name="已瀏覽過的超連結" xfId="4796" builtinId="9" hidden="1"/>
    <cellStyle name="已瀏覽過的超連結" xfId="4798" builtinId="9" hidden="1"/>
    <cellStyle name="已瀏覽過的超連結" xfId="4800" builtinId="9" hidden="1"/>
    <cellStyle name="已瀏覽過的超連結" xfId="4802" builtinId="9" hidden="1"/>
    <cellStyle name="已瀏覽過的超連結" xfId="4804" builtinId="9" hidden="1"/>
    <cellStyle name="已瀏覽過的超連結" xfId="4806" builtinId="9" hidden="1"/>
    <cellStyle name="已瀏覽過的超連結" xfId="4808" builtinId="9" hidden="1"/>
    <cellStyle name="已瀏覽過的超連結" xfId="4810" builtinId="9" hidden="1"/>
    <cellStyle name="已瀏覽過的超連結" xfId="4812" builtinId="9" hidden="1"/>
    <cellStyle name="已瀏覽過的超連結" xfId="4814" builtinId="9" hidden="1"/>
    <cellStyle name="已瀏覽過的超連結" xfId="4816" builtinId="9" hidden="1"/>
    <cellStyle name="已瀏覽過的超連結" xfId="4818" builtinId="9" hidden="1"/>
    <cellStyle name="已瀏覽過的超連結" xfId="4820" builtinId="9" hidden="1"/>
    <cellStyle name="已瀏覽過的超連結" xfId="4822" builtinId="9" hidden="1"/>
    <cellStyle name="已瀏覽過的超連結" xfId="4824" builtinId="9" hidden="1"/>
    <cellStyle name="已瀏覽過的超連結" xfId="4826" builtinId="9" hidden="1"/>
    <cellStyle name="已瀏覽過的超連結" xfId="4828" builtinId="9" hidden="1"/>
    <cellStyle name="已瀏覽過的超連結" xfId="4830" builtinId="9" hidden="1"/>
    <cellStyle name="已瀏覽過的超連結" xfId="4832" builtinId="9" hidden="1"/>
    <cellStyle name="已瀏覽過的超連結" xfId="4834" builtinId="9" hidden="1"/>
    <cellStyle name="已瀏覽過的超連結" xfId="4836" builtinId="9" hidden="1"/>
    <cellStyle name="已瀏覽過的超連結" xfId="4838" builtinId="9" hidden="1"/>
    <cellStyle name="已瀏覽過的超連結" xfId="4840" builtinId="9" hidden="1"/>
    <cellStyle name="已瀏覽過的超連結" xfId="4842" builtinId="9" hidden="1"/>
    <cellStyle name="已瀏覽過的超連結" xfId="4844" builtinId="9" hidden="1"/>
    <cellStyle name="已瀏覽過的超連結" xfId="4846" builtinId="9" hidden="1"/>
    <cellStyle name="已瀏覽過的超連結" xfId="4848" builtinId="9" hidden="1"/>
    <cellStyle name="已瀏覽過的超連結" xfId="4850" builtinId="9" hidden="1"/>
    <cellStyle name="已瀏覽過的超連結" xfId="4852" builtinId="9" hidden="1"/>
    <cellStyle name="已瀏覽過的超連結" xfId="4854" builtinId="9" hidden="1"/>
    <cellStyle name="已瀏覽過的超連結" xfId="4856" builtinId="9" hidden="1"/>
    <cellStyle name="已瀏覽過的超連結" xfId="4858" builtinId="9" hidden="1"/>
    <cellStyle name="已瀏覽過的超連結" xfId="4860" builtinId="9" hidden="1"/>
    <cellStyle name="已瀏覽過的超連結" xfId="4862" builtinId="9" hidden="1"/>
    <cellStyle name="已瀏覽過的超連結" xfId="4864" builtinId="9" hidden="1"/>
    <cellStyle name="已瀏覽過的超連結" xfId="4866" builtinId="9" hidden="1"/>
    <cellStyle name="已瀏覽過的超連結" xfId="4868" builtinId="9" hidden="1"/>
    <cellStyle name="已瀏覽過的超連結" xfId="4870" builtinId="9" hidden="1"/>
    <cellStyle name="已瀏覽過的超連結" xfId="4872" builtinId="9" hidden="1"/>
    <cellStyle name="已瀏覽過的超連結" xfId="4874" builtinId="9" hidden="1"/>
    <cellStyle name="已瀏覽過的超連結" xfId="4876" builtinId="9" hidden="1"/>
    <cellStyle name="已瀏覽過的超連結" xfId="4878" builtinId="9" hidden="1"/>
    <cellStyle name="已瀏覽過的超連結" xfId="4880" builtinId="9" hidden="1"/>
    <cellStyle name="已瀏覽過的超連結" xfId="4882" builtinId="9" hidden="1"/>
    <cellStyle name="已瀏覽過的超連結" xfId="4884" builtinId="9" hidden="1"/>
    <cellStyle name="已瀏覽過的超連結" xfId="4886" builtinId="9" hidden="1"/>
    <cellStyle name="已瀏覽過的超連結" xfId="4888" builtinId="9" hidden="1"/>
    <cellStyle name="已瀏覽過的超連結" xfId="4890" builtinId="9" hidden="1"/>
    <cellStyle name="已瀏覽過的超連結" xfId="4892" builtinId="9" hidden="1"/>
    <cellStyle name="已瀏覽過的超連結" xfId="4894" builtinId="9" hidden="1"/>
    <cellStyle name="已瀏覽過的超連結" xfId="4896" builtinId="9" hidden="1"/>
    <cellStyle name="已瀏覽過的超連結" xfId="4898" builtinId="9" hidden="1"/>
    <cellStyle name="已瀏覽過的超連結" xfId="4900" builtinId="9" hidden="1"/>
    <cellStyle name="已瀏覽過的超連結" xfId="4902" builtinId="9" hidden="1"/>
    <cellStyle name="已瀏覽過的超連結" xfId="4904" builtinId="9" hidden="1"/>
    <cellStyle name="已瀏覽過的超連結" xfId="4906" builtinId="9" hidden="1"/>
    <cellStyle name="已瀏覽過的超連結" xfId="4908" builtinId="9" hidden="1"/>
    <cellStyle name="已瀏覽過的超連結" xfId="4910" builtinId="9" hidden="1"/>
    <cellStyle name="已瀏覽過的超連結" xfId="4912" builtinId="9" hidden="1"/>
    <cellStyle name="已瀏覽過的超連結" xfId="4914" builtinId="9" hidden="1"/>
    <cellStyle name="已瀏覽過的超連結" xfId="4916" builtinId="9" hidden="1"/>
    <cellStyle name="已瀏覽過的超連結" xfId="4918" builtinId="9" hidden="1"/>
    <cellStyle name="已瀏覽過的超連結" xfId="4920" builtinId="9" hidden="1"/>
    <cellStyle name="已瀏覽過的超連結" xfId="4922" builtinId="9" hidden="1"/>
    <cellStyle name="已瀏覽過的超連結" xfId="4924" builtinId="9" hidden="1"/>
    <cellStyle name="已瀏覽過的超連結" xfId="4926" builtinId="9" hidden="1"/>
    <cellStyle name="已瀏覽過的超連結" xfId="4928" builtinId="9" hidden="1"/>
    <cellStyle name="已瀏覽過的超連結" xfId="4930" builtinId="9" hidden="1"/>
    <cellStyle name="已瀏覽過的超連結" xfId="4932" builtinId="9" hidden="1"/>
    <cellStyle name="已瀏覽過的超連結" xfId="4934" builtinId="9" hidden="1"/>
    <cellStyle name="已瀏覽過的超連結" xfId="4936" builtinId="9" hidden="1"/>
    <cellStyle name="已瀏覽過的超連結" xfId="4938" builtinId="9" hidden="1"/>
    <cellStyle name="已瀏覽過的超連結" xfId="4940" builtinId="9" hidden="1"/>
    <cellStyle name="已瀏覽過的超連結" xfId="4942" builtinId="9" hidden="1"/>
    <cellStyle name="已瀏覽過的超連結" xfId="4944" builtinId="9" hidden="1"/>
    <cellStyle name="已瀏覽過的超連結" xfId="4946" builtinId="9" hidden="1"/>
    <cellStyle name="已瀏覽過的超連結" xfId="4948" builtinId="9" hidden="1"/>
    <cellStyle name="已瀏覽過的超連結" xfId="4950" builtinId="9" hidden="1"/>
    <cellStyle name="已瀏覽過的超連結" xfId="4952" builtinId="9" hidden="1"/>
    <cellStyle name="已瀏覽過的超連結" xfId="4954" builtinId="9" hidden="1"/>
    <cellStyle name="已瀏覽過的超連結" xfId="4956" builtinId="9" hidden="1"/>
    <cellStyle name="已瀏覽過的超連結" xfId="4958" builtinId="9" hidden="1"/>
    <cellStyle name="已瀏覽過的超連結" xfId="4960" builtinId="9" hidden="1"/>
    <cellStyle name="已瀏覽過的超連結" xfId="4962" builtinId="9" hidden="1"/>
    <cellStyle name="已瀏覽過的超連結" xfId="4964" builtinId="9" hidden="1"/>
    <cellStyle name="已瀏覽過的超連結" xfId="4966" builtinId="9" hidden="1"/>
    <cellStyle name="已瀏覽過的超連結" xfId="4968" builtinId="9" hidden="1"/>
    <cellStyle name="已瀏覽過的超連結" xfId="4970" builtinId="9" hidden="1"/>
    <cellStyle name="已瀏覽過的超連結" xfId="4972" builtinId="9" hidden="1"/>
    <cellStyle name="已瀏覽過的超連結" xfId="4974" builtinId="9" hidden="1"/>
    <cellStyle name="已瀏覽過的超連結" xfId="4976" builtinId="9" hidden="1"/>
    <cellStyle name="已瀏覽過的超連結" xfId="4978" builtinId="9" hidden="1"/>
    <cellStyle name="已瀏覽過的超連結" xfId="4980" builtinId="9" hidden="1"/>
    <cellStyle name="已瀏覽過的超連結" xfId="4982" builtinId="9" hidden="1"/>
    <cellStyle name="已瀏覽過的超連結" xfId="4984" builtinId="9" hidden="1"/>
    <cellStyle name="已瀏覽過的超連結" xfId="4986" builtinId="9" hidden="1"/>
    <cellStyle name="已瀏覽過的超連結" xfId="4988" builtinId="9" hidden="1"/>
    <cellStyle name="已瀏覽過的超連結" xfId="4990" builtinId="9" hidden="1"/>
    <cellStyle name="已瀏覽過的超連結" xfId="4992" builtinId="9" hidden="1"/>
    <cellStyle name="已瀏覽過的超連結" xfId="4994" builtinId="9" hidden="1"/>
    <cellStyle name="已瀏覽過的超連結" xfId="4996" builtinId="9" hidden="1"/>
    <cellStyle name="已瀏覽過的超連結" xfId="4998" builtinId="9" hidden="1"/>
    <cellStyle name="已瀏覽過的超連結" xfId="5000" builtinId="9" hidden="1"/>
    <cellStyle name="已瀏覽過的超連結" xfId="5002" builtinId="9" hidden="1"/>
    <cellStyle name="已瀏覽過的超連結" xfId="5004" builtinId="9" hidden="1"/>
    <cellStyle name="已瀏覽過的超連結" xfId="5006" builtinId="9" hidden="1"/>
    <cellStyle name="已瀏覽過的超連結" xfId="5008" builtinId="9" hidden="1"/>
    <cellStyle name="已瀏覽過的超連結" xfId="5010" builtinId="9" hidden="1"/>
    <cellStyle name="已瀏覽過的超連結" xfId="5012" builtinId="9" hidden="1"/>
    <cellStyle name="已瀏覽過的超連結" xfId="5014" builtinId="9" hidden="1"/>
    <cellStyle name="已瀏覽過的超連結" xfId="5016" builtinId="9" hidden="1"/>
    <cellStyle name="已瀏覽過的超連結" xfId="5018" builtinId="9" hidden="1"/>
    <cellStyle name="已瀏覽過的超連結" xfId="5020" builtinId="9" hidden="1"/>
    <cellStyle name="已瀏覽過的超連結" xfId="5022" builtinId="9" hidden="1"/>
    <cellStyle name="已瀏覽過的超連結" xfId="5024" builtinId="9" hidden="1"/>
    <cellStyle name="已瀏覽過的超連結" xfId="5026" builtinId="9" hidden="1"/>
    <cellStyle name="已瀏覽過的超連結" xfId="5028" builtinId="9" hidden="1"/>
    <cellStyle name="已瀏覽過的超連結" xfId="5030" builtinId="9" hidden="1"/>
    <cellStyle name="已瀏覽過的超連結" xfId="5032" builtinId="9" hidden="1"/>
    <cellStyle name="已瀏覽過的超連結" xfId="5034" builtinId="9" hidden="1"/>
    <cellStyle name="已瀏覽過的超連結" xfId="5036" builtinId="9" hidden="1"/>
    <cellStyle name="已瀏覽過的超連結" xfId="5038" builtinId="9" hidden="1"/>
    <cellStyle name="已瀏覽過的超連結" xfId="5040" builtinId="9" hidden="1"/>
    <cellStyle name="已瀏覽過的超連結" xfId="5042" builtinId="9" hidden="1"/>
    <cellStyle name="已瀏覽過的超連結" xfId="5044" builtinId="9" hidden="1"/>
    <cellStyle name="已瀏覽過的超連結" xfId="5046" builtinId="9" hidden="1"/>
    <cellStyle name="已瀏覽過的超連結" xfId="5048" builtinId="9" hidden="1"/>
    <cellStyle name="已瀏覽過的超連結" xfId="5050" builtinId="9" hidden="1"/>
    <cellStyle name="已瀏覽過的超連結" xfId="5052" builtinId="9" hidden="1"/>
    <cellStyle name="已瀏覽過的超連結" xfId="5054" builtinId="9" hidden="1"/>
    <cellStyle name="已瀏覽過的超連結" xfId="5056" builtinId="9" hidden="1"/>
    <cellStyle name="已瀏覽過的超連結" xfId="5058" builtinId="9" hidden="1"/>
    <cellStyle name="已瀏覽過的超連結" xfId="5060" builtinId="9" hidden="1"/>
    <cellStyle name="已瀏覽過的超連結" xfId="5062" builtinId="9" hidden="1"/>
    <cellStyle name="已瀏覽過的超連結" xfId="5064" builtinId="9" hidden="1"/>
    <cellStyle name="已瀏覽過的超連結" xfId="5066" builtinId="9" hidden="1"/>
    <cellStyle name="已瀏覽過的超連結" xfId="5068" builtinId="9" hidden="1"/>
    <cellStyle name="已瀏覽過的超連結" xfId="5070" builtinId="9" hidden="1"/>
    <cellStyle name="已瀏覽過的超連結" xfId="5072" builtinId="9" hidden="1"/>
    <cellStyle name="已瀏覽過的超連結" xfId="5074" builtinId="9" hidden="1"/>
    <cellStyle name="已瀏覽過的超連結" xfId="5076" builtinId="9" hidden="1"/>
    <cellStyle name="已瀏覽過的超連結" xfId="5078" builtinId="9" hidden="1"/>
    <cellStyle name="已瀏覽過的超連結" xfId="5080" builtinId="9" hidden="1"/>
    <cellStyle name="已瀏覽過的超連結" xfId="5082" builtinId="9" hidden="1"/>
    <cellStyle name="已瀏覽過的超連結" xfId="5084" builtinId="9" hidden="1"/>
    <cellStyle name="已瀏覽過的超連結" xfId="5086" builtinId="9" hidden="1"/>
    <cellStyle name="已瀏覽過的超連結" xfId="5088" builtinId="9" hidden="1"/>
    <cellStyle name="已瀏覽過的超連結" xfId="5090" builtinId="9" hidden="1"/>
    <cellStyle name="已瀏覽過的超連結" xfId="5092" builtinId="9" hidden="1"/>
    <cellStyle name="已瀏覽過的超連結" xfId="5094" builtinId="9" hidden="1"/>
    <cellStyle name="已瀏覽過的超連結" xfId="5096" builtinId="9" hidden="1"/>
    <cellStyle name="已瀏覽過的超連結" xfId="5098" builtinId="9" hidden="1"/>
    <cellStyle name="已瀏覽過的超連結" xfId="5100" builtinId="9" hidden="1"/>
    <cellStyle name="已瀏覽過的超連結" xfId="5102" builtinId="9" hidden="1"/>
    <cellStyle name="已瀏覽過的超連結" xfId="5104" builtinId="9" hidden="1"/>
    <cellStyle name="已瀏覽過的超連結" xfId="5106" builtinId="9" hidden="1"/>
    <cellStyle name="已瀏覽過的超連結" xfId="5108" builtinId="9" hidden="1"/>
    <cellStyle name="已瀏覽過的超連結" xfId="5110" builtinId="9" hidden="1"/>
    <cellStyle name="已瀏覽過的超連結" xfId="5112" builtinId="9" hidden="1"/>
    <cellStyle name="已瀏覽過的超連結" xfId="5114" builtinId="9" hidden="1"/>
    <cellStyle name="已瀏覽過的超連結" xfId="5116" builtinId="9" hidden="1"/>
    <cellStyle name="已瀏覽過的超連結" xfId="5118" builtinId="9" hidden="1"/>
    <cellStyle name="已瀏覽過的超連結" xfId="5120" builtinId="9" hidden="1"/>
    <cellStyle name="已瀏覽過的超連結" xfId="5122" builtinId="9" hidden="1"/>
    <cellStyle name="已瀏覽過的超連結" xfId="5124" builtinId="9" hidden="1"/>
    <cellStyle name="已瀏覽過的超連結" xfId="5126" builtinId="9" hidden="1"/>
    <cellStyle name="已瀏覽過的超連結" xfId="5128" builtinId="9" hidden="1"/>
    <cellStyle name="已瀏覽過的超連結" xfId="5130" builtinId="9" hidden="1"/>
    <cellStyle name="已瀏覽過的超連結" xfId="5132" builtinId="9" hidden="1"/>
    <cellStyle name="已瀏覽過的超連結" xfId="5134" builtinId="9" hidden="1"/>
    <cellStyle name="已瀏覽過的超連結" xfId="5136" builtinId="9" hidden="1"/>
    <cellStyle name="已瀏覽過的超連結" xfId="5138" builtinId="9" hidden="1"/>
    <cellStyle name="已瀏覽過的超連結" xfId="5140" builtinId="9" hidden="1"/>
    <cellStyle name="已瀏覽過的超連結" xfId="5142" builtinId="9" hidden="1"/>
    <cellStyle name="已瀏覽過的超連結" xfId="5144" builtinId="9" hidden="1"/>
    <cellStyle name="已瀏覽過的超連結" xfId="5146" builtinId="9" hidden="1"/>
    <cellStyle name="已瀏覽過的超連結" xfId="5148" builtinId="9" hidden="1"/>
    <cellStyle name="已瀏覽過的超連結" xfId="5150" builtinId="9" hidden="1"/>
    <cellStyle name="已瀏覽過的超連結" xfId="5152" builtinId="9" hidden="1"/>
    <cellStyle name="已瀏覽過的超連結" xfId="5154" builtinId="9" hidden="1"/>
    <cellStyle name="已瀏覽過的超連結" xfId="5156" builtinId="9" hidden="1"/>
    <cellStyle name="已瀏覽過的超連結" xfId="5158" builtinId="9" hidden="1"/>
    <cellStyle name="已瀏覽過的超連結" xfId="5160" builtinId="9" hidden="1"/>
    <cellStyle name="已瀏覽過的超連結" xfId="5162" builtinId="9" hidden="1"/>
    <cellStyle name="已瀏覽過的超連結" xfId="5164" builtinId="9" hidden="1"/>
    <cellStyle name="已瀏覽過的超連結" xfId="5166" builtinId="9" hidden="1"/>
    <cellStyle name="已瀏覽過的超連結" xfId="5168" builtinId="9" hidden="1"/>
    <cellStyle name="已瀏覽過的超連結" xfId="5170" builtinId="9" hidden="1"/>
    <cellStyle name="已瀏覽過的超連結" xfId="5172" builtinId="9" hidden="1"/>
    <cellStyle name="已瀏覽過的超連結" xfId="5174" builtinId="9" hidden="1"/>
    <cellStyle name="已瀏覽過的超連結" xfId="5176" builtinId="9" hidden="1"/>
    <cellStyle name="已瀏覽過的超連結" xfId="5178" builtinId="9" hidden="1"/>
    <cellStyle name="已瀏覽過的超連結" xfId="5180" builtinId="9" hidden="1"/>
    <cellStyle name="已瀏覽過的超連結" xfId="5182" builtinId="9" hidden="1"/>
    <cellStyle name="已瀏覽過的超連結" xfId="5184" builtinId="9" hidden="1"/>
    <cellStyle name="已瀏覽過的超連結" xfId="5186" builtinId="9" hidden="1"/>
    <cellStyle name="已瀏覽過的超連結" xfId="5188" builtinId="9" hidden="1"/>
    <cellStyle name="已瀏覽過的超連結" xfId="5190" builtinId="9" hidden="1"/>
    <cellStyle name="已瀏覽過的超連結" xfId="5192" builtinId="9" hidden="1"/>
    <cellStyle name="已瀏覽過的超連結" xfId="5194" builtinId="9" hidden="1"/>
    <cellStyle name="已瀏覽過的超連結" xfId="5196" builtinId="9" hidden="1"/>
    <cellStyle name="已瀏覽過的超連結" xfId="5198" builtinId="9" hidden="1"/>
    <cellStyle name="已瀏覽過的超連結" xfId="5200" builtinId="9" hidden="1"/>
    <cellStyle name="已瀏覽過的超連結" xfId="5202" builtinId="9" hidden="1"/>
    <cellStyle name="已瀏覽過的超連結" xfId="5204" builtinId="9" hidden="1"/>
    <cellStyle name="已瀏覽過的超連結" xfId="5206" builtinId="9" hidden="1"/>
    <cellStyle name="已瀏覽過的超連結" xfId="5208" builtinId="9" hidden="1"/>
    <cellStyle name="已瀏覽過的超連結" xfId="5210" builtinId="9" hidden="1"/>
    <cellStyle name="已瀏覽過的超連結" xfId="5212" builtinId="9" hidden="1"/>
    <cellStyle name="已瀏覽過的超連結" xfId="5214" builtinId="9" hidden="1"/>
    <cellStyle name="已瀏覽過的超連結" xfId="5216" builtinId="9" hidden="1"/>
    <cellStyle name="已瀏覽過的超連結" xfId="5218" builtinId="9" hidden="1"/>
    <cellStyle name="已瀏覽過的超連結" xfId="5220" builtinId="9" hidden="1"/>
    <cellStyle name="已瀏覽過的超連結" xfId="5222" builtinId="9" hidden="1"/>
    <cellStyle name="已瀏覽過的超連結" xfId="5224" builtinId="9" hidden="1"/>
    <cellStyle name="已瀏覽過的超連結" xfId="5226" builtinId="9" hidden="1"/>
    <cellStyle name="已瀏覽過的超連結" xfId="5228" builtinId="9" hidden="1"/>
    <cellStyle name="已瀏覽過的超連結" xfId="5230" builtinId="9" hidden="1"/>
    <cellStyle name="已瀏覽過的超連結" xfId="5232" builtinId="9" hidden="1"/>
    <cellStyle name="已瀏覽過的超連結" xfId="5234" builtinId="9" hidden="1"/>
    <cellStyle name="已瀏覽過的超連結" xfId="5236" builtinId="9" hidden="1"/>
    <cellStyle name="已瀏覽過的超連結" xfId="5238" builtinId="9" hidden="1"/>
    <cellStyle name="已瀏覽過的超連結" xfId="5240" builtinId="9" hidden="1"/>
    <cellStyle name="已瀏覽過的超連結" xfId="5242" builtinId="9" hidden="1"/>
    <cellStyle name="已瀏覽過的超連結" xfId="5244" builtinId="9" hidden="1"/>
    <cellStyle name="已瀏覽過的超連結" xfId="5246" builtinId="9" hidden="1"/>
    <cellStyle name="已瀏覽過的超連結" xfId="5248" builtinId="9" hidden="1"/>
    <cellStyle name="已瀏覽過的超連結" xfId="5250" builtinId="9" hidden="1"/>
    <cellStyle name="已瀏覽過的超連結" xfId="5252" builtinId="9" hidden="1"/>
    <cellStyle name="已瀏覽過的超連結" xfId="5254" builtinId="9" hidden="1"/>
    <cellStyle name="已瀏覽過的超連結" xfId="5256" builtinId="9" hidden="1"/>
    <cellStyle name="已瀏覽過的超連結" xfId="5258" builtinId="9" hidden="1"/>
    <cellStyle name="已瀏覽過的超連結" xfId="5260" builtinId="9" hidden="1"/>
    <cellStyle name="已瀏覽過的超連結" xfId="5262" builtinId="9" hidden="1"/>
    <cellStyle name="已瀏覽過的超連結" xfId="5264" builtinId="9" hidden="1"/>
    <cellStyle name="已瀏覽過的超連結" xfId="5266" builtinId="9" hidden="1"/>
    <cellStyle name="已瀏覽過的超連結" xfId="5268" builtinId="9" hidden="1"/>
    <cellStyle name="已瀏覽過的超連結" xfId="5270" builtinId="9" hidden="1"/>
    <cellStyle name="已瀏覽過的超連結" xfId="5272" builtinId="9" hidden="1"/>
    <cellStyle name="已瀏覽過的超連結" xfId="5274" builtinId="9" hidden="1"/>
    <cellStyle name="已瀏覽過的超連結" xfId="5276" builtinId="9" hidden="1"/>
    <cellStyle name="已瀏覽過的超連結" xfId="5278" builtinId="9" hidden="1"/>
    <cellStyle name="已瀏覽過的超連結" xfId="5280" builtinId="9" hidden="1"/>
    <cellStyle name="已瀏覽過的超連結" xfId="5282" builtinId="9" hidden="1"/>
    <cellStyle name="已瀏覽過的超連結" xfId="5284" builtinId="9" hidden="1"/>
    <cellStyle name="已瀏覽過的超連結" xfId="5286" builtinId="9" hidden="1"/>
    <cellStyle name="已瀏覽過的超連結" xfId="5288" builtinId="9" hidden="1"/>
    <cellStyle name="已瀏覽過的超連結" xfId="5290" builtinId="9" hidden="1"/>
    <cellStyle name="已瀏覽過的超連結" xfId="5292" builtinId="9" hidden="1"/>
    <cellStyle name="已瀏覽過的超連結" xfId="5294" builtinId="9" hidden="1"/>
    <cellStyle name="已瀏覽過的超連結" xfId="5296" builtinId="9" hidden="1"/>
    <cellStyle name="已瀏覽過的超連結" xfId="5298" builtinId="9" hidden="1"/>
    <cellStyle name="已瀏覽過的超連結" xfId="5300" builtinId="9" hidden="1"/>
    <cellStyle name="已瀏覽過的超連結" xfId="5302" builtinId="9" hidden="1"/>
    <cellStyle name="已瀏覽過的超連結" xfId="5304" builtinId="9" hidden="1"/>
    <cellStyle name="已瀏覽過的超連結" xfId="5306" builtinId="9" hidden="1"/>
    <cellStyle name="已瀏覽過的超連結" xfId="5308" builtinId="9" hidden="1"/>
    <cellStyle name="已瀏覽過的超連結" xfId="5310" builtinId="9" hidden="1"/>
    <cellStyle name="已瀏覽過的超連結" xfId="5312" builtinId="9" hidden="1"/>
    <cellStyle name="已瀏覽過的超連結" xfId="5314" builtinId="9" hidden="1"/>
    <cellStyle name="已瀏覽過的超連結" xfId="5316" builtinId="9" hidden="1"/>
    <cellStyle name="已瀏覽過的超連結" xfId="5318" builtinId="9" hidden="1"/>
    <cellStyle name="已瀏覽過的超連結" xfId="5320" builtinId="9" hidden="1"/>
    <cellStyle name="已瀏覽過的超連結" xfId="5322" builtinId="9" hidden="1"/>
    <cellStyle name="已瀏覽過的超連結" xfId="5324" builtinId="9" hidden="1"/>
    <cellStyle name="已瀏覽過的超連結" xfId="5326" builtinId="9" hidden="1"/>
    <cellStyle name="已瀏覽過的超連結" xfId="5328" builtinId="9" hidden="1"/>
    <cellStyle name="已瀏覽過的超連結" xfId="5330" builtinId="9" hidden="1"/>
    <cellStyle name="已瀏覽過的超連結" xfId="5332" builtinId="9" hidden="1"/>
    <cellStyle name="已瀏覽過的超連結" xfId="5334" builtinId="9" hidden="1"/>
    <cellStyle name="已瀏覽過的超連結" xfId="5336" builtinId="9" hidden="1"/>
    <cellStyle name="已瀏覽過的超連結" xfId="5338" builtinId="9" hidden="1"/>
    <cellStyle name="已瀏覽過的超連結" xfId="5340" builtinId="9" hidden="1"/>
    <cellStyle name="已瀏覽過的超連結" xfId="5342" builtinId="9" hidden="1"/>
    <cellStyle name="已瀏覽過的超連結" xfId="5344" builtinId="9" hidden="1"/>
    <cellStyle name="已瀏覽過的超連結" xfId="5346" builtinId="9" hidden="1"/>
    <cellStyle name="已瀏覽過的超連結" xfId="5348" builtinId="9" hidden="1"/>
    <cellStyle name="已瀏覽過的超連結" xfId="5350" builtinId="9" hidden="1"/>
    <cellStyle name="已瀏覽過的超連結" xfId="5352" builtinId="9" hidden="1"/>
    <cellStyle name="已瀏覽過的超連結" xfId="5354" builtinId="9" hidden="1"/>
    <cellStyle name="已瀏覽過的超連結" xfId="5356" builtinId="9" hidden="1"/>
    <cellStyle name="已瀏覽過的超連結" xfId="5358" builtinId="9" hidden="1"/>
    <cellStyle name="已瀏覽過的超連結" xfId="5360" builtinId="9" hidden="1"/>
    <cellStyle name="已瀏覽過的超連結" xfId="5362" builtinId="9" hidden="1"/>
    <cellStyle name="已瀏覽過的超連結" xfId="5364" builtinId="9" hidden="1"/>
    <cellStyle name="已瀏覽過的超連結" xfId="5366" builtinId="9" hidden="1"/>
    <cellStyle name="已瀏覽過的超連結" xfId="5368" builtinId="9" hidden="1"/>
    <cellStyle name="已瀏覽過的超連結" xfId="5370" builtinId="9" hidden="1"/>
    <cellStyle name="已瀏覽過的超連結" xfId="5372" builtinId="9" hidden="1"/>
    <cellStyle name="已瀏覽過的超連結" xfId="5374" builtinId="9" hidden="1"/>
    <cellStyle name="已瀏覽過的超連結" xfId="5376" builtinId="9" hidden="1"/>
    <cellStyle name="已瀏覽過的超連結" xfId="5378" builtinId="9" hidden="1"/>
    <cellStyle name="已瀏覽過的超連結" xfId="5380" builtinId="9" hidden="1"/>
    <cellStyle name="已瀏覽過的超連結" xfId="5382" builtinId="9" hidden="1"/>
    <cellStyle name="已瀏覽過的超連結" xfId="5384" builtinId="9" hidden="1"/>
    <cellStyle name="已瀏覽過的超連結" xfId="5386" builtinId="9" hidden="1"/>
    <cellStyle name="已瀏覽過的超連結" xfId="5388" builtinId="9" hidden="1"/>
    <cellStyle name="已瀏覽過的超連結" xfId="5390" builtinId="9" hidden="1"/>
    <cellStyle name="已瀏覽過的超連結" xfId="5392" builtinId="9" hidden="1"/>
    <cellStyle name="已瀏覽過的超連結" xfId="5394" builtinId="9" hidden="1"/>
    <cellStyle name="已瀏覽過的超連結" xfId="5396" builtinId="9" hidden="1"/>
    <cellStyle name="已瀏覽過的超連結" xfId="5398" builtinId="9" hidden="1"/>
    <cellStyle name="已瀏覽過的超連結" xfId="5400" builtinId="9" hidden="1"/>
    <cellStyle name="已瀏覽過的超連結" xfId="5402" builtinId="9" hidden="1"/>
    <cellStyle name="已瀏覽過的超連結" xfId="5404" builtinId="9" hidden="1"/>
    <cellStyle name="已瀏覽過的超連結" xfId="5406" builtinId="9" hidden="1"/>
    <cellStyle name="已瀏覽過的超連結" xfId="5408" builtinId="9" hidden="1"/>
    <cellStyle name="已瀏覽過的超連結" xfId="5410" builtinId="9" hidden="1"/>
    <cellStyle name="已瀏覽過的超連結" xfId="5412" builtinId="9" hidden="1"/>
    <cellStyle name="已瀏覽過的超連結" xfId="5414" builtinId="9" hidden="1"/>
    <cellStyle name="已瀏覽過的超連結" xfId="5416" builtinId="9" hidden="1"/>
    <cellStyle name="已瀏覽過的超連結" xfId="5418" builtinId="9" hidden="1"/>
    <cellStyle name="已瀏覽過的超連結" xfId="5420" builtinId="9" hidden="1"/>
    <cellStyle name="已瀏覽過的超連結" xfId="5422" builtinId="9" hidden="1"/>
    <cellStyle name="已瀏覽過的超連結" xfId="5424" builtinId="9" hidden="1"/>
    <cellStyle name="已瀏覽過的超連結" xfId="5426" builtinId="9" hidden="1"/>
    <cellStyle name="已瀏覽過的超連結" xfId="5428" builtinId="9" hidden="1"/>
    <cellStyle name="已瀏覽過的超連結" xfId="5430" builtinId="9" hidden="1"/>
    <cellStyle name="已瀏覽過的超連結" xfId="5432" builtinId="9" hidden="1"/>
    <cellStyle name="已瀏覽過的超連結" xfId="5434" builtinId="9" hidden="1"/>
    <cellStyle name="已瀏覽過的超連結" xfId="5436" builtinId="9" hidden="1"/>
    <cellStyle name="已瀏覽過的超連結" xfId="5438" builtinId="9" hidden="1"/>
    <cellStyle name="已瀏覽過的超連結" xfId="5440" builtinId="9" hidden="1"/>
    <cellStyle name="已瀏覽過的超連結" xfId="5442" builtinId="9" hidden="1"/>
    <cellStyle name="已瀏覽過的超連結" xfId="5444" builtinId="9" hidden="1"/>
    <cellStyle name="已瀏覽過的超連結" xfId="5446" builtinId="9" hidden="1"/>
    <cellStyle name="已瀏覽過的超連結" xfId="5448" builtinId="9" hidden="1"/>
    <cellStyle name="已瀏覽過的超連結" xfId="5450" builtinId="9" hidden="1"/>
    <cellStyle name="已瀏覽過的超連結" xfId="5452" builtinId="9" hidden="1"/>
    <cellStyle name="已瀏覽過的超連結" xfId="5454" builtinId="9" hidden="1"/>
    <cellStyle name="已瀏覽過的超連結" xfId="5456" builtinId="9" hidden="1"/>
    <cellStyle name="已瀏覽過的超連結" xfId="5458" builtinId="9" hidden="1"/>
    <cellStyle name="已瀏覽過的超連結" xfId="5460" builtinId="9" hidden="1"/>
    <cellStyle name="已瀏覽過的超連結" xfId="5462" builtinId="9" hidden="1"/>
    <cellStyle name="已瀏覽過的超連結" xfId="5464" builtinId="9" hidden="1"/>
    <cellStyle name="已瀏覽過的超連結" xfId="5466" builtinId="9" hidden="1"/>
    <cellStyle name="已瀏覽過的超連結" xfId="5468" builtinId="9" hidden="1"/>
    <cellStyle name="已瀏覽過的超連結" xfId="5470" builtinId="9" hidden="1"/>
    <cellStyle name="已瀏覽過的超連結" xfId="5472" builtinId="9" hidden="1"/>
    <cellStyle name="已瀏覽過的超連結" xfId="5474" builtinId="9" hidden="1"/>
    <cellStyle name="已瀏覽過的超連結" xfId="5476" builtinId="9" hidden="1"/>
    <cellStyle name="已瀏覽過的超連結" xfId="5478" builtinId="9" hidden="1"/>
    <cellStyle name="已瀏覽過的超連結" xfId="5480" builtinId="9" hidden="1"/>
    <cellStyle name="已瀏覽過的超連結" xfId="5482" builtinId="9" hidden="1"/>
    <cellStyle name="已瀏覽過的超連結" xfId="5484" builtinId="9" hidden="1"/>
    <cellStyle name="已瀏覽過的超連結" xfId="5486" builtinId="9" hidden="1"/>
    <cellStyle name="已瀏覽過的超連結" xfId="5488" builtinId="9" hidden="1"/>
    <cellStyle name="已瀏覽過的超連結" xfId="5490" builtinId="9" hidden="1"/>
    <cellStyle name="已瀏覽過的超連結" xfId="5492" builtinId="9" hidden="1"/>
    <cellStyle name="已瀏覽過的超連結" xfId="5494" builtinId="9" hidden="1"/>
    <cellStyle name="已瀏覽過的超連結" xfId="5496" builtinId="9" hidden="1"/>
    <cellStyle name="已瀏覽過的超連結" xfId="5498" builtinId="9" hidden="1"/>
    <cellStyle name="已瀏覽過的超連結" xfId="5500" builtinId="9" hidden="1"/>
    <cellStyle name="已瀏覽過的超連結" xfId="5502" builtinId="9" hidden="1"/>
    <cellStyle name="已瀏覽過的超連結" xfId="5504" builtinId="9" hidden="1"/>
    <cellStyle name="已瀏覽過的超連結" xfId="5506" builtinId="9" hidden="1"/>
    <cellStyle name="已瀏覽過的超連結" xfId="5508" builtinId="9" hidden="1"/>
    <cellStyle name="已瀏覽過的超連結" xfId="5510" builtinId="9" hidden="1"/>
    <cellStyle name="已瀏覽過的超連結" xfId="5512" builtinId="9" hidden="1"/>
    <cellStyle name="已瀏覽過的超連結" xfId="5514" builtinId="9" hidden="1"/>
    <cellStyle name="已瀏覽過的超連結" xfId="5516" builtinId="9" hidden="1"/>
    <cellStyle name="已瀏覽過的超連結" xfId="5518" builtinId="9" hidden="1"/>
    <cellStyle name="已瀏覽過的超連結" xfId="5520" builtinId="9" hidden="1"/>
    <cellStyle name="已瀏覽過的超連結" xfId="5522" builtinId="9" hidden="1"/>
    <cellStyle name="已瀏覽過的超連結" xfId="5524" builtinId="9" hidden="1"/>
    <cellStyle name="已瀏覽過的超連結" xfId="5526" builtinId="9" hidden="1"/>
    <cellStyle name="已瀏覽過的超連結" xfId="5528" builtinId="9" hidden="1"/>
    <cellStyle name="已瀏覽過的超連結" xfId="5530" builtinId="9" hidden="1"/>
    <cellStyle name="已瀏覽過的超連結" xfId="5532" builtinId="9" hidden="1"/>
    <cellStyle name="已瀏覽過的超連結" xfId="5534" builtinId="9" hidden="1"/>
    <cellStyle name="已瀏覽過的超連結" xfId="5536" builtinId="9" hidden="1"/>
    <cellStyle name="已瀏覽過的超連結" xfId="5538" builtinId="9" hidden="1"/>
    <cellStyle name="已瀏覽過的超連結" xfId="5540" builtinId="9" hidden="1"/>
    <cellStyle name="已瀏覽過的超連結" xfId="5542" builtinId="9" hidden="1"/>
    <cellStyle name="已瀏覽過的超連結" xfId="5544" builtinId="9" hidden="1"/>
    <cellStyle name="已瀏覽過的超連結" xfId="5546" builtinId="9" hidden="1"/>
    <cellStyle name="已瀏覽過的超連結" xfId="5548" builtinId="9" hidden="1"/>
    <cellStyle name="已瀏覽過的超連結" xfId="5550" builtinId="9" hidden="1"/>
    <cellStyle name="已瀏覽過的超連結" xfId="5552" builtinId="9" hidden="1"/>
    <cellStyle name="已瀏覽過的超連結" xfId="5554" builtinId="9" hidden="1"/>
    <cellStyle name="已瀏覽過的超連結" xfId="5556" builtinId="9" hidden="1"/>
    <cellStyle name="已瀏覽過的超連結" xfId="5558" builtinId="9" hidden="1"/>
    <cellStyle name="已瀏覽過的超連結" xfId="5560" builtinId="9" hidden="1"/>
    <cellStyle name="已瀏覽過的超連結" xfId="5562" builtinId="9" hidden="1"/>
    <cellStyle name="已瀏覽過的超連結" xfId="5564" builtinId="9" hidden="1"/>
    <cellStyle name="已瀏覽過的超連結" xfId="5566" builtinId="9" hidden="1"/>
    <cellStyle name="已瀏覽過的超連結" xfId="5568" builtinId="9" hidden="1"/>
    <cellStyle name="已瀏覽過的超連結" xfId="5570" builtinId="9" hidden="1"/>
    <cellStyle name="已瀏覽過的超連結" xfId="5572" builtinId="9" hidden="1"/>
    <cellStyle name="已瀏覽過的超連結" xfId="5574" builtinId="9" hidden="1"/>
    <cellStyle name="已瀏覽過的超連結" xfId="5576" builtinId="9" hidden="1"/>
    <cellStyle name="已瀏覽過的超連結" xfId="5578" builtinId="9" hidden="1"/>
    <cellStyle name="已瀏覽過的超連結" xfId="5580" builtinId="9" hidden="1"/>
    <cellStyle name="已瀏覽過的超連結" xfId="5582" builtinId="9" hidden="1"/>
    <cellStyle name="已瀏覽過的超連結" xfId="5584" builtinId="9" hidden="1"/>
    <cellStyle name="已瀏覽過的超連結" xfId="5586" builtinId="9" hidden="1"/>
    <cellStyle name="已瀏覽過的超連結" xfId="5588" builtinId="9" hidden="1"/>
    <cellStyle name="已瀏覽過的超連結" xfId="5590" builtinId="9" hidden="1"/>
    <cellStyle name="已瀏覽過的超連結" xfId="5592" builtinId="9" hidden="1"/>
    <cellStyle name="已瀏覽過的超連結" xfId="5594" builtinId="9" hidden="1"/>
    <cellStyle name="已瀏覽過的超連結" xfId="5596" builtinId="9" hidden="1"/>
    <cellStyle name="已瀏覽過的超連結" xfId="5598" builtinId="9" hidden="1"/>
    <cellStyle name="已瀏覽過的超連結" xfId="5600" builtinId="9" hidden="1"/>
    <cellStyle name="已瀏覽過的超連結" xfId="5602" builtinId="9" hidden="1"/>
    <cellStyle name="已瀏覽過的超連結" xfId="5604" builtinId="9" hidden="1"/>
    <cellStyle name="已瀏覽過的超連結" xfId="5606" builtinId="9" hidden="1"/>
    <cellStyle name="已瀏覽過的超連結" xfId="5608" builtinId="9" hidden="1"/>
    <cellStyle name="已瀏覽過的超連結" xfId="5610" builtinId="9" hidden="1"/>
    <cellStyle name="已瀏覽過的超連結" xfId="5612" builtinId="9" hidden="1"/>
    <cellStyle name="已瀏覽過的超連結" xfId="5614" builtinId="9" hidden="1"/>
    <cellStyle name="已瀏覽過的超連結" xfId="5616" builtinId="9" hidden="1"/>
    <cellStyle name="已瀏覽過的超連結" xfId="5618" builtinId="9" hidden="1"/>
    <cellStyle name="已瀏覽過的超連結" xfId="5620" builtinId="9" hidden="1"/>
    <cellStyle name="已瀏覽過的超連結" xfId="5622" builtinId="9" hidden="1"/>
    <cellStyle name="已瀏覽過的超連結" xfId="5624" builtinId="9" hidden="1"/>
    <cellStyle name="已瀏覽過的超連結" xfId="5626" builtinId="9" hidden="1"/>
    <cellStyle name="已瀏覽過的超連結" xfId="5628" builtinId="9" hidden="1"/>
    <cellStyle name="已瀏覽過的超連結" xfId="5630" builtinId="9" hidden="1"/>
    <cellStyle name="已瀏覽過的超連結" xfId="5632" builtinId="9" hidden="1"/>
    <cellStyle name="已瀏覽過的超連結" xfId="5634" builtinId="9" hidden="1"/>
    <cellStyle name="已瀏覽過的超連結" xfId="5636" builtinId="9" hidden="1"/>
    <cellStyle name="已瀏覽過的超連結" xfId="5638" builtinId="9" hidden="1"/>
    <cellStyle name="已瀏覽過的超連結" xfId="5640" builtinId="9" hidden="1"/>
    <cellStyle name="已瀏覽過的超連結" xfId="5642" builtinId="9" hidden="1"/>
    <cellStyle name="已瀏覽過的超連結" xfId="5644" builtinId="9" hidden="1"/>
    <cellStyle name="已瀏覽過的超連結" xfId="5646" builtinId="9" hidden="1"/>
    <cellStyle name="已瀏覽過的超連結" xfId="5648" builtinId="9" hidden="1"/>
    <cellStyle name="已瀏覽過的超連結" xfId="5650" builtinId="9" hidden="1"/>
    <cellStyle name="已瀏覽過的超連結" xfId="5652" builtinId="9" hidden="1"/>
    <cellStyle name="已瀏覽過的超連結" xfId="5654" builtinId="9" hidden="1"/>
    <cellStyle name="已瀏覽過的超連結" xfId="5656" builtinId="9" hidden="1"/>
    <cellStyle name="已瀏覽過的超連結" xfId="5658" builtinId="9" hidden="1"/>
    <cellStyle name="已瀏覽過的超連結" xfId="5660" builtinId="9" hidden="1"/>
    <cellStyle name="已瀏覽過的超連結" xfId="5662" builtinId="9" hidden="1"/>
    <cellStyle name="已瀏覽過的超連結" xfId="5664" builtinId="9" hidden="1"/>
    <cellStyle name="已瀏覽過的超連結" xfId="5666" builtinId="9" hidden="1"/>
    <cellStyle name="已瀏覽過的超連結" xfId="5668" builtinId="9" hidden="1"/>
    <cellStyle name="已瀏覽過的超連結" xfId="5670" builtinId="9" hidden="1"/>
    <cellStyle name="已瀏覽過的超連結" xfId="5672" builtinId="9" hidden="1"/>
    <cellStyle name="已瀏覽過的超連結" xfId="5674" builtinId="9" hidden="1"/>
    <cellStyle name="已瀏覽過的超連結" xfId="5676" builtinId="9" hidden="1"/>
    <cellStyle name="已瀏覽過的超連結" xfId="5678" builtinId="9" hidden="1"/>
    <cellStyle name="已瀏覽過的超連結" xfId="5680" builtinId="9" hidden="1"/>
    <cellStyle name="已瀏覽過的超連結" xfId="5682" builtinId="9" hidden="1"/>
    <cellStyle name="已瀏覽過的超連結" xfId="5684" builtinId="9" hidden="1"/>
    <cellStyle name="已瀏覽過的超連結" xfId="5686" builtinId="9" hidden="1"/>
    <cellStyle name="已瀏覽過的超連結" xfId="5688" builtinId="9" hidden="1"/>
    <cellStyle name="已瀏覽過的超連結" xfId="5690" builtinId="9" hidden="1"/>
    <cellStyle name="已瀏覽過的超連結" xfId="5692" builtinId="9" hidden="1"/>
    <cellStyle name="已瀏覽過的超連結" xfId="5694" builtinId="9" hidden="1"/>
    <cellStyle name="已瀏覽過的超連結" xfId="5696" builtinId="9" hidden="1"/>
    <cellStyle name="已瀏覽過的超連結" xfId="5698" builtinId="9" hidden="1"/>
    <cellStyle name="已瀏覽過的超連結" xfId="5700" builtinId="9" hidden="1"/>
    <cellStyle name="已瀏覽過的超連結" xfId="5702" builtinId="9" hidden="1"/>
    <cellStyle name="已瀏覽過的超連結" xfId="5704" builtinId="9" hidden="1"/>
    <cellStyle name="已瀏覽過的超連結" xfId="5706" builtinId="9" hidden="1"/>
    <cellStyle name="已瀏覽過的超連結" xfId="5708" builtinId="9" hidden="1"/>
    <cellStyle name="已瀏覽過的超連結" xfId="5710" builtinId="9" hidden="1"/>
    <cellStyle name="已瀏覽過的超連結" xfId="5712" builtinId="9" hidden="1"/>
    <cellStyle name="已瀏覽過的超連結" xfId="5714" builtinId="9" hidden="1"/>
    <cellStyle name="已瀏覽過的超連結" xfId="5716" builtinId="9" hidden="1"/>
    <cellStyle name="已瀏覽過的超連結" xfId="5718" builtinId="9" hidden="1"/>
    <cellStyle name="已瀏覽過的超連結" xfId="5720" builtinId="9" hidden="1"/>
    <cellStyle name="已瀏覽過的超連結" xfId="5722" builtinId="9" hidden="1"/>
    <cellStyle name="已瀏覽過的超連結" xfId="5724" builtinId="9" hidden="1"/>
    <cellStyle name="已瀏覽過的超連結" xfId="5726" builtinId="9" hidden="1"/>
    <cellStyle name="已瀏覽過的超連結" xfId="5728" builtinId="9" hidden="1"/>
    <cellStyle name="已瀏覽過的超連結" xfId="5730" builtinId="9" hidden="1"/>
    <cellStyle name="已瀏覽過的超連結" xfId="5732" builtinId="9" hidden="1"/>
    <cellStyle name="已瀏覽過的超連結" xfId="5734" builtinId="9" hidden="1"/>
    <cellStyle name="已瀏覽過的超連結" xfId="5736" builtinId="9" hidden="1"/>
    <cellStyle name="已瀏覽過的超連結" xfId="5738" builtinId="9" hidden="1"/>
    <cellStyle name="已瀏覽過的超連結" xfId="5740" builtinId="9" hidden="1"/>
    <cellStyle name="已瀏覽過的超連結" xfId="5742" builtinId="9" hidden="1"/>
    <cellStyle name="已瀏覽過的超連結" xfId="5744" builtinId="9" hidden="1"/>
    <cellStyle name="已瀏覽過的超連結" xfId="5746" builtinId="9" hidden="1"/>
    <cellStyle name="已瀏覽過的超連結" xfId="5748" builtinId="9" hidden="1"/>
    <cellStyle name="已瀏覽過的超連結" xfId="5750" builtinId="9" hidden="1"/>
    <cellStyle name="已瀏覽過的超連結" xfId="5752" builtinId="9" hidden="1"/>
    <cellStyle name="已瀏覽過的超連結" xfId="5754" builtinId="9" hidden="1"/>
    <cellStyle name="已瀏覽過的超連結" xfId="5756" builtinId="9" hidden="1"/>
    <cellStyle name="已瀏覽過的超連結" xfId="5758" builtinId="9" hidden="1"/>
    <cellStyle name="已瀏覽過的超連結" xfId="5760" builtinId="9" hidden="1"/>
    <cellStyle name="已瀏覽過的超連結" xfId="5762" builtinId="9" hidden="1"/>
    <cellStyle name="已瀏覽過的超連結" xfId="5764" builtinId="9" hidden="1"/>
    <cellStyle name="已瀏覽過的超連結" xfId="5766" builtinId="9" hidden="1"/>
    <cellStyle name="已瀏覽過的超連結" xfId="5768" builtinId="9" hidden="1"/>
    <cellStyle name="已瀏覽過的超連結" xfId="5770" builtinId="9" hidden="1"/>
    <cellStyle name="已瀏覽過的超連結" xfId="5772" builtinId="9" hidden="1"/>
    <cellStyle name="已瀏覽過的超連結" xfId="5774" builtinId="9" hidden="1"/>
    <cellStyle name="已瀏覽過的超連結" xfId="5776" builtinId="9" hidden="1"/>
    <cellStyle name="已瀏覽過的超連結" xfId="5778" builtinId="9" hidden="1"/>
    <cellStyle name="已瀏覽過的超連結" xfId="5780" builtinId="9" hidden="1"/>
    <cellStyle name="已瀏覽過的超連結" xfId="5782" builtinId="9" hidden="1"/>
    <cellStyle name="已瀏覽過的超連結" xfId="5784" builtinId="9" hidden="1"/>
    <cellStyle name="已瀏覽過的超連結" xfId="5786" builtinId="9" hidden="1"/>
    <cellStyle name="已瀏覽過的超連結" xfId="5788" builtinId="9" hidden="1"/>
    <cellStyle name="已瀏覽過的超連結" xfId="5790" builtinId="9" hidden="1"/>
    <cellStyle name="已瀏覽過的超連結" xfId="5792" builtinId="9" hidden="1"/>
    <cellStyle name="已瀏覽過的超連結" xfId="5794" builtinId="9" hidden="1"/>
    <cellStyle name="已瀏覽過的超連結" xfId="5796" builtinId="9" hidden="1"/>
    <cellStyle name="已瀏覽過的超連結" xfId="5798" builtinId="9" hidden="1"/>
    <cellStyle name="已瀏覽過的超連結" xfId="5800" builtinId="9" hidden="1"/>
    <cellStyle name="已瀏覽過的超連結" xfId="5802" builtinId="9" hidden="1"/>
    <cellStyle name="已瀏覽過的超連結" xfId="5804" builtinId="9" hidden="1"/>
    <cellStyle name="已瀏覽過的超連結" xfId="5806" builtinId="9" hidden="1"/>
    <cellStyle name="已瀏覽過的超連結" xfId="5808" builtinId="9" hidden="1"/>
    <cellStyle name="已瀏覽過的超連結" xfId="5810" builtinId="9" hidden="1"/>
    <cellStyle name="已瀏覽過的超連結" xfId="5812" builtinId="9" hidden="1"/>
    <cellStyle name="已瀏覽過的超連結" xfId="5814" builtinId="9" hidden="1"/>
    <cellStyle name="已瀏覽過的超連結" xfId="5816" builtinId="9" hidden="1"/>
    <cellStyle name="已瀏覽過的超連結" xfId="5818" builtinId="9" hidden="1"/>
    <cellStyle name="已瀏覽過的超連結" xfId="5820" builtinId="9" hidden="1"/>
    <cellStyle name="已瀏覽過的超連結" xfId="5822" builtinId="9" hidden="1"/>
    <cellStyle name="已瀏覽過的超連結" xfId="5824" builtinId="9" hidden="1"/>
    <cellStyle name="已瀏覽過的超連結" xfId="5826" builtinId="9" hidden="1"/>
    <cellStyle name="已瀏覽過的超連結" xfId="5828" builtinId="9" hidden="1"/>
    <cellStyle name="已瀏覽過的超連結" xfId="5830" builtinId="9" hidden="1"/>
    <cellStyle name="已瀏覽過的超連結" xfId="5832" builtinId="9" hidden="1"/>
    <cellStyle name="已瀏覽過的超連結" xfId="5834" builtinId="9" hidden="1"/>
    <cellStyle name="已瀏覽過的超連結" xfId="5836" builtinId="9" hidden="1"/>
    <cellStyle name="已瀏覽過的超連結" xfId="5838" builtinId="9" hidden="1"/>
    <cellStyle name="已瀏覽過的超連結" xfId="5840" builtinId="9" hidden="1"/>
    <cellStyle name="已瀏覽過的超連結" xfId="5842" builtinId="9" hidden="1"/>
    <cellStyle name="已瀏覽過的超連結" xfId="5844" builtinId="9" hidden="1"/>
    <cellStyle name="已瀏覽過的超連結" xfId="5846" builtinId="9" hidden="1"/>
    <cellStyle name="已瀏覽過的超連結" xfId="5848" builtinId="9" hidden="1"/>
    <cellStyle name="已瀏覽過的超連結" xfId="5850" builtinId="9" hidden="1"/>
    <cellStyle name="已瀏覽過的超連結" xfId="5852" builtinId="9" hidden="1"/>
    <cellStyle name="已瀏覽過的超連結" xfId="5854" builtinId="9" hidden="1"/>
    <cellStyle name="已瀏覽過的超連結" xfId="5856" builtinId="9" hidden="1"/>
    <cellStyle name="已瀏覽過的超連結" xfId="5858" builtinId="9" hidden="1"/>
    <cellStyle name="已瀏覽過的超連結" xfId="5860" builtinId="9" hidden="1"/>
    <cellStyle name="已瀏覽過的超連結" xfId="5862" builtinId="9" hidden="1"/>
    <cellStyle name="已瀏覽過的超連結" xfId="5864" builtinId="9" hidden="1"/>
    <cellStyle name="已瀏覽過的超連結" xfId="5866" builtinId="9" hidden="1"/>
    <cellStyle name="已瀏覽過的超連結" xfId="5868" builtinId="9" hidden="1"/>
    <cellStyle name="已瀏覽過的超連結" xfId="5870" builtinId="9" hidden="1"/>
    <cellStyle name="已瀏覽過的超連結" xfId="5872" builtinId="9" hidden="1"/>
    <cellStyle name="已瀏覽過的超連結" xfId="5874" builtinId="9" hidden="1"/>
    <cellStyle name="已瀏覽過的超連結" xfId="5876" builtinId="9" hidden="1"/>
    <cellStyle name="已瀏覽過的超連結" xfId="5878" builtinId="9" hidden="1"/>
    <cellStyle name="已瀏覽過的超連結" xfId="5880" builtinId="9" hidden="1"/>
    <cellStyle name="已瀏覽過的超連結" xfId="5882" builtinId="9" hidden="1"/>
    <cellStyle name="已瀏覽過的超連結" xfId="5884" builtinId="9" hidden="1"/>
    <cellStyle name="已瀏覽過的超連結" xfId="5886" builtinId="9" hidden="1"/>
    <cellStyle name="已瀏覽過的超連結" xfId="5888" builtinId="9" hidden="1"/>
    <cellStyle name="已瀏覽過的超連結" xfId="5890" builtinId="9" hidden="1"/>
    <cellStyle name="已瀏覽過的超連結" xfId="5892" builtinId="9" hidden="1"/>
    <cellStyle name="已瀏覽過的超連結" xfId="5894" builtinId="9" hidden="1"/>
    <cellStyle name="已瀏覽過的超連結" xfId="5896" builtinId="9" hidden="1"/>
    <cellStyle name="已瀏覽過的超連結" xfId="5898" builtinId="9" hidden="1"/>
    <cellStyle name="已瀏覽過的超連結" xfId="5900" builtinId="9" hidden="1"/>
    <cellStyle name="已瀏覽過的超連結" xfId="5902" builtinId="9" hidden="1"/>
    <cellStyle name="已瀏覽過的超連結" xfId="5904" builtinId="9" hidden="1"/>
    <cellStyle name="已瀏覽過的超連結" xfId="5906" builtinId="9" hidden="1"/>
    <cellStyle name="超連結" xfId="1" builtinId="8" hidden="1"/>
    <cellStyle name="超連結" xfId="3" builtinId="8" hidden="1"/>
    <cellStyle name="超連結" xfId="5" builtinId="8" hidden="1"/>
    <cellStyle name="超連結" xfId="7" builtinId="8" hidden="1"/>
    <cellStyle name="超連結" xfId="9" builtinId="8" hidden="1"/>
    <cellStyle name="超連結" xfId="11" builtinId="8" hidden="1"/>
    <cellStyle name="超連結" xfId="13" builtinId="8" hidden="1"/>
    <cellStyle name="超連結" xfId="15" builtinId="8" hidden="1"/>
    <cellStyle name="超連結" xfId="17" builtinId="8" hidden="1"/>
    <cellStyle name="超連結" xfId="19" builtinId="8" hidden="1"/>
    <cellStyle name="超連結" xfId="21" builtinId="8" hidden="1"/>
    <cellStyle name="超連結" xfId="23" builtinId="8" hidden="1"/>
    <cellStyle name="超連結" xfId="25" builtinId="8" hidden="1"/>
    <cellStyle name="超連結" xfId="27" builtinId="8" hidden="1"/>
    <cellStyle name="超連結" xfId="29" builtinId="8" hidden="1"/>
    <cellStyle name="超連結" xfId="31" builtinId="8" hidden="1"/>
    <cellStyle name="超連結" xfId="33" builtinId="8" hidden="1"/>
    <cellStyle name="超連結" xfId="35" builtinId="8" hidden="1"/>
    <cellStyle name="超連結" xfId="37" builtinId="8" hidden="1"/>
    <cellStyle name="超連結" xfId="39" builtinId="8" hidden="1"/>
    <cellStyle name="超連結" xfId="41" builtinId="8" hidden="1"/>
    <cellStyle name="超連結" xfId="43" builtinId="8" hidden="1"/>
    <cellStyle name="超連結" xfId="45" builtinId="8" hidden="1"/>
    <cellStyle name="超連結" xfId="47" builtinId="8" hidden="1"/>
    <cellStyle name="超連結" xfId="49" builtinId="8" hidden="1"/>
    <cellStyle name="超連結" xfId="51" builtinId="8" hidden="1"/>
    <cellStyle name="超連結" xfId="53" builtinId="8" hidden="1"/>
    <cellStyle name="超連結" xfId="55" builtinId="8" hidden="1"/>
    <cellStyle name="超連結" xfId="57" builtinId="8" hidden="1"/>
    <cellStyle name="超連結" xfId="59" builtinId="8" hidden="1"/>
    <cellStyle name="超連結" xfId="61" builtinId="8" hidden="1"/>
    <cellStyle name="超連結" xfId="63" builtinId="8" hidden="1"/>
    <cellStyle name="超連結" xfId="65" builtinId="8" hidden="1"/>
    <cellStyle name="超連結" xfId="67" builtinId="8" hidden="1"/>
    <cellStyle name="超連結" xfId="69" builtinId="8" hidden="1"/>
    <cellStyle name="超連結" xfId="71" builtinId="8" hidden="1"/>
    <cellStyle name="超連結" xfId="73" builtinId="8" hidden="1"/>
    <cellStyle name="超連結" xfId="75" builtinId="8" hidden="1"/>
    <cellStyle name="超連結" xfId="77" builtinId="8" hidden="1"/>
    <cellStyle name="超連結" xfId="79" builtinId="8" hidden="1"/>
    <cellStyle name="超連結" xfId="81" builtinId="8" hidden="1"/>
    <cellStyle name="超連結" xfId="83" builtinId="8" hidden="1"/>
    <cellStyle name="超連結" xfId="85" builtinId="8" hidden="1"/>
    <cellStyle name="超連結" xfId="87" builtinId="8" hidden="1"/>
    <cellStyle name="超連結" xfId="89" builtinId="8" hidden="1"/>
    <cellStyle name="超連結" xfId="91" builtinId="8" hidden="1"/>
    <cellStyle name="超連結" xfId="93" builtinId="8" hidden="1"/>
    <cellStyle name="超連結" xfId="95" builtinId="8" hidden="1"/>
    <cellStyle name="超連結" xfId="97" builtinId="8" hidden="1"/>
    <cellStyle name="超連結" xfId="99" builtinId="8" hidden="1"/>
    <cellStyle name="超連結" xfId="101" builtinId="8" hidden="1"/>
    <cellStyle name="超連結" xfId="103" builtinId="8" hidden="1"/>
    <cellStyle name="超連結" xfId="105" builtinId="8" hidden="1"/>
    <cellStyle name="超連結" xfId="107" builtinId="8" hidden="1"/>
    <cellStyle name="超連結" xfId="109" builtinId="8" hidden="1"/>
    <cellStyle name="超連結" xfId="111" builtinId="8" hidden="1"/>
    <cellStyle name="超連結" xfId="113" builtinId="8" hidden="1"/>
    <cellStyle name="超連結" xfId="115" builtinId="8" hidden="1"/>
    <cellStyle name="超連結" xfId="117" builtinId="8" hidden="1"/>
    <cellStyle name="超連結" xfId="119" builtinId="8" hidden="1"/>
    <cellStyle name="超連結" xfId="121" builtinId="8" hidden="1"/>
    <cellStyle name="超連結" xfId="123" builtinId="8" hidden="1"/>
    <cellStyle name="超連結" xfId="125" builtinId="8" hidden="1"/>
    <cellStyle name="超連結" xfId="127" builtinId="8" hidden="1"/>
    <cellStyle name="超連結" xfId="129" builtinId="8" hidden="1"/>
    <cellStyle name="超連結" xfId="131" builtinId="8" hidden="1"/>
    <cellStyle name="超連結" xfId="133" builtinId="8" hidden="1"/>
    <cellStyle name="超連結" xfId="135" builtinId="8" hidden="1"/>
    <cellStyle name="超連結" xfId="137" builtinId="8" hidden="1"/>
    <cellStyle name="超連結" xfId="139" builtinId="8" hidden="1"/>
    <cellStyle name="超連結" xfId="141" builtinId="8" hidden="1"/>
    <cellStyle name="超連結" xfId="143" builtinId="8" hidden="1"/>
    <cellStyle name="超連結" xfId="145" builtinId="8" hidden="1"/>
    <cellStyle name="超連結" xfId="147" builtinId="8" hidden="1"/>
    <cellStyle name="超連結" xfId="149" builtinId="8" hidden="1"/>
    <cellStyle name="超連結" xfId="151" builtinId="8" hidden="1"/>
    <cellStyle name="超連結" xfId="153" builtinId="8" hidden="1"/>
    <cellStyle name="超連結" xfId="155" builtinId="8" hidden="1"/>
    <cellStyle name="超連結" xfId="157" builtinId="8" hidden="1"/>
    <cellStyle name="超連結" xfId="159" builtinId="8" hidden="1"/>
    <cellStyle name="超連結" xfId="161" builtinId="8" hidden="1"/>
    <cellStyle name="超連結" xfId="163" builtinId="8" hidden="1"/>
    <cellStyle name="超連結" xfId="165" builtinId="8" hidden="1"/>
    <cellStyle name="超連結" xfId="167" builtinId="8" hidden="1"/>
    <cellStyle name="超連結" xfId="169" builtinId="8" hidden="1"/>
    <cellStyle name="超連結" xfId="171" builtinId="8" hidden="1"/>
    <cellStyle name="超連結" xfId="173" builtinId="8" hidden="1"/>
    <cellStyle name="超連結" xfId="175" builtinId="8" hidden="1"/>
    <cellStyle name="超連結" xfId="177" builtinId="8" hidden="1"/>
    <cellStyle name="超連結" xfId="179" builtinId="8" hidden="1"/>
    <cellStyle name="超連結" xfId="181" builtinId="8" hidden="1"/>
    <cellStyle name="超連結" xfId="183" builtinId="8" hidden="1"/>
    <cellStyle name="超連結" xfId="185" builtinId="8" hidden="1"/>
    <cellStyle name="超連結" xfId="187" builtinId="8" hidden="1"/>
    <cellStyle name="超連結" xfId="189" builtinId="8" hidden="1"/>
    <cellStyle name="超連結" xfId="191" builtinId="8" hidden="1"/>
    <cellStyle name="超連結" xfId="193" builtinId="8" hidden="1"/>
    <cellStyle name="超連結" xfId="195" builtinId="8" hidden="1"/>
    <cellStyle name="超連結" xfId="197" builtinId="8" hidden="1"/>
    <cellStyle name="超連結" xfId="199" builtinId="8" hidden="1"/>
    <cellStyle name="超連結" xfId="201" builtinId="8" hidden="1"/>
    <cellStyle name="超連結" xfId="203" builtinId="8" hidden="1"/>
    <cellStyle name="超連結" xfId="205" builtinId="8" hidden="1"/>
    <cellStyle name="超連結" xfId="207" builtinId="8" hidden="1"/>
    <cellStyle name="超連結" xfId="209" builtinId="8" hidden="1"/>
    <cellStyle name="超連結" xfId="211" builtinId="8" hidden="1"/>
    <cellStyle name="超連結" xfId="213" builtinId="8" hidden="1"/>
    <cellStyle name="超連結" xfId="215" builtinId="8" hidden="1"/>
    <cellStyle name="超連結" xfId="217" builtinId="8" hidden="1"/>
    <cellStyle name="超連結" xfId="219" builtinId="8" hidden="1"/>
    <cellStyle name="超連結" xfId="221" builtinId="8" hidden="1"/>
    <cellStyle name="超連結" xfId="223" builtinId="8" hidden="1"/>
    <cellStyle name="超連結" xfId="225" builtinId="8" hidden="1"/>
    <cellStyle name="超連結" xfId="227" builtinId="8" hidden="1"/>
    <cellStyle name="超連結" xfId="229" builtinId="8" hidden="1"/>
    <cellStyle name="超連結" xfId="231" builtinId="8" hidden="1"/>
    <cellStyle name="超連結" xfId="233" builtinId="8" hidden="1"/>
    <cellStyle name="超連結" xfId="235" builtinId="8" hidden="1"/>
    <cellStyle name="超連結" xfId="237" builtinId="8" hidden="1"/>
    <cellStyle name="超連結" xfId="239" builtinId="8" hidden="1"/>
    <cellStyle name="超連結" xfId="241" builtinId="8" hidden="1"/>
    <cellStyle name="超連結" xfId="243" builtinId="8" hidden="1"/>
    <cellStyle name="超連結" xfId="245" builtinId="8" hidden="1"/>
    <cellStyle name="超連結" xfId="247" builtinId="8" hidden="1"/>
    <cellStyle name="超連結" xfId="249" builtinId="8" hidden="1"/>
    <cellStyle name="超連結" xfId="251" builtinId="8" hidden="1"/>
    <cellStyle name="超連結" xfId="253" builtinId="8" hidden="1"/>
    <cellStyle name="超連結" xfId="255" builtinId="8" hidden="1"/>
    <cellStyle name="超連結" xfId="257" builtinId="8" hidden="1"/>
    <cellStyle name="超連結" xfId="259" builtinId="8" hidden="1"/>
    <cellStyle name="超連結" xfId="261" builtinId="8" hidden="1"/>
    <cellStyle name="超連結" xfId="263" builtinId="8" hidden="1"/>
    <cellStyle name="超連結" xfId="265" builtinId="8" hidden="1"/>
    <cellStyle name="超連結" xfId="267" builtinId="8" hidden="1"/>
    <cellStyle name="超連結" xfId="269" builtinId="8" hidden="1"/>
    <cellStyle name="超連結" xfId="271" builtinId="8" hidden="1"/>
    <cellStyle name="超連結" xfId="273" builtinId="8" hidden="1"/>
    <cellStyle name="超連結" xfId="275" builtinId="8" hidden="1"/>
    <cellStyle name="超連結" xfId="277" builtinId="8" hidden="1"/>
    <cellStyle name="超連結" xfId="279" builtinId="8" hidden="1"/>
    <cellStyle name="超連結" xfId="281" builtinId="8" hidden="1"/>
    <cellStyle name="超連結" xfId="283" builtinId="8" hidden="1"/>
    <cellStyle name="超連結" xfId="285" builtinId="8" hidden="1"/>
    <cellStyle name="超連結" xfId="287" builtinId="8" hidden="1"/>
    <cellStyle name="超連結" xfId="289" builtinId="8" hidden="1"/>
    <cellStyle name="超連結" xfId="291" builtinId="8" hidden="1"/>
    <cellStyle name="超連結" xfId="293" builtinId="8" hidden="1"/>
    <cellStyle name="超連結" xfId="295" builtinId="8" hidden="1"/>
    <cellStyle name="超連結" xfId="297" builtinId="8" hidden="1"/>
    <cellStyle name="超連結" xfId="299" builtinId="8" hidden="1"/>
    <cellStyle name="超連結" xfId="301" builtinId="8" hidden="1"/>
    <cellStyle name="超連結" xfId="303" builtinId="8" hidden="1"/>
    <cellStyle name="超連結" xfId="305" builtinId="8" hidden="1"/>
    <cellStyle name="超連結" xfId="307" builtinId="8" hidden="1"/>
    <cellStyle name="超連結" xfId="309" builtinId="8" hidden="1"/>
    <cellStyle name="超連結" xfId="311" builtinId="8" hidden="1"/>
    <cellStyle name="超連結" xfId="313" builtinId="8" hidden="1"/>
    <cellStyle name="超連結" xfId="315" builtinId="8" hidden="1"/>
    <cellStyle name="超連結" xfId="317" builtinId="8" hidden="1"/>
    <cellStyle name="超連結" xfId="319" builtinId="8" hidden="1"/>
    <cellStyle name="超連結" xfId="321" builtinId="8" hidden="1"/>
    <cellStyle name="超連結" xfId="323" builtinId="8" hidden="1"/>
    <cellStyle name="超連結" xfId="325" builtinId="8" hidden="1"/>
    <cellStyle name="超連結" xfId="327" builtinId="8" hidden="1"/>
    <cellStyle name="超連結" xfId="329" builtinId="8" hidden="1"/>
    <cellStyle name="超連結" xfId="331" builtinId="8" hidden="1"/>
    <cellStyle name="超連結" xfId="333" builtinId="8" hidden="1"/>
    <cellStyle name="超連結" xfId="335" builtinId="8" hidden="1"/>
    <cellStyle name="超連結" xfId="337" builtinId="8" hidden="1"/>
    <cellStyle name="超連結" xfId="339" builtinId="8" hidden="1"/>
    <cellStyle name="超連結" xfId="341" builtinId="8" hidden="1"/>
    <cellStyle name="超連結" xfId="343" builtinId="8" hidden="1"/>
    <cellStyle name="超連結" xfId="345" builtinId="8" hidden="1"/>
    <cellStyle name="超連結" xfId="347" builtinId="8" hidden="1"/>
    <cellStyle name="超連結" xfId="349" builtinId="8" hidden="1"/>
    <cellStyle name="超連結" xfId="351" builtinId="8" hidden="1"/>
    <cellStyle name="超連結" xfId="353" builtinId="8" hidden="1"/>
    <cellStyle name="超連結" xfId="355" builtinId="8" hidden="1"/>
    <cellStyle name="超連結" xfId="357" builtinId="8" hidden="1"/>
    <cellStyle name="超連結" xfId="359" builtinId="8" hidden="1"/>
    <cellStyle name="超連結" xfId="361" builtinId="8" hidden="1"/>
    <cellStyle name="超連結" xfId="363" builtinId="8" hidden="1"/>
    <cellStyle name="超連結" xfId="365" builtinId="8" hidden="1"/>
    <cellStyle name="超連結" xfId="367" builtinId="8" hidden="1"/>
    <cellStyle name="超連結" xfId="369" builtinId="8" hidden="1"/>
    <cellStyle name="超連結" xfId="371" builtinId="8" hidden="1"/>
    <cellStyle name="超連結" xfId="373" builtinId="8" hidden="1"/>
    <cellStyle name="超連結" xfId="375" builtinId="8" hidden="1"/>
    <cellStyle name="超連結" xfId="377" builtinId="8" hidden="1"/>
    <cellStyle name="超連結" xfId="379" builtinId="8" hidden="1"/>
    <cellStyle name="超連結" xfId="381" builtinId="8" hidden="1"/>
    <cellStyle name="超連結" xfId="383" builtinId="8" hidden="1"/>
    <cellStyle name="超連結" xfId="385" builtinId="8" hidden="1"/>
    <cellStyle name="超連結" xfId="387" builtinId="8" hidden="1"/>
    <cellStyle name="超連結" xfId="389" builtinId="8" hidden="1"/>
    <cellStyle name="超連結" xfId="391" builtinId="8" hidden="1"/>
    <cellStyle name="超連結" xfId="393" builtinId="8" hidden="1"/>
    <cellStyle name="超連結" xfId="395" builtinId="8" hidden="1"/>
    <cellStyle name="超連結" xfId="397" builtinId="8" hidden="1"/>
    <cellStyle name="超連結" xfId="399" builtinId="8" hidden="1"/>
    <cellStyle name="超連結" xfId="401" builtinId="8" hidden="1"/>
    <cellStyle name="超連結" xfId="403" builtinId="8" hidden="1"/>
    <cellStyle name="超連結" xfId="405" builtinId="8" hidden="1"/>
    <cellStyle name="超連結" xfId="407" builtinId="8" hidden="1"/>
    <cellStyle name="超連結" xfId="409" builtinId="8" hidden="1"/>
    <cellStyle name="超連結" xfId="411" builtinId="8" hidden="1"/>
    <cellStyle name="超連結" xfId="413" builtinId="8" hidden="1"/>
    <cellStyle name="超連結" xfId="415" builtinId="8" hidden="1"/>
    <cellStyle name="超連結" xfId="417" builtinId="8" hidden="1"/>
    <cellStyle name="超連結" xfId="419" builtinId="8" hidden="1"/>
    <cellStyle name="超連結" xfId="421" builtinId="8" hidden="1"/>
    <cellStyle name="超連結" xfId="423" builtinId="8" hidden="1"/>
    <cellStyle name="超連結" xfId="425" builtinId="8" hidden="1"/>
    <cellStyle name="超連結" xfId="427" builtinId="8" hidden="1"/>
    <cellStyle name="超連結" xfId="429" builtinId="8" hidden="1"/>
    <cellStyle name="超連結" xfId="431" builtinId="8" hidden="1"/>
    <cellStyle name="超連結" xfId="433" builtinId="8" hidden="1"/>
    <cellStyle name="超連結" xfId="435" builtinId="8" hidden="1"/>
    <cellStyle name="超連結" xfId="437" builtinId="8" hidden="1"/>
    <cellStyle name="超連結" xfId="439" builtinId="8" hidden="1"/>
    <cellStyle name="超連結" xfId="441" builtinId="8" hidden="1"/>
    <cellStyle name="超連結" xfId="443" builtinId="8" hidden="1"/>
    <cellStyle name="超連結" xfId="445" builtinId="8" hidden="1"/>
    <cellStyle name="超連結" xfId="447" builtinId="8" hidden="1"/>
    <cellStyle name="超連結" xfId="449" builtinId="8" hidden="1"/>
    <cellStyle name="超連結" xfId="451" builtinId="8" hidden="1"/>
    <cellStyle name="超連結" xfId="453" builtinId="8" hidden="1"/>
    <cellStyle name="超連結" xfId="455" builtinId="8" hidden="1"/>
    <cellStyle name="超連結" xfId="457" builtinId="8" hidden="1"/>
    <cellStyle name="超連結" xfId="459" builtinId="8" hidden="1"/>
    <cellStyle name="超連結" xfId="461" builtinId="8" hidden="1"/>
    <cellStyle name="超連結" xfId="463" builtinId="8" hidden="1"/>
    <cellStyle name="超連結" xfId="465" builtinId="8" hidden="1"/>
    <cellStyle name="超連結" xfId="467" builtinId="8" hidden="1"/>
    <cellStyle name="超連結" xfId="469" builtinId="8" hidden="1"/>
    <cellStyle name="超連結" xfId="471" builtinId="8" hidden="1"/>
    <cellStyle name="超連結" xfId="473" builtinId="8" hidden="1"/>
    <cellStyle name="超連結" xfId="475" builtinId="8" hidden="1"/>
    <cellStyle name="超連結" xfId="477" builtinId="8" hidden="1"/>
    <cellStyle name="超連結" xfId="479" builtinId="8" hidden="1"/>
    <cellStyle name="超連結" xfId="481" builtinId="8" hidden="1"/>
    <cellStyle name="超連結" xfId="483" builtinId="8" hidden="1"/>
    <cellStyle name="超連結" xfId="485" builtinId="8" hidden="1"/>
    <cellStyle name="超連結" xfId="487" builtinId="8" hidden="1"/>
    <cellStyle name="超連結" xfId="489" builtinId="8" hidden="1"/>
    <cellStyle name="超連結" xfId="491" builtinId="8" hidden="1"/>
    <cellStyle name="超連結" xfId="493" builtinId="8" hidden="1"/>
    <cellStyle name="超連結" xfId="495" builtinId="8" hidden="1"/>
    <cellStyle name="超連結" xfId="497" builtinId="8" hidden="1"/>
    <cellStyle name="超連結" xfId="499" builtinId="8" hidden="1"/>
    <cellStyle name="超連結" xfId="501" builtinId="8" hidden="1"/>
    <cellStyle name="超連結" xfId="503" builtinId="8" hidden="1"/>
    <cellStyle name="超連結" xfId="505" builtinId="8" hidden="1"/>
    <cellStyle name="超連結" xfId="507" builtinId="8" hidden="1"/>
    <cellStyle name="超連結" xfId="509" builtinId="8" hidden="1"/>
    <cellStyle name="超連結" xfId="511" builtinId="8" hidden="1"/>
    <cellStyle name="超連結" xfId="513" builtinId="8" hidden="1"/>
    <cellStyle name="超連結" xfId="515" builtinId="8" hidden="1"/>
    <cellStyle name="超連結" xfId="517" builtinId="8" hidden="1"/>
    <cellStyle name="超連結" xfId="519" builtinId="8" hidden="1"/>
    <cellStyle name="超連結" xfId="521" builtinId="8" hidden="1"/>
    <cellStyle name="超連結" xfId="523" builtinId="8" hidden="1"/>
    <cellStyle name="超連結" xfId="525" builtinId="8" hidden="1"/>
    <cellStyle name="超連結" xfId="527" builtinId="8" hidden="1"/>
    <cellStyle name="超連結" xfId="529" builtinId="8" hidden="1"/>
    <cellStyle name="超連結" xfId="531" builtinId="8" hidden="1"/>
    <cellStyle name="超連結" xfId="533" builtinId="8" hidden="1"/>
    <cellStyle name="超連結" xfId="535" builtinId="8" hidden="1"/>
    <cellStyle name="超連結" xfId="537" builtinId="8" hidden="1"/>
    <cellStyle name="超連結" xfId="539" builtinId="8" hidden="1"/>
    <cellStyle name="超連結" xfId="541" builtinId="8" hidden="1"/>
    <cellStyle name="超連結" xfId="543" builtinId="8" hidden="1"/>
    <cellStyle name="超連結" xfId="545" builtinId="8" hidden="1"/>
    <cellStyle name="超連結" xfId="547" builtinId="8" hidden="1"/>
    <cellStyle name="超連結" xfId="549" builtinId="8" hidden="1"/>
    <cellStyle name="超連結" xfId="551" builtinId="8" hidden="1"/>
    <cellStyle name="超連結" xfId="553" builtinId="8" hidden="1"/>
    <cellStyle name="超連結" xfId="555" builtinId="8" hidden="1"/>
    <cellStyle name="超連結" xfId="557" builtinId="8" hidden="1"/>
    <cellStyle name="超連結" xfId="559" builtinId="8" hidden="1"/>
    <cellStyle name="超連結" xfId="561" builtinId="8" hidden="1"/>
    <cellStyle name="超連結" xfId="563" builtinId="8" hidden="1"/>
    <cellStyle name="超連結" xfId="565" builtinId="8" hidden="1"/>
    <cellStyle name="超連結" xfId="567" builtinId="8" hidden="1"/>
    <cellStyle name="超連結" xfId="569" builtinId="8" hidden="1"/>
    <cellStyle name="超連結" xfId="571" builtinId="8" hidden="1"/>
    <cellStyle name="超連結" xfId="573" builtinId="8" hidden="1"/>
    <cellStyle name="超連結" xfId="575" builtinId="8" hidden="1"/>
    <cellStyle name="超連結" xfId="577" builtinId="8" hidden="1"/>
    <cellStyle name="超連結" xfId="579" builtinId="8" hidden="1"/>
    <cellStyle name="超連結" xfId="581" builtinId="8" hidden="1"/>
    <cellStyle name="超連結" xfId="583" builtinId="8" hidden="1"/>
    <cellStyle name="超連結" xfId="585" builtinId="8" hidden="1"/>
    <cellStyle name="超連結" xfId="587" builtinId="8" hidden="1"/>
    <cellStyle name="超連結" xfId="589" builtinId="8" hidden="1"/>
    <cellStyle name="超連結" xfId="591" builtinId="8" hidden="1"/>
    <cellStyle name="超連結" xfId="593" builtinId="8" hidden="1"/>
    <cellStyle name="超連結" xfId="595" builtinId="8" hidden="1"/>
    <cellStyle name="超連結" xfId="597" builtinId="8" hidden="1"/>
    <cellStyle name="超連結" xfId="599" builtinId="8" hidden="1"/>
    <cellStyle name="超連結" xfId="601" builtinId="8" hidden="1"/>
    <cellStyle name="超連結" xfId="603" builtinId="8" hidden="1"/>
    <cellStyle name="超連結" xfId="605" builtinId="8" hidden="1"/>
    <cellStyle name="超連結" xfId="607" builtinId="8" hidden="1"/>
    <cellStyle name="超連結" xfId="609" builtinId="8" hidden="1"/>
    <cellStyle name="超連結" xfId="611" builtinId="8" hidden="1"/>
    <cellStyle name="超連結" xfId="613" builtinId="8" hidden="1"/>
    <cellStyle name="超連結" xfId="615" builtinId="8" hidden="1"/>
    <cellStyle name="超連結" xfId="617" builtinId="8" hidden="1"/>
    <cellStyle name="超連結" xfId="619" builtinId="8" hidden="1"/>
    <cellStyle name="超連結" xfId="621" builtinId="8" hidden="1"/>
    <cellStyle name="超連結" xfId="623" builtinId="8" hidden="1"/>
    <cellStyle name="超連結" xfId="625" builtinId="8" hidden="1"/>
    <cellStyle name="超連結" xfId="627" builtinId="8" hidden="1"/>
    <cellStyle name="超連結" xfId="629" builtinId="8" hidden="1"/>
    <cellStyle name="超連結" xfId="631" builtinId="8" hidden="1"/>
    <cellStyle name="超連結" xfId="633" builtinId="8" hidden="1"/>
    <cellStyle name="超連結" xfId="635" builtinId="8" hidden="1"/>
    <cellStyle name="超連結" xfId="637" builtinId="8" hidden="1"/>
    <cellStyle name="超連結" xfId="639" builtinId="8" hidden="1"/>
    <cellStyle name="超連結" xfId="641" builtinId="8" hidden="1"/>
    <cellStyle name="超連結" xfId="643" builtinId="8" hidden="1"/>
    <cellStyle name="超連結" xfId="645" builtinId="8" hidden="1"/>
    <cellStyle name="超連結" xfId="647" builtinId="8" hidden="1"/>
    <cellStyle name="超連結" xfId="649" builtinId="8" hidden="1"/>
    <cellStyle name="超連結" xfId="651" builtinId="8" hidden="1"/>
    <cellStyle name="超連結" xfId="653" builtinId="8" hidden="1"/>
    <cellStyle name="超連結" xfId="655" builtinId="8" hidden="1"/>
    <cellStyle name="超連結" xfId="657" builtinId="8" hidden="1"/>
    <cellStyle name="超連結" xfId="659" builtinId="8" hidden="1"/>
    <cellStyle name="超連結" xfId="661" builtinId="8" hidden="1"/>
    <cellStyle name="超連結" xfId="663" builtinId="8" hidden="1"/>
    <cellStyle name="超連結" xfId="665" builtinId="8" hidden="1"/>
    <cellStyle name="超連結" xfId="667" builtinId="8" hidden="1"/>
    <cellStyle name="超連結" xfId="669" builtinId="8" hidden="1"/>
    <cellStyle name="超連結" xfId="671" builtinId="8" hidden="1"/>
    <cellStyle name="超連結" xfId="673" builtinId="8" hidden="1"/>
    <cellStyle name="超連結" xfId="675" builtinId="8" hidden="1"/>
    <cellStyle name="超連結" xfId="677" builtinId="8" hidden="1"/>
    <cellStyle name="超連結" xfId="679" builtinId="8" hidden="1"/>
    <cellStyle name="超連結" xfId="681" builtinId="8" hidden="1"/>
    <cellStyle name="超連結" xfId="683" builtinId="8" hidden="1"/>
    <cellStyle name="超連結" xfId="685" builtinId="8" hidden="1"/>
    <cellStyle name="超連結" xfId="687" builtinId="8" hidden="1"/>
    <cellStyle name="超連結" xfId="689" builtinId="8" hidden="1"/>
    <cellStyle name="超連結" xfId="691" builtinId="8" hidden="1"/>
    <cellStyle name="超連結" xfId="693" builtinId="8" hidden="1"/>
    <cellStyle name="超連結" xfId="695" builtinId="8" hidden="1"/>
    <cellStyle name="超連結" xfId="697" builtinId="8" hidden="1"/>
    <cellStyle name="超連結" xfId="699" builtinId="8" hidden="1"/>
    <cellStyle name="超連結" xfId="701" builtinId="8" hidden="1"/>
    <cellStyle name="超連結" xfId="703" builtinId="8" hidden="1"/>
    <cellStyle name="超連結" xfId="705" builtinId="8" hidden="1"/>
    <cellStyle name="超連結" xfId="707" builtinId="8" hidden="1"/>
    <cellStyle name="超連結" xfId="709" builtinId="8" hidden="1"/>
    <cellStyle name="超連結" xfId="711" builtinId="8" hidden="1"/>
    <cellStyle name="超連結" xfId="713" builtinId="8" hidden="1"/>
    <cellStyle name="超連結" xfId="715" builtinId="8" hidden="1"/>
    <cellStyle name="超連結" xfId="717" builtinId="8" hidden="1"/>
    <cellStyle name="超連結" xfId="719" builtinId="8" hidden="1"/>
    <cellStyle name="超連結" xfId="721" builtinId="8" hidden="1"/>
    <cellStyle name="超連結" xfId="723" builtinId="8" hidden="1"/>
    <cellStyle name="超連結" xfId="725" builtinId="8" hidden="1"/>
    <cellStyle name="超連結" xfId="727" builtinId="8" hidden="1"/>
    <cellStyle name="超連結" xfId="729" builtinId="8" hidden="1"/>
    <cellStyle name="超連結" xfId="731" builtinId="8" hidden="1"/>
    <cellStyle name="超連結" xfId="733" builtinId="8" hidden="1"/>
    <cellStyle name="超連結" xfId="735" builtinId="8" hidden="1"/>
    <cellStyle name="超連結" xfId="737" builtinId="8" hidden="1"/>
    <cellStyle name="超連結" xfId="739" builtinId="8" hidden="1"/>
    <cellStyle name="超連結" xfId="741" builtinId="8" hidden="1"/>
    <cellStyle name="超連結" xfId="743" builtinId="8" hidden="1"/>
    <cellStyle name="超連結" xfId="745" builtinId="8" hidden="1"/>
    <cellStyle name="超連結" xfId="747" builtinId="8" hidden="1"/>
    <cellStyle name="超連結" xfId="749" builtinId="8" hidden="1"/>
    <cellStyle name="超連結" xfId="751" builtinId="8" hidden="1"/>
    <cellStyle name="超連結" xfId="753" builtinId="8" hidden="1"/>
    <cellStyle name="超連結" xfId="755" builtinId="8" hidden="1"/>
    <cellStyle name="超連結" xfId="757" builtinId="8" hidden="1"/>
    <cellStyle name="超連結" xfId="759" builtinId="8" hidden="1"/>
    <cellStyle name="超連結" xfId="761" builtinId="8" hidden="1"/>
    <cellStyle name="超連結" xfId="763" builtinId="8" hidden="1"/>
    <cellStyle name="超連結" xfId="765" builtinId="8" hidden="1"/>
    <cellStyle name="超連結" xfId="767" builtinId="8" hidden="1"/>
    <cellStyle name="超連結" xfId="769" builtinId="8" hidden="1"/>
    <cellStyle name="超連結" xfId="771" builtinId="8" hidden="1"/>
    <cellStyle name="超連結" xfId="773" builtinId="8" hidden="1"/>
    <cellStyle name="超連結" xfId="775" builtinId="8" hidden="1"/>
    <cellStyle name="超連結" xfId="777" builtinId="8" hidden="1"/>
    <cellStyle name="超連結" xfId="779" builtinId="8" hidden="1"/>
    <cellStyle name="超連結" xfId="781" builtinId="8" hidden="1"/>
    <cellStyle name="超連結" xfId="783" builtinId="8" hidden="1"/>
    <cellStyle name="超連結" xfId="785" builtinId="8" hidden="1"/>
    <cellStyle name="超連結" xfId="787" builtinId="8" hidden="1"/>
    <cellStyle name="超連結" xfId="789" builtinId="8" hidden="1"/>
    <cellStyle name="超連結" xfId="791" builtinId="8" hidden="1"/>
    <cellStyle name="超連結" xfId="793" builtinId="8" hidden="1"/>
    <cellStyle name="超連結" xfId="795" builtinId="8" hidden="1"/>
    <cellStyle name="超連結" xfId="797" builtinId="8" hidden="1"/>
    <cellStyle name="超連結" xfId="799" builtinId="8" hidden="1"/>
    <cellStyle name="超連結" xfId="801" builtinId="8" hidden="1"/>
    <cellStyle name="超連結" xfId="803" builtinId="8" hidden="1"/>
    <cellStyle name="超連結" xfId="805" builtinId="8" hidden="1"/>
    <cellStyle name="超連結" xfId="807" builtinId="8" hidden="1"/>
    <cellStyle name="超連結" xfId="809" builtinId="8" hidden="1"/>
    <cellStyle name="超連結" xfId="811" builtinId="8" hidden="1"/>
    <cellStyle name="超連結" xfId="813" builtinId="8" hidden="1"/>
    <cellStyle name="超連結" xfId="815" builtinId="8" hidden="1"/>
    <cellStyle name="超連結" xfId="817" builtinId="8" hidden="1"/>
    <cellStyle name="超連結" xfId="819" builtinId="8" hidden="1"/>
    <cellStyle name="超連結" xfId="821" builtinId="8" hidden="1"/>
    <cellStyle name="超連結" xfId="823" builtinId="8" hidden="1"/>
    <cellStyle name="超連結" xfId="825" builtinId="8" hidden="1"/>
    <cellStyle name="超連結" xfId="827" builtinId="8" hidden="1"/>
    <cellStyle name="超連結" xfId="829" builtinId="8" hidden="1"/>
    <cellStyle name="超連結" xfId="831" builtinId="8" hidden="1"/>
    <cellStyle name="超連結" xfId="833" builtinId="8" hidden="1"/>
    <cellStyle name="超連結" xfId="835" builtinId="8" hidden="1"/>
    <cellStyle name="超連結" xfId="837" builtinId="8" hidden="1"/>
    <cellStyle name="超連結" xfId="839" builtinId="8" hidden="1"/>
    <cellStyle name="超連結" xfId="841" builtinId="8" hidden="1"/>
    <cellStyle name="超連結" xfId="843" builtinId="8" hidden="1"/>
    <cellStyle name="超連結" xfId="845" builtinId="8" hidden="1"/>
    <cellStyle name="超連結" xfId="847" builtinId="8" hidden="1"/>
    <cellStyle name="超連結" xfId="849" builtinId="8" hidden="1"/>
    <cellStyle name="超連結" xfId="851" builtinId="8" hidden="1"/>
    <cellStyle name="超連結" xfId="853" builtinId="8" hidden="1"/>
    <cellStyle name="超連結" xfId="855" builtinId="8" hidden="1"/>
    <cellStyle name="超連結" xfId="857" builtinId="8" hidden="1"/>
    <cellStyle name="超連結" xfId="859" builtinId="8" hidden="1"/>
    <cellStyle name="超連結" xfId="861" builtinId="8" hidden="1"/>
    <cellStyle name="超連結" xfId="863" builtinId="8" hidden="1"/>
    <cellStyle name="超連結" xfId="865" builtinId="8" hidden="1"/>
    <cellStyle name="超連結" xfId="867" builtinId="8" hidden="1"/>
    <cellStyle name="超連結" xfId="869" builtinId="8" hidden="1"/>
    <cellStyle name="超連結" xfId="871" builtinId="8" hidden="1"/>
    <cellStyle name="超連結" xfId="873" builtinId="8" hidden="1"/>
    <cellStyle name="超連結" xfId="875" builtinId="8" hidden="1"/>
    <cellStyle name="超連結" xfId="877" builtinId="8" hidden="1"/>
    <cellStyle name="超連結" xfId="879" builtinId="8" hidden="1"/>
    <cellStyle name="超連結" xfId="881" builtinId="8" hidden="1"/>
    <cellStyle name="超連結" xfId="883" builtinId="8" hidden="1"/>
    <cellStyle name="超連結" xfId="885" builtinId="8" hidden="1"/>
    <cellStyle name="超連結" xfId="887" builtinId="8" hidden="1"/>
    <cellStyle name="超連結" xfId="889" builtinId="8" hidden="1"/>
    <cellStyle name="超連結" xfId="891" builtinId="8" hidden="1"/>
    <cellStyle name="超連結" xfId="893" builtinId="8" hidden="1"/>
    <cellStyle name="超連結" xfId="895" builtinId="8" hidden="1"/>
    <cellStyle name="超連結" xfId="897" builtinId="8" hidden="1"/>
    <cellStyle name="超連結" xfId="899" builtinId="8" hidden="1"/>
    <cellStyle name="超連結" xfId="901" builtinId="8" hidden="1"/>
    <cellStyle name="超連結" xfId="903" builtinId="8" hidden="1"/>
    <cellStyle name="超連結" xfId="905" builtinId="8" hidden="1"/>
    <cellStyle name="超連結" xfId="907" builtinId="8" hidden="1"/>
    <cellStyle name="超連結" xfId="909" builtinId="8" hidden="1"/>
    <cellStyle name="超連結" xfId="911" builtinId="8" hidden="1"/>
    <cellStyle name="超連結" xfId="913" builtinId="8" hidden="1"/>
    <cellStyle name="超連結" xfId="915" builtinId="8" hidden="1"/>
    <cellStyle name="超連結" xfId="917" builtinId="8" hidden="1"/>
    <cellStyle name="超連結" xfId="919" builtinId="8" hidden="1"/>
    <cellStyle name="超連結" xfId="921" builtinId="8" hidden="1"/>
    <cellStyle name="超連結" xfId="923" builtinId="8" hidden="1"/>
    <cellStyle name="超連結" xfId="925" builtinId="8" hidden="1"/>
    <cellStyle name="超連結" xfId="927" builtinId="8" hidden="1"/>
    <cellStyle name="超連結" xfId="929" builtinId="8" hidden="1"/>
    <cellStyle name="超連結" xfId="931" builtinId="8" hidden="1"/>
    <cellStyle name="超連結" xfId="933" builtinId="8" hidden="1"/>
    <cellStyle name="超連結" xfId="935" builtinId="8" hidden="1"/>
    <cellStyle name="超連結" xfId="937" builtinId="8" hidden="1"/>
    <cellStyle name="超連結" xfId="939" builtinId="8" hidden="1"/>
    <cellStyle name="超連結" xfId="941" builtinId="8" hidden="1"/>
    <cellStyle name="超連結" xfId="943" builtinId="8" hidden="1"/>
    <cellStyle name="超連結" xfId="945" builtinId="8" hidden="1"/>
    <cellStyle name="超連結" xfId="947" builtinId="8" hidden="1"/>
    <cellStyle name="超連結" xfId="949" builtinId="8" hidden="1"/>
    <cellStyle name="超連結" xfId="951" builtinId="8" hidden="1"/>
    <cellStyle name="超連結" xfId="953" builtinId="8" hidden="1"/>
    <cellStyle name="超連結" xfId="955" builtinId="8" hidden="1"/>
    <cellStyle name="超連結" xfId="957" builtinId="8" hidden="1"/>
    <cellStyle name="超連結" xfId="959" builtinId="8" hidden="1"/>
    <cellStyle name="超連結" xfId="961" builtinId="8" hidden="1"/>
    <cellStyle name="超連結" xfId="963" builtinId="8" hidden="1"/>
    <cellStyle name="超連結" xfId="965" builtinId="8" hidden="1"/>
    <cellStyle name="超連結" xfId="967" builtinId="8" hidden="1"/>
    <cellStyle name="超連結" xfId="969" builtinId="8" hidden="1"/>
    <cellStyle name="超連結" xfId="971" builtinId="8" hidden="1"/>
    <cellStyle name="超連結" xfId="973" builtinId="8" hidden="1"/>
    <cellStyle name="超連結" xfId="975" builtinId="8" hidden="1"/>
    <cellStyle name="超連結" xfId="977" builtinId="8" hidden="1"/>
    <cellStyle name="超連結" xfId="979" builtinId="8" hidden="1"/>
    <cellStyle name="超連結" xfId="981" builtinId="8" hidden="1"/>
    <cellStyle name="超連結" xfId="983" builtinId="8" hidden="1"/>
    <cellStyle name="超連結" xfId="985" builtinId="8" hidden="1"/>
    <cellStyle name="超連結" xfId="987" builtinId="8" hidden="1"/>
    <cellStyle name="超連結" xfId="989" builtinId="8" hidden="1"/>
    <cellStyle name="超連結" xfId="991" builtinId="8" hidden="1"/>
    <cellStyle name="超連結" xfId="993" builtinId="8" hidden="1"/>
    <cellStyle name="超連結" xfId="995" builtinId="8" hidden="1"/>
    <cellStyle name="超連結" xfId="997" builtinId="8" hidden="1"/>
    <cellStyle name="超連結" xfId="999" builtinId="8" hidden="1"/>
    <cellStyle name="超連結" xfId="1001" builtinId="8" hidden="1"/>
    <cellStyle name="超連結" xfId="1003" builtinId="8" hidden="1"/>
    <cellStyle name="超連結" xfId="1005" builtinId="8" hidden="1"/>
    <cellStyle name="超連結" xfId="1007" builtinId="8" hidden="1"/>
    <cellStyle name="超連結" xfId="1009" builtinId="8" hidden="1"/>
    <cellStyle name="超連結" xfId="1011" builtinId="8" hidden="1"/>
    <cellStyle name="超連結" xfId="1013" builtinId="8" hidden="1"/>
    <cellStyle name="超連結" xfId="1015" builtinId="8" hidden="1"/>
    <cellStyle name="超連結" xfId="1017" builtinId="8" hidden="1"/>
    <cellStyle name="超連結" xfId="1019" builtinId="8" hidden="1"/>
    <cellStyle name="超連結" xfId="1021" builtinId="8" hidden="1"/>
    <cellStyle name="超連結" xfId="1023" builtinId="8" hidden="1"/>
    <cellStyle name="超連結" xfId="1025" builtinId="8" hidden="1"/>
    <cellStyle name="超連結" xfId="1027" builtinId="8" hidden="1"/>
    <cellStyle name="超連結" xfId="1029" builtinId="8" hidden="1"/>
    <cellStyle name="超連結" xfId="1031" builtinId="8" hidden="1"/>
    <cellStyle name="超連結" xfId="1033" builtinId="8" hidden="1"/>
    <cellStyle name="超連結" xfId="1035" builtinId="8" hidden="1"/>
    <cellStyle name="超連結" xfId="1037" builtinId="8" hidden="1"/>
    <cellStyle name="超連結" xfId="1039" builtinId="8" hidden="1"/>
    <cellStyle name="超連結" xfId="1041" builtinId="8" hidden="1"/>
    <cellStyle name="超連結" xfId="1043" builtinId="8" hidden="1"/>
    <cellStyle name="超連結" xfId="1045" builtinId="8" hidden="1"/>
    <cellStyle name="超連結" xfId="1047" builtinId="8" hidden="1"/>
    <cellStyle name="超連結" xfId="1049" builtinId="8" hidden="1"/>
    <cellStyle name="超連結" xfId="1051" builtinId="8" hidden="1"/>
    <cellStyle name="超連結" xfId="1053" builtinId="8" hidden="1"/>
    <cellStyle name="超連結" xfId="1055" builtinId="8" hidden="1"/>
    <cellStyle name="超連結" xfId="1057" builtinId="8" hidden="1"/>
    <cellStyle name="超連結" xfId="1059" builtinId="8" hidden="1"/>
    <cellStyle name="超連結" xfId="1061" builtinId="8" hidden="1"/>
    <cellStyle name="超連結" xfId="1063" builtinId="8" hidden="1"/>
    <cellStyle name="超連結" xfId="1065" builtinId="8" hidden="1"/>
    <cellStyle name="超連結" xfId="1067" builtinId="8" hidden="1"/>
    <cellStyle name="超連結" xfId="1069" builtinId="8" hidden="1"/>
    <cellStyle name="超連結" xfId="1071" builtinId="8" hidden="1"/>
    <cellStyle name="超連結" xfId="1073" builtinId="8" hidden="1"/>
    <cellStyle name="超連結" xfId="1075" builtinId="8" hidden="1"/>
    <cellStyle name="超連結" xfId="1077" builtinId="8" hidden="1"/>
    <cellStyle name="超連結" xfId="1079" builtinId="8" hidden="1"/>
    <cellStyle name="超連結" xfId="1081" builtinId="8" hidden="1"/>
    <cellStyle name="超連結" xfId="1083" builtinId="8" hidden="1"/>
    <cellStyle name="超連結" xfId="1085" builtinId="8" hidden="1"/>
    <cellStyle name="超連結" xfId="1087" builtinId="8" hidden="1"/>
    <cellStyle name="超連結" xfId="1089" builtinId="8" hidden="1"/>
    <cellStyle name="超連結" xfId="1091" builtinId="8" hidden="1"/>
    <cellStyle name="超連結" xfId="1093" builtinId="8" hidden="1"/>
    <cellStyle name="超連結" xfId="1095" builtinId="8" hidden="1"/>
    <cellStyle name="超連結" xfId="1097" builtinId="8" hidden="1"/>
    <cellStyle name="超連結" xfId="1099" builtinId="8" hidden="1"/>
    <cellStyle name="超連結" xfId="1101" builtinId="8" hidden="1"/>
    <cellStyle name="超連結" xfId="1103" builtinId="8" hidden="1"/>
    <cellStyle name="超連結" xfId="1105" builtinId="8" hidden="1"/>
    <cellStyle name="超連結" xfId="1107" builtinId="8" hidden="1"/>
    <cellStyle name="超連結" xfId="1109" builtinId="8" hidden="1"/>
    <cellStyle name="超連結" xfId="1111" builtinId="8" hidden="1"/>
    <cellStyle name="超連結" xfId="1113" builtinId="8" hidden="1"/>
    <cellStyle name="超連結" xfId="1115" builtinId="8" hidden="1"/>
    <cellStyle name="超連結" xfId="1117" builtinId="8" hidden="1"/>
    <cellStyle name="超連結" xfId="1119" builtinId="8" hidden="1"/>
    <cellStyle name="超連結" xfId="1121" builtinId="8" hidden="1"/>
    <cellStyle name="超連結" xfId="1123" builtinId="8" hidden="1"/>
    <cellStyle name="超連結" xfId="1125" builtinId="8" hidden="1"/>
    <cellStyle name="超連結" xfId="1127" builtinId="8" hidden="1"/>
    <cellStyle name="超連結" xfId="1129" builtinId="8" hidden="1"/>
    <cellStyle name="超連結" xfId="1131" builtinId="8" hidden="1"/>
    <cellStyle name="超連結" xfId="1133" builtinId="8" hidden="1"/>
    <cellStyle name="超連結" xfId="1135" builtinId="8" hidden="1"/>
    <cellStyle name="超連結" xfId="1137" builtinId="8" hidden="1"/>
    <cellStyle name="超連結" xfId="1139" builtinId="8" hidden="1"/>
    <cellStyle name="超連結" xfId="1141" builtinId="8" hidden="1"/>
    <cellStyle name="超連結" xfId="1143" builtinId="8" hidden="1"/>
    <cellStyle name="超連結" xfId="1145" builtinId="8" hidden="1"/>
    <cellStyle name="超連結" xfId="1147" builtinId="8" hidden="1"/>
    <cellStyle name="超連結" xfId="1149" builtinId="8" hidden="1"/>
    <cellStyle name="超連結" xfId="1151" builtinId="8" hidden="1"/>
    <cellStyle name="超連結" xfId="1153" builtinId="8" hidden="1"/>
    <cellStyle name="超連結" xfId="1155" builtinId="8" hidden="1"/>
    <cellStyle name="超連結" xfId="1157" builtinId="8" hidden="1"/>
    <cellStyle name="超連結" xfId="1159" builtinId="8" hidden="1"/>
    <cellStyle name="超連結" xfId="1161" builtinId="8" hidden="1"/>
    <cellStyle name="超連結" xfId="1163" builtinId="8" hidden="1"/>
    <cellStyle name="超連結" xfId="1165" builtinId="8" hidden="1"/>
    <cellStyle name="超連結" xfId="1167" builtinId="8" hidden="1"/>
    <cellStyle name="超連結" xfId="1169" builtinId="8" hidden="1"/>
    <cellStyle name="超連結" xfId="1171" builtinId="8" hidden="1"/>
    <cellStyle name="超連結" xfId="1173" builtinId="8" hidden="1"/>
    <cellStyle name="超連結" xfId="1175" builtinId="8" hidden="1"/>
    <cellStyle name="超連結" xfId="1177" builtinId="8" hidden="1"/>
    <cellStyle name="超連結" xfId="1179" builtinId="8" hidden="1"/>
    <cellStyle name="超連結" xfId="1181" builtinId="8" hidden="1"/>
    <cellStyle name="超連結" xfId="1183" builtinId="8" hidden="1"/>
    <cellStyle name="超連結" xfId="1185" builtinId="8" hidden="1"/>
    <cellStyle name="超連結" xfId="1187" builtinId="8" hidden="1"/>
    <cellStyle name="超連結" xfId="1189" builtinId="8" hidden="1"/>
    <cellStyle name="超連結" xfId="1191" builtinId="8" hidden="1"/>
    <cellStyle name="超連結" xfId="1193" builtinId="8" hidden="1"/>
    <cellStyle name="超連結" xfId="1195" builtinId="8" hidden="1"/>
    <cellStyle name="超連結" xfId="1197" builtinId="8" hidden="1"/>
    <cellStyle name="超連結" xfId="1199" builtinId="8" hidden="1"/>
    <cellStyle name="超連結" xfId="1201" builtinId="8" hidden="1"/>
    <cellStyle name="超連結" xfId="1203" builtinId="8" hidden="1"/>
    <cellStyle name="超連結" xfId="1205" builtinId="8" hidden="1"/>
    <cellStyle name="超連結" xfId="1207" builtinId="8" hidden="1"/>
    <cellStyle name="超連結" xfId="1209" builtinId="8" hidden="1"/>
    <cellStyle name="超連結" xfId="1211" builtinId="8" hidden="1"/>
    <cellStyle name="超連結" xfId="1213" builtinId="8" hidden="1"/>
    <cellStyle name="超連結" xfId="1215" builtinId="8" hidden="1"/>
    <cellStyle name="超連結" xfId="1217" builtinId="8" hidden="1"/>
    <cellStyle name="超連結" xfId="1219" builtinId="8" hidden="1"/>
    <cellStyle name="超連結" xfId="1221" builtinId="8" hidden="1"/>
    <cellStyle name="超連結" xfId="1223" builtinId="8" hidden="1"/>
    <cellStyle name="超連結" xfId="1225" builtinId="8" hidden="1"/>
    <cellStyle name="超連結" xfId="1227" builtinId="8" hidden="1"/>
    <cellStyle name="超連結" xfId="1229" builtinId="8" hidden="1"/>
    <cellStyle name="超連結" xfId="1231" builtinId="8" hidden="1"/>
    <cellStyle name="超連結" xfId="1233" builtinId="8" hidden="1"/>
    <cellStyle name="超連結" xfId="1235" builtinId="8" hidden="1"/>
    <cellStyle name="超連結" xfId="1237" builtinId="8" hidden="1"/>
    <cellStyle name="超連結" xfId="1239" builtinId="8" hidden="1"/>
    <cellStyle name="超連結" xfId="1241" builtinId="8" hidden="1"/>
    <cellStyle name="超連結" xfId="1243" builtinId="8" hidden="1"/>
    <cellStyle name="超連結" xfId="1245" builtinId="8" hidden="1"/>
    <cellStyle name="超連結" xfId="1247" builtinId="8" hidden="1"/>
    <cellStyle name="超連結" xfId="1249" builtinId="8" hidden="1"/>
    <cellStyle name="超連結" xfId="1251" builtinId="8" hidden="1"/>
    <cellStyle name="超連結" xfId="1253" builtinId="8" hidden="1"/>
    <cellStyle name="超連結" xfId="1255" builtinId="8" hidden="1"/>
    <cellStyle name="超連結" xfId="1257" builtinId="8" hidden="1"/>
    <cellStyle name="超連結" xfId="1259" builtinId="8" hidden="1"/>
    <cellStyle name="超連結" xfId="1261" builtinId="8" hidden="1"/>
    <cellStyle name="超連結" xfId="1263" builtinId="8" hidden="1"/>
    <cellStyle name="超連結" xfId="1265" builtinId="8" hidden="1"/>
    <cellStyle name="超連結" xfId="1267" builtinId="8" hidden="1"/>
    <cellStyle name="超連結" xfId="1269" builtinId="8" hidden="1"/>
    <cellStyle name="超連結" xfId="1271" builtinId="8" hidden="1"/>
    <cellStyle name="超連結" xfId="1273" builtinId="8" hidden="1"/>
    <cellStyle name="超連結" xfId="1275" builtinId="8" hidden="1"/>
    <cellStyle name="超連結" xfId="1277" builtinId="8" hidden="1"/>
    <cellStyle name="超連結" xfId="1279" builtinId="8" hidden="1"/>
    <cellStyle name="超連結" xfId="1281" builtinId="8" hidden="1"/>
    <cellStyle name="超連結" xfId="1283" builtinId="8" hidden="1"/>
    <cellStyle name="超連結" xfId="1285" builtinId="8" hidden="1"/>
    <cellStyle name="超連結" xfId="1287" builtinId="8" hidden="1"/>
    <cellStyle name="超連結" xfId="1289" builtinId="8" hidden="1"/>
    <cellStyle name="超連結" xfId="1291" builtinId="8" hidden="1"/>
    <cellStyle name="超連結" xfId="1293" builtinId="8" hidden="1"/>
    <cellStyle name="超連結" xfId="1295" builtinId="8" hidden="1"/>
    <cellStyle name="超連結" xfId="1297" builtinId="8" hidden="1"/>
    <cellStyle name="超連結" xfId="1299" builtinId="8" hidden="1"/>
    <cellStyle name="超連結" xfId="1301" builtinId="8" hidden="1"/>
    <cellStyle name="超連結" xfId="1303" builtinId="8" hidden="1"/>
    <cellStyle name="超連結" xfId="1305" builtinId="8" hidden="1"/>
    <cellStyle name="超連結" xfId="1307" builtinId="8" hidden="1"/>
    <cellStyle name="超連結" xfId="1309" builtinId="8" hidden="1"/>
    <cellStyle name="超連結" xfId="1311" builtinId="8" hidden="1"/>
    <cellStyle name="超連結" xfId="1313" builtinId="8" hidden="1"/>
    <cellStyle name="超連結" xfId="1315" builtinId="8" hidden="1"/>
    <cellStyle name="超連結" xfId="1317" builtinId="8" hidden="1"/>
    <cellStyle name="超連結" xfId="1319" builtinId="8" hidden="1"/>
    <cellStyle name="超連結" xfId="1321" builtinId="8" hidden="1"/>
    <cellStyle name="超連結" xfId="1323" builtinId="8" hidden="1"/>
    <cellStyle name="超連結" xfId="1325" builtinId="8" hidden="1"/>
    <cellStyle name="超連結" xfId="1327" builtinId="8" hidden="1"/>
    <cellStyle name="超連結" xfId="1329" builtinId="8" hidden="1"/>
    <cellStyle name="超連結" xfId="1331" builtinId="8" hidden="1"/>
    <cellStyle name="超連結" xfId="1333" builtinId="8" hidden="1"/>
    <cellStyle name="超連結" xfId="1335" builtinId="8" hidden="1"/>
    <cellStyle name="超連結" xfId="1337" builtinId="8" hidden="1"/>
    <cellStyle name="超連結" xfId="1339" builtinId="8" hidden="1"/>
    <cellStyle name="超連結" xfId="1341" builtinId="8" hidden="1"/>
    <cellStyle name="超連結" xfId="1343" builtinId="8" hidden="1"/>
    <cellStyle name="超連結" xfId="1345" builtinId="8" hidden="1"/>
    <cellStyle name="超連結" xfId="1347" builtinId="8" hidden="1"/>
    <cellStyle name="超連結" xfId="1349" builtinId="8" hidden="1"/>
    <cellStyle name="超連結" xfId="1351" builtinId="8" hidden="1"/>
    <cellStyle name="超連結" xfId="1353" builtinId="8" hidden="1"/>
    <cellStyle name="超連結" xfId="1355" builtinId="8" hidden="1"/>
    <cellStyle name="超連結" xfId="1357" builtinId="8" hidden="1"/>
    <cellStyle name="超連結" xfId="1359" builtinId="8" hidden="1"/>
    <cellStyle name="超連結" xfId="1361" builtinId="8" hidden="1"/>
    <cellStyle name="超連結" xfId="1363" builtinId="8" hidden="1"/>
    <cellStyle name="超連結" xfId="1365" builtinId="8" hidden="1"/>
    <cellStyle name="超連結" xfId="1367" builtinId="8" hidden="1"/>
    <cellStyle name="超連結" xfId="1369" builtinId="8" hidden="1"/>
    <cellStyle name="超連結" xfId="1371" builtinId="8" hidden="1"/>
    <cellStyle name="超連結" xfId="1373" builtinId="8" hidden="1"/>
    <cellStyle name="超連結" xfId="1375" builtinId="8" hidden="1"/>
    <cellStyle name="超連結" xfId="1377" builtinId="8" hidden="1"/>
    <cellStyle name="超連結" xfId="1379" builtinId="8" hidden="1"/>
    <cellStyle name="超連結" xfId="1381" builtinId="8" hidden="1"/>
    <cellStyle name="超連結" xfId="1383" builtinId="8" hidden="1"/>
    <cellStyle name="超連結" xfId="1385" builtinId="8" hidden="1"/>
    <cellStyle name="超連結" xfId="1387" builtinId="8" hidden="1"/>
    <cellStyle name="超連結" xfId="1389" builtinId="8" hidden="1"/>
    <cellStyle name="超連結" xfId="1391" builtinId="8" hidden="1"/>
    <cellStyle name="超連結" xfId="1393" builtinId="8" hidden="1"/>
    <cellStyle name="超連結" xfId="1395" builtinId="8" hidden="1"/>
    <cellStyle name="超連結" xfId="1397" builtinId="8" hidden="1"/>
    <cellStyle name="超連結" xfId="1399" builtinId="8" hidden="1"/>
    <cellStyle name="超連結" xfId="1401" builtinId="8" hidden="1"/>
    <cellStyle name="超連結" xfId="1403" builtinId="8" hidden="1"/>
    <cellStyle name="超連結" xfId="1405" builtinId="8" hidden="1"/>
    <cellStyle name="超連結" xfId="1407" builtinId="8" hidden="1"/>
    <cellStyle name="超連結" xfId="1409" builtinId="8" hidden="1"/>
    <cellStyle name="超連結" xfId="1411" builtinId="8" hidden="1"/>
    <cellStyle name="超連結" xfId="1413" builtinId="8" hidden="1"/>
    <cellStyle name="超連結" xfId="1415" builtinId="8" hidden="1"/>
    <cellStyle name="超連結" xfId="1417" builtinId="8" hidden="1"/>
    <cellStyle name="超連結" xfId="1419" builtinId="8" hidden="1"/>
    <cellStyle name="超連結" xfId="1421" builtinId="8" hidden="1"/>
    <cellStyle name="超連結" xfId="1423" builtinId="8" hidden="1"/>
    <cellStyle name="超連結" xfId="1425" builtinId="8" hidden="1"/>
    <cellStyle name="超連結" xfId="1427" builtinId="8" hidden="1"/>
    <cellStyle name="超連結" xfId="1429" builtinId="8" hidden="1"/>
    <cellStyle name="超連結" xfId="1431" builtinId="8" hidden="1"/>
    <cellStyle name="超連結" xfId="1433" builtinId="8" hidden="1"/>
    <cellStyle name="超連結" xfId="1435" builtinId="8" hidden="1"/>
    <cellStyle name="超連結" xfId="1437" builtinId="8" hidden="1"/>
    <cellStyle name="超連結" xfId="1439" builtinId="8" hidden="1"/>
    <cellStyle name="超連結" xfId="1441" builtinId="8" hidden="1"/>
    <cellStyle name="超連結" xfId="1443" builtinId="8" hidden="1"/>
    <cellStyle name="超連結" xfId="1445" builtinId="8" hidden="1"/>
    <cellStyle name="超連結" xfId="1447" builtinId="8" hidden="1"/>
    <cellStyle name="超連結" xfId="1449" builtinId="8" hidden="1"/>
    <cellStyle name="超連結" xfId="1451" builtinId="8" hidden="1"/>
    <cellStyle name="超連結" xfId="1453" builtinId="8" hidden="1"/>
    <cellStyle name="超連結" xfId="1455" builtinId="8" hidden="1"/>
    <cellStyle name="超連結" xfId="1457" builtinId="8" hidden="1"/>
    <cellStyle name="超連結" xfId="1459" builtinId="8" hidden="1"/>
    <cellStyle name="超連結" xfId="1461" builtinId="8" hidden="1"/>
    <cellStyle name="超連結" xfId="1463" builtinId="8" hidden="1"/>
    <cellStyle name="超連結" xfId="1465" builtinId="8" hidden="1"/>
    <cellStyle name="超連結" xfId="1467" builtinId="8" hidden="1"/>
    <cellStyle name="超連結" xfId="1469" builtinId="8" hidden="1"/>
    <cellStyle name="超連結" xfId="1471" builtinId="8" hidden="1"/>
    <cellStyle name="超連結" xfId="1473" builtinId="8" hidden="1"/>
    <cellStyle name="超連結" xfId="1475" builtinId="8" hidden="1"/>
    <cellStyle name="超連結" xfId="1477" builtinId="8" hidden="1"/>
    <cellStyle name="超連結" xfId="1479" builtinId="8" hidden="1"/>
    <cellStyle name="超連結" xfId="1481" builtinId="8" hidden="1"/>
    <cellStyle name="超連結" xfId="1483" builtinId="8" hidden="1"/>
    <cellStyle name="超連結" xfId="1485" builtinId="8" hidden="1"/>
    <cellStyle name="超連結" xfId="1487" builtinId="8" hidden="1"/>
    <cellStyle name="超連結" xfId="1489" builtinId="8" hidden="1"/>
    <cellStyle name="超連結" xfId="1491" builtinId="8" hidden="1"/>
    <cellStyle name="超連結" xfId="1493" builtinId="8" hidden="1"/>
    <cellStyle name="超連結" xfId="1495" builtinId="8" hidden="1"/>
    <cellStyle name="超連結" xfId="1497" builtinId="8" hidden="1"/>
    <cellStyle name="超連結" xfId="1499" builtinId="8" hidden="1"/>
    <cellStyle name="超連結" xfId="1501" builtinId="8" hidden="1"/>
    <cellStyle name="超連結" xfId="1503" builtinId="8" hidden="1"/>
    <cellStyle name="超連結" xfId="1505" builtinId="8" hidden="1"/>
    <cellStyle name="超連結" xfId="1507" builtinId="8" hidden="1"/>
    <cellStyle name="超連結" xfId="1509" builtinId="8" hidden="1"/>
    <cellStyle name="超連結" xfId="1511" builtinId="8" hidden="1"/>
    <cellStyle name="超連結" xfId="1513" builtinId="8" hidden="1"/>
    <cellStyle name="超連結" xfId="1515" builtinId="8" hidden="1"/>
    <cellStyle name="超連結" xfId="1517" builtinId="8" hidden="1"/>
    <cellStyle name="超連結" xfId="1519" builtinId="8" hidden="1"/>
    <cellStyle name="超連結" xfId="1521" builtinId="8" hidden="1"/>
    <cellStyle name="超連結" xfId="1523" builtinId="8" hidden="1"/>
    <cellStyle name="超連結" xfId="1525" builtinId="8" hidden="1"/>
    <cellStyle name="超連結" xfId="1527" builtinId="8" hidden="1"/>
    <cellStyle name="超連結" xfId="1529" builtinId="8" hidden="1"/>
    <cellStyle name="超連結" xfId="1531" builtinId="8" hidden="1"/>
    <cellStyle name="超連結" xfId="1533" builtinId="8" hidden="1"/>
    <cellStyle name="超連結" xfId="1535" builtinId="8" hidden="1"/>
    <cellStyle name="超連結" xfId="1537" builtinId="8" hidden="1"/>
    <cellStyle name="超連結" xfId="1539" builtinId="8" hidden="1"/>
    <cellStyle name="超連結" xfId="1541" builtinId="8" hidden="1"/>
    <cellStyle name="超連結" xfId="1543" builtinId="8" hidden="1"/>
    <cellStyle name="超連結" xfId="1545" builtinId="8" hidden="1"/>
    <cellStyle name="超連結" xfId="1547" builtinId="8" hidden="1"/>
    <cellStyle name="超連結" xfId="1549" builtinId="8" hidden="1"/>
    <cellStyle name="超連結" xfId="1551" builtinId="8" hidden="1"/>
    <cellStyle name="超連結" xfId="1553" builtinId="8" hidden="1"/>
    <cellStyle name="超連結" xfId="1555" builtinId="8" hidden="1"/>
    <cellStyle name="超連結" xfId="1557" builtinId="8" hidden="1"/>
    <cellStyle name="超連結" xfId="1559" builtinId="8" hidden="1"/>
    <cellStyle name="超連結" xfId="1561" builtinId="8" hidden="1"/>
    <cellStyle name="超連結" xfId="1563" builtinId="8" hidden="1"/>
    <cellStyle name="超連結" xfId="1565" builtinId="8" hidden="1"/>
    <cellStyle name="超連結" xfId="1567" builtinId="8" hidden="1"/>
    <cellStyle name="超連結" xfId="1569" builtinId="8" hidden="1"/>
    <cellStyle name="超連結" xfId="1571" builtinId="8" hidden="1"/>
    <cellStyle name="超連結" xfId="1573" builtinId="8" hidden="1"/>
    <cellStyle name="超連結" xfId="1575" builtinId="8" hidden="1"/>
    <cellStyle name="超連結" xfId="1577" builtinId="8" hidden="1"/>
    <cellStyle name="超連結" xfId="1579" builtinId="8" hidden="1"/>
    <cellStyle name="超連結" xfId="1581" builtinId="8" hidden="1"/>
    <cellStyle name="超連結" xfId="1583" builtinId="8" hidden="1"/>
    <cellStyle name="超連結" xfId="1585" builtinId="8" hidden="1"/>
    <cellStyle name="超連結" xfId="1587" builtinId="8" hidden="1"/>
    <cellStyle name="超連結" xfId="1589" builtinId="8" hidden="1"/>
    <cellStyle name="超連結" xfId="1591" builtinId="8" hidden="1"/>
    <cellStyle name="超連結" xfId="1593" builtinId="8" hidden="1"/>
    <cellStyle name="超連結" xfId="1595" builtinId="8" hidden="1"/>
    <cellStyle name="超連結" xfId="1597" builtinId="8" hidden="1"/>
    <cellStyle name="超連結" xfId="1599" builtinId="8" hidden="1"/>
    <cellStyle name="超連結" xfId="1601" builtinId="8" hidden="1"/>
    <cellStyle name="超連結" xfId="1603" builtinId="8" hidden="1"/>
    <cellStyle name="超連結" xfId="1605" builtinId="8" hidden="1"/>
    <cellStyle name="超連結" xfId="1607" builtinId="8" hidden="1"/>
    <cellStyle name="超連結" xfId="1609" builtinId="8" hidden="1"/>
    <cellStyle name="超連結" xfId="1611" builtinId="8" hidden="1"/>
    <cellStyle name="超連結" xfId="1613" builtinId="8" hidden="1"/>
    <cellStyle name="超連結" xfId="1615" builtinId="8" hidden="1"/>
    <cellStyle name="超連結" xfId="1617" builtinId="8" hidden="1"/>
    <cellStyle name="超連結" xfId="1619" builtinId="8" hidden="1"/>
    <cellStyle name="超連結" xfId="1621" builtinId="8" hidden="1"/>
    <cellStyle name="超連結" xfId="1623" builtinId="8" hidden="1"/>
    <cellStyle name="超連結" xfId="1625" builtinId="8" hidden="1"/>
    <cellStyle name="超連結" xfId="1627" builtinId="8" hidden="1"/>
    <cellStyle name="超連結" xfId="1629" builtinId="8" hidden="1"/>
    <cellStyle name="超連結" xfId="1631" builtinId="8" hidden="1"/>
    <cellStyle name="超連結" xfId="1633" builtinId="8" hidden="1"/>
    <cellStyle name="超連結" xfId="1635" builtinId="8" hidden="1"/>
    <cellStyle name="超連結" xfId="1637" builtinId="8" hidden="1"/>
    <cellStyle name="超連結" xfId="1639" builtinId="8" hidden="1"/>
    <cellStyle name="超連結" xfId="1641" builtinId="8" hidden="1"/>
    <cellStyle name="超連結" xfId="1643" builtinId="8" hidden="1"/>
    <cellStyle name="超連結" xfId="1645" builtinId="8" hidden="1"/>
    <cellStyle name="超連結" xfId="1647" builtinId="8" hidden="1"/>
    <cellStyle name="超連結" xfId="1649" builtinId="8" hidden="1"/>
    <cellStyle name="超連結" xfId="1651" builtinId="8" hidden="1"/>
    <cellStyle name="超連結" xfId="1653" builtinId="8" hidden="1"/>
    <cellStyle name="超連結" xfId="1655" builtinId="8" hidden="1"/>
    <cellStyle name="超連結" xfId="1657" builtinId="8" hidden="1"/>
    <cellStyle name="超連結" xfId="1659" builtinId="8" hidden="1"/>
    <cellStyle name="超連結" xfId="1661" builtinId="8" hidden="1"/>
    <cellStyle name="超連結" xfId="1663" builtinId="8" hidden="1"/>
    <cellStyle name="超連結" xfId="1665" builtinId="8" hidden="1"/>
    <cellStyle name="超連結" xfId="1667" builtinId="8" hidden="1"/>
    <cellStyle name="超連結" xfId="1669" builtinId="8" hidden="1"/>
    <cellStyle name="超連結" xfId="1671" builtinId="8" hidden="1"/>
    <cellStyle name="超連結" xfId="1673" builtinId="8" hidden="1"/>
    <cellStyle name="超連結" xfId="1675" builtinId="8" hidden="1"/>
    <cellStyle name="超連結" xfId="1677" builtinId="8" hidden="1"/>
    <cellStyle name="超連結" xfId="1679" builtinId="8" hidden="1"/>
    <cellStyle name="超連結" xfId="1681" builtinId="8" hidden="1"/>
    <cellStyle name="超連結" xfId="1683" builtinId="8" hidden="1"/>
    <cellStyle name="超連結" xfId="1685" builtinId="8" hidden="1"/>
    <cellStyle name="超連結" xfId="1687" builtinId="8" hidden="1"/>
    <cellStyle name="超連結" xfId="1689" builtinId="8" hidden="1"/>
    <cellStyle name="超連結" xfId="1691" builtinId="8" hidden="1"/>
    <cellStyle name="超連結" xfId="1693" builtinId="8" hidden="1"/>
    <cellStyle name="超連結" xfId="1695" builtinId="8" hidden="1"/>
    <cellStyle name="超連結" xfId="1697" builtinId="8" hidden="1"/>
    <cellStyle name="超連結" xfId="1699" builtinId="8" hidden="1"/>
    <cellStyle name="超連結" xfId="1701" builtinId="8" hidden="1"/>
    <cellStyle name="超連結" xfId="1703" builtinId="8" hidden="1"/>
    <cellStyle name="超連結" xfId="1705" builtinId="8" hidden="1"/>
    <cellStyle name="超連結" xfId="1707" builtinId="8" hidden="1"/>
    <cellStyle name="超連結" xfId="1709" builtinId="8" hidden="1"/>
    <cellStyle name="超連結" xfId="1711" builtinId="8" hidden="1"/>
    <cellStyle name="超連結" xfId="1713" builtinId="8" hidden="1"/>
    <cellStyle name="超連結" xfId="1715" builtinId="8" hidden="1"/>
    <cellStyle name="超連結" xfId="1717" builtinId="8" hidden="1"/>
    <cellStyle name="超連結" xfId="1719" builtinId="8" hidden="1"/>
    <cellStyle name="超連結" xfId="1721" builtinId="8" hidden="1"/>
    <cellStyle name="超連結" xfId="1723" builtinId="8" hidden="1"/>
    <cellStyle name="超連結" xfId="1725" builtinId="8" hidden="1"/>
    <cellStyle name="超連結" xfId="1727" builtinId="8" hidden="1"/>
    <cellStyle name="超連結" xfId="1729" builtinId="8" hidden="1"/>
    <cellStyle name="超連結" xfId="1731" builtinId="8" hidden="1"/>
    <cellStyle name="超連結" xfId="1733" builtinId="8" hidden="1"/>
    <cellStyle name="超連結" xfId="1735" builtinId="8" hidden="1"/>
    <cellStyle name="超連結" xfId="1737" builtinId="8" hidden="1"/>
    <cellStyle name="超連結" xfId="1739" builtinId="8" hidden="1"/>
    <cellStyle name="超連結" xfId="1741" builtinId="8" hidden="1"/>
    <cellStyle name="超連結" xfId="1743" builtinId="8" hidden="1"/>
    <cellStyle name="超連結" xfId="1745" builtinId="8" hidden="1"/>
    <cellStyle name="超連結" xfId="1747" builtinId="8" hidden="1"/>
    <cellStyle name="超連結" xfId="1749" builtinId="8" hidden="1"/>
    <cellStyle name="超連結" xfId="1751" builtinId="8" hidden="1"/>
    <cellStyle name="超連結" xfId="1753" builtinId="8" hidden="1"/>
    <cellStyle name="超連結" xfId="1755" builtinId="8" hidden="1"/>
    <cellStyle name="超連結" xfId="1757" builtinId="8" hidden="1"/>
    <cellStyle name="超連結" xfId="1759" builtinId="8" hidden="1"/>
    <cellStyle name="超連結" xfId="1761" builtinId="8" hidden="1"/>
    <cellStyle name="超連結" xfId="1763" builtinId="8" hidden="1"/>
    <cellStyle name="超連結" xfId="1765" builtinId="8" hidden="1"/>
    <cellStyle name="超連結" xfId="1767" builtinId="8" hidden="1"/>
    <cellStyle name="超連結" xfId="1769" builtinId="8" hidden="1"/>
    <cellStyle name="超連結" xfId="1771" builtinId="8" hidden="1"/>
    <cellStyle name="超連結" xfId="1773" builtinId="8" hidden="1"/>
    <cellStyle name="超連結" xfId="1775" builtinId="8" hidden="1"/>
    <cellStyle name="超連結" xfId="1777" builtinId="8" hidden="1"/>
    <cellStyle name="超連結" xfId="1779" builtinId="8" hidden="1"/>
    <cellStyle name="超連結" xfId="1781" builtinId="8" hidden="1"/>
    <cellStyle name="超連結" xfId="1783" builtinId="8" hidden="1"/>
    <cellStyle name="超連結" xfId="1785" builtinId="8" hidden="1"/>
    <cellStyle name="超連結" xfId="1787" builtinId="8" hidden="1"/>
    <cellStyle name="超連結" xfId="1789" builtinId="8" hidden="1"/>
    <cellStyle name="超連結" xfId="1791" builtinId="8" hidden="1"/>
    <cellStyle name="超連結" xfId="1793" builtinId="8" hidden="1"/>
    <cellStyle name="超連結" xfId="1795" builtinId="8" hidden="1"/>
    <cellStyle name="超連結" xfId="1797" builtinId="8" hidden="1"/>
    <cellStyle name="超連結" xfId="1799" builtinId="8" hidden="1"/>
    <cellStyle name="超連結" xfId="1801" builtinId="8" hidden="1"/>
    <cellStyle name="超連結" xfId="1803" builtinId="8" hidden="1"/>
    <cellStyle name="超連結" xfId="1805" builtinId="8" hidden="1"/>
    <cellStyle name="超連結" xfId="1807" builtinId="8" hidden="1"/>
    <cellStyle name="超連結" xfId="1809" builtinId="8" hidden="1"/>
    <cellStyle name="超連結" xfId="1811" builtinId="8" hidden="1"/>
    <cellStyle name="超連結" xfId="1813" builtinId="8" hidden="1"/>
    <cellStyle name="超連結" xfId="1815" builtinId="8" hidden="1"/>
    <cellStyle name="超連結" xfId="1817" builtinId="8" hidden="1"/>
    <cellStyle name="超連結" xfId="1819" builtinId="8" hidden="1"/>
    <cellStyle name="超連結" xfId="1821" builtinId="8" hidden="1"/>
    <cellStyle name="超連結" xfId="1823" builtinId="8" hidden="1"/>
    <cellStyle name="超連結" xfId="1825" builtinId="8" hidden="1"/>
    <cellStyle name="超連結" xfId="1827" builtinId="8" hidden="1"/>
    <cellStyle name="超連結" xfId="1829" builtinId="8" hidden="1"/>
    <cellStyle name="超連結" xfId="1831" builtinId="8" hidden="1"/>
    <cellStyle name="超連結" xfId="1833" builtinId="8" hidden="1"/>
    <cellStyle name="超連結" xfId="1835" builtinId="8" hidden="1"/>
    <cellStyle name="超連結" xfId="1837" builtinId="8" hidden="1"/>
    <cellStyle name="超連結" xfId="1839" builtinId="8" hidden="1"/>
    <cellStyle name="超連結" xfId="1841" builtinId="8" hidden="1"/>
    <cellStyle name="超連結" xfId="1843" builtinId="8" hidden="1"/>
    <cellStyle name="超連結" xfId="1845" builtinId="8" hidden="1"/>
    <cellStyle name="超連結" xfId="1847" builtinId="8" hidden="1"/>
    <cellStyle name="超連結" xfId="1849" builtinId="8" hidden="1"/>
    <cellStyle name="超連結" xfId="1851" builtinId="8" hidden="1"/>
    <cellStyle name="超連結" xfId="1853" builtinId="8" hidden="1"/>
    <cellStyle name="超連結" xfId="1855" builtinId="8" hidden="1"/>
    <cellStyle name="超連結" xfId="1857" builtinId="8" hidden="1"/>
    <cellStyle name="超連結" xfId="1859" builtinId="8" hidden="1"/>
    <cellStyle name="超連結" xfId="1861" builtinId="8" hidden="1"/>
    <cellStyle name="超連結" xfId="1863" builtinId="8" hidden="1"/>
    <cellStyle name="超連結" xfId="1865" builtinId="8" hidden="1"/>
    <cellStyle name="超連結" xfId="1867" builtinId="8" hidden="1"/>
    <cellStyle name="超連結" xfId="1869" builtinId="8" hidden="1"/>
    <cellStyle name="超連結" xfId="1871" builtinId="8" hidden="1"/>
    <cellStyle name="超連結" xfId="1873" builtinId="8" hidden="1"/>
    <cellStyle name="超連結" xfId="1875" builtinId="8" hidden="1"/>
    <cellStyle name="超連結" xfId="1877" builtinId="8" hidden="1"/>
    <cellStyle name="超連結" xfId="1879" builtinId="8" hidden="1"/>
    <cellStyle name="超連結" xfId="1881" builtinId="8" hidden="1"/>
    <cellStyle name="超連結" xfId="1883" builtinId="8" hidden="1"/>
    <cellStyle name="超連結" xfId="1885" builtinId="8" hidden="1"/>
    <cellStyle name="超連結" xfId="1887" builtinId="8" hidden="1"/>
    <cellStyle name="超連結" xfId="1889" builtinId="8" hidden="1"/>
    <cellStyle name="超連結" xfId="1891" builtinId="8" hidden="1"/>
    <cellStyle name="超連結" xfId="1893" builtinId="8" hidden="1"/>
    <cellStyle name="超連結" xfId="1895" builtinId="8" hidden="1"/>
    <cellStyle name="超連結" xfId="1897" builtinId="8" hidden="1"/>
    <cellStyle name="超連結" xfId="1899" builtinId="8" hidden="1"/>
    <cellStyle name="超連結" xfId="1901" builtinId="8" hidden="1"/>
    <cellStyle name="超連結" xfId="1903" builtinId="8" hidden="1"/>
    <cellStyle name="超連結" xfId="1905" builtinId="8" hidden="1"/>
    <cellStyle name="超連結" xfId="1907" builtinId="8" hidden="1"/>
    <cellStyle name="超連結" xfId="1909" builtinId="8" hidden="1"/>
    <cellStyle name="超連結" xfId="1911" builtinId="8" hidden="1"/>
    <cellStyle name="超連結" xfId="1913" builtinId="8" hidden="1"/>
    <cellStyle name="超連結" xfId="1915" builtinId="8" hidden="1"/>
    <cellStyle name="超連結" xfId="1917" builtinId="8" hidden="1"/>
    <cellStyle name="超連結" xfId="1919" builtinId="8" hidden="1"/>
    <cellStyle name="超連結" xfId="1921" builtinId="8" hidden="1"/>
    <cellStyle name="超連結" xfId="1923" builtinId="8" hidden="1"/>
    <cellStyle name="超連結" xfId="1925" builtinId="8" hidden="1"/>
    <cellStyle name="超連結" xfId="1927" builtinId="8" hidden="1"/>
    <cellStyle name="超連結" xfId="1929" builtinId="8" hidden="1"/>
    <cellStyle name="超連結" xfId="1931" builtinId="8" hidden="1"/>
    <cellStyle name="超連結" xfId="1933" builtinId="8" hidden="1"/>
    <cellStyle name="超連結" xfId="1935" builtinId="8" hidden="1"/>
    <cellStyle name="超連結" xfId="1937" builtinId="8" hidden="1"/>
    <cellStyle name="超連結" xfId="1939" builtinId="8" hidden="1"/>
    <cellStyle name="超連結" xfId="1941" builtinId="8" hidden="1"/>
    <cellStyle name="超連結" xfId="1943" builtinId="8" hidden="1"/>
    <cellStyle name="超連結" xfId="1945" builtinId="8" hidden="1"/>
    <cellStyle name="超連結" xfId="1947" builtinId="8" hidden="1"/>
    <cellStyle name="超連結" xfId="1949" builtinId="8" hidden="1"/>
    <cellStyle name="超連結" xfId="1951" builtinId="8" hidden="1"/>
    <cellStyle name="超連結" xfId="1953" builtinId="8" hidden="1"/>
    <cellStyle name="超連結" xfId="1955" builtinId="8" hidden="1"/>
    <cellStyle name="超連結" xfId="1957" builtinId="8" hidden="1"/>
    <cellStyle name="超連結" xfId="1959" builtinId="8" hidden="1"/>
    <cellStyle name="超連結" xfId="1961" builtinId="8" hidden="1"/>
    <cellStyle name="超連結" xfId="1963" builtinId="8" hidden="1"/>
    <cellStyle name="超連結" xfId="1965" builtinId="8" hidden="1"/>
    <cellStyle name="超連結" xfId="1967" builtinId="8" hidden="1"/>
    <cellStyle name="超連結" xfId="1969" builtinId="8" hidden="1"/>
    <cellStyle name="超連結" xfId="1971" builtinId="8" hidden="1"/>
    <cellStyle name="超連結" xfId="1973" builtinId="8" hidden="1"/>
    <cellStyle name="超連結" xfId="1975" builtinId="8" hidden="1"/>
    <cellStyle name="超連結" xfId="1977" builtinId="8" hidden="1"/>
    <cellStyle name="超連結" xfId="1979" builtinId="8" hidden="1"/>
    <cellStyle name="超連結" xfId="1981" builtinId="8" hidden="1"/>
    <cellStyle name="超連結" xfId="1983" builtinId="8" hidden="1"/>
    <cellStyle name="超連結" xfId="1985" builtinId="8" hidden="1"/>
    <cellStyle name="超連結" xfId="1987" builtinId="8" hidden="1"/>
    <cellStyle name="超連結" xfId="1989" builtinId="8" hidden="1"/>
    <cellStyle name="超連結" xfId="1991" builtinId="8" hidden="1"/>
    <cellStyle name="超連結" xfId="1993" builtinId="8" hidden="1"/>
    <cellStyle name="超連結" xfId="1995" builtinId="8" hidden="1"/>
    <cellStyle name="超連結" xfId="1997" builtinId="8" hidden="1"/>
    <cellStyle name="超連結" xfId="1999" builtinId="8" hidden="1"/>
    <cellStyle name="超連結" xfId="2001" builtinId="8" hidden="1"/>
    <cellStyle name="超連結" xfId="2003" builtinId="8" hidden="1"/>
    <cellStyle name="超連結" xfId="2005" builtinId="8" hidden="1"/>
    <cellStyle name="超連結" xfId="2007" builtinId="8" hidden="1"/>
    <cellStyle name="超連結" xfId="2009" builtinId="8" hidden="1"/>
    <cellStyle name="超連結" xfId="2011" builtinId="8" hidden="1"/>
    <cellStyle name="超連結" xfId="2013" builtinId="8" hidden="1"/>
    <cellStyle name="超連結" xfId="2015" builtinId="8" hidden="1"/>
    <cellStyle name="超連結" xfId="2017" builtinId="8" hidden="1"/>
    <cellStyle name="超連結" xfId="2019" builtinId="8" hidden="1"/>
    <cellStyle name="超連結" xfId="2021" builtinId="8" hidden="1"/>
    <cellStyle name="超連結" xfId="2023" builtinId="8" hidden="1"/>
    <cellStyle name="超連結" xfId="2025" builtinId="8" hidden="1"/>
    <cellStyle name="超連結" xfId="2027" builtinId="8" hidden="1"/>
    <cellStyle name="超連結" xfId="2029" builtinId="8" hidden="1"/>
    <cellStyle name="超連結" xfId="2031" builtinId="8" hidden="1"/>
    <cellStyle name="超連結" xfId="2033" builtinId="8" hidden="1"/>
    <cellStyle name="超連結" xfId="2035" builtinId="8" hidden="1"/>
    <cellStyle name="超連結" xfId="2037" builtinId="8" hidden="1"/>
    <cellStyle name="超連結" xfId="2039" builtinId="8" hidden="1"/>
    <cellStyle name="超連結" xfId="2041" builtinId="8" hidden="1"/>
    <cellStyle name="超連結" xfId="2043" builtinId="8" hidden="1"/>
    <cellStyle name="超連結" xfId="2045" builtinId="8" hidden="1"/>
    <cellStyle name="超連結" xfId="2047" builtinId="8" hidden="1"/>
    <cellStyle name="超連結" xfId="2049" builtinId="8" hidden="1"/>
    <cellStyle name="超連結" xfId="2051" builtinId="8" hidden="1"/>
    <cellStyle name="超連結" xfId="2053" builtinId="8" hidden="1"/>
    <cellStyle name="超連結" xfId="2055" builtinId="8" hidden="1"/>
    <cellStyle name="超連結" xfId="2057" builtinId="8" hidden="1"/>
    <cellStyle name="超連結" xfId="2059" builtinId="8" hidden="1"/>
    <cellStyle name="超連結" xfId="2061" builtinId="8" hidden="1"/>
    <cellStyle name="超連結" xfId="2063" builtinId="8" hidden="1"/>
    <cellStyle name="超連結" xfId="2065" builtinId="8" hidden="1"/>
    <cellStyle name="超連結" xfId="2067" builtinId="8" hidden="1"/>
    <cellStyle name="超連結" xfId="2069" builtinId="8" hidden="1"/>
    <cellStyle name="超連結" xfId="2071" builtinId="8" hidden="1"/>
    <cellStyle name="超連結" xfId="2073" builtinId="8" hidden="1"/>
    <cellStyle name="超連結" xfId="2075" builtinId="8" hidden="1"/>
    <cellStyle name="超連結" xfId="2077" builtinId="8" hidden="1"/>
    <cellStyle name="超連結" xfId="2079" builtinId="8" hidden="1"/>
    <cellStyle name="超連結" xfId="2081" builtinId="8" hidden="1"/>
    <cellStyle name="超連結" xfId="2083" builtinId="8" hidden="1"/>
    <cellStyle name="超連結" xfId="2085" builtinId="8" hidden="1"/>
    <cellStyle name="超連結" xfId="2087" builtinId="8" hidden="1"/>
    <cellStyle name="超連結" xfId="2089" builtinId="8" hidden="1"/>
    <cellStyle name="超連結" xfId="2091" builtinId="8" hidden="1"/>
    <cellStyle name="超連結" xfId="2093" builtinId="8" hidden="1"/>
    <cellStyle name="超連結" xfId="2095" builtinId="8" hidden="1"/>
    <cellStyle name="超連結" xfId="2097" builtinId="8" hidden="1"/>
    <cellStyle name="超連結" xfId="2099" builtinId="8" hidden="1"/>
    <cellStyle name="超連結" xfId="2101" builtinId="8" hidden="1"/>
    <cellStyle name="超連結" xfId="2103" builtinId="8" hidden="1"/>
    <cellStyle name="超連結" xfId="2105" builtinId="8" hidden="1"/>
    <cellStyle name="超連結" xfId="2107" builtinId="8" hidden="1"/>
    <cellStyle name="超連結" xfId="2109" builtinId="8" hidden="1"/>
    <cellStyle name="超連結" xfId="2111" builtinId="8" hidden="1"/>
    <cellStyle name="超連結" xfId="2113" builtinId="8" hidden="1"/>
    <cellStyle name="超連結" xfId="2115" builtinId="8" hidden="1"/>
    <cellStyle name="超連結" xfId="2117" builtinId="8" hidden="1"/>
    <cellStyle name="超連結" xfId="2119" builtinId="8" hidden="1"/>
    <cellStyle name="超連結" xfId="2121" builtinId="8" hidden="1"/>
    <cellStyle name="超連結" xfId="2123" builtinId="8" hidden="1"/>
    <cellStyle name="超連結" xfId="2125" builtinId="8" hidden="1"/>
    <cellStyle name="超連結" xfId="2127" builtinId="8" hidden="1"/>
    <cellStyle name="超連結" xfId="2129" builtinId="8" hidden="1"/>
    <cellStyle name="超連結" xfId="2131" builtinId="8" hidden="1"/>
    <cellStyle name="超連結" xfId="2133" builtinId="8" hidden="1"/>
    <cellStyle name="超連結" xfId="2135" builtinId="8" hidden="1"/>
    <cellStyle name="超連結" xfId="2137" builtinId="8" hidden="1"/>
    <cellStyle name="超連結" xfId="2139" builtinId="8" hidden="1"/>
    <cellStyle name="超連結" xfId="2141" builtinId="8" hidden="1"/>
    <cellStyle name="超連結" xfId="2143" builtinId="8" hidden="1"/>
    <cellStyle name="超連結" xfId="2145" builtinId="8" hidden="1"/>
    <cellStyle name="超連結" xfId="2147" builtinId="8" hidden="1"/>
    <cellStyle name="超連結" xfId="2149" builtinId="8" hidden="1"/>
    <cellStyle name="超連結" xfId="2151" builtinId="8" hidden="1"/>
    <cellStyle name="超連結" xfId="2153" builtinId="8" hidden="1"/>
    <cellStyle name="超連結" xfId="2155" builtinId="8" hidden="1"/>
    <cellStyle name="超連結" xfId="2157" builtinId="8" hidden="1"/>
    <cellStyle name="超連結" xfId="2159" builtinId="8" hidden="1"/>
    <cellStyle name="超連結" xfId="2161" builtinId="8" hidden="1"/>
    <cellStyle name="超連結" xfId="2163" builtinId="8" hidden="1"/>
    <cellStyle name="超連結" xfId="2165" builtinId="8" hidden="1"/>
    <cellStyle name="超連結" xfId="2167" builtinId="8" hidden="1"/>
    <cellStyle name="超連結" xfId="2169" builtinId="8" hidden="1"/>
    <cellStyle name="超連結" xfId="2171" builtinId="8" hidden="1"/>
    <cellStyle name="超連結" xfId="2173" builtinId="8" hidden="1"/>
    <cellStyle name="超連結" xfId="2175" builtinId="8" hidden="1"/>
    <cellStyle name="超連結" xfId="2177" builtinId="8" hidden="1"/>
    <cellStyle name="超連結" xfId="2179" builtinId="8" hidden="1"/>
    <cellStyle name="超連結" xfId="2181" builtinId="8" hidden="1"/>
    <cellStyle name="超連結" xfId="2183" builtinId="8" hidden="1"/>
    <cellStyle name="超連結" xfId="2185" builtinId="8" hidden="1"/>
    <cellStyle name="超連結" xfId="2187" builtinId="8" hidden="1"/>
    <cellStyle name="超連結" xfId="2189" builtinId="8" hidden="1"/>
    <cellStyle name="超連結" xfId="2191" builtinId="8" hidden="1"/>
    <cellStyle name="超連結" xfId="2193" builtinId="8" hidden="1"/>
    <cellStyle name="超連結" xfId="2195" builtinId="8" hidden="1"/>
    <cellStyle name="超連結" xfId="2197" builtinId="8" hidden="1"/>
    <cellStyle name="超連結" xfId="2199" builtinId="8" hidden="1"/>
    <cellStyle name="超連結" xfId="2201" builtinId="8" hidden="1"/>
    <cellStyle name="超連結" xfId="2203" builtinId="8" hidden="1"/>
    <cellStyle name="超連結" xfId="2205" builtinId="8" hidden="1"/>
    <cellStyle name="超連結" xfId="2207" builtinId="8" hidden="1"/>
    <cellStyle name="超連結" xfId="2209" builtinId="8" hidden="1"/>
    <cellStyle name="超連結" xfId="2211" builtinId="8" hidden="1"/>
    <cellStyle name="超連結" xfId="2213" builtinId="8" hidden="1"/>
    <cellStyle name="超連結" xfId="2215" builtinId="8" hidden="1"/>
    <cellStyle name="超連結" xfId="2217" builtinId="8" hidden="1"/>
    <cellStyle name="超連結" xfId="2219" builtinId="8" hidden="1"/>
    <cellStyle name="超連結" xfId="2221" builtinId="8" hidden="1"/>
    <cellStyle name="超連結" xfId="2223" builtinId="8" hidden="1"/>
    <cellStyle name="超連結" xfId="2225" builtinId="8" hidden="1"/>
    <cellStyle name="超連結" xfId="2227" builtinId="8" hidden="1"/>
    <cellStyle name="超連結" xfId="2229" builtinId="8" hidden="1"/>
    <cellStyle name="超連結" xfId="2231" builtinId="8" hidden="1"/>
    <cellStyle name="超連結" xfId="2233" builtinId="8" hidden="1"/>
    <cellStyle name="超連結" xfId="2235" builtinId="8" hidden="1"/>
    <cellStyle name="超連結" xfId="2237" builtinId="8" hidden="1"/>
    <cellStyle name="超連結" xfId="2239" builtinId="8" hidden="1"/>
    <cellStyle name="超連結" xfId="2241" builtinId="8" hidden="1"/>
    <cellStyle name="超連結" xfId="2243" builtinId="8" hidden="1"/>
    <cellStyle name="超連結" xfId="2245" builtinId="8" hidden="1"/>
    <cellStyle name="超連結" xfId="2247" builtinId="8" hidden="1"/>
    <cellStyle name="超連結" xfId="2249" builtinId="8" hidden="1"/>
    <cellStyle name="超連結" xfId="2251" builtinId="8" hidden="1"/>
    <cellStyle name="超連結" xfId="2253" builtinId="8" hidden="1"/>
    <cellStyle name="超連結" xfId="2255" builtinId="8" hidden="1"/>
    <cellStyle name="超連結" xfId="2257" builtinId="8" hidden="1"/>
    <cellStyle name="超連結" xfId="2259" builtinId="8" hidden="1"/>
    <cellStyle name="超連結" xfId="2261" builtinId="8" hidden="1"/>
    <cellStyle name="超連結" xfId="2263" builtinId="8" hidden="1"/>
    <cellStyle name="超連結" xfId="2265" builtinId="8" hidden="1"/>
    <cellStyle name="超連結" xfId="2267" builtinId="8" hidden="1"/>
    <cellStyle name="超連結" xfId="2269" builtinId="8" hidden="1"/>
    <cellStyle name="超連結" xfId="2271" builtinId="8" hidden="1"/>
    <cellStyle name="超連結" xfId="2273" builtinId="8" hidden="1"/>
    <cellStyle name="超連結" xfId="2275" builtinId="8" hidden="1"/>
    <cellStyle name="超連結" xfId="2277" builtinId="8" hidden="1"/>
    <cellStyle name="超連結" xfId="2279" builtinId="8" hidden="1"/>
    <cellStyle name="超連結" xfId="2281" builtinId="8" hidden="1"/>
    <cellStyle name="超連結" xfId="2283" builtinId="8" hidden="1"/>
    <cellStyle name="超連結" xfId="2285" builtinId="8" hidden="1"/>
    <cellStyle name="超連結" xfId="2287" builtinId="8" hidden="1"/>
    <cellStyle name="超連結" xfId="2289" builtinId="8" hidden="1"/>
    <cellStyle name="超連結" xfId="2291" builtinId="8" hidden="1"/>
    <cellStyle name="超連結" xfId="2293" builtinId="8" hidden="1"/>
    <cellStyle name="超連結" xfId="2295" builtinId="8" hidden="1"/>
    <cellStyle name="超連結" xfId="2297" builtinId="8" hidden="1"/>
    <cellStyle name="超連結" xfId="2299" builtinId="8" hidden="1"/>
    <cellStyle name="超連結" xfId="2301" builtinId="8" hidden="1"/>
    <cellStyle name="超連結" xfId="2303" builtinId="8" hidden="1"/>
    <cellStyle name="超連結" xfId="2305" builtinId="8" hidden="1"/>
    <cellStyle name="超連結" xfId="2307" builtinId="8" hidden="1"/>
    <cellStyle name="超連結" xfId="2309" builtinId="8" hidden="1"/>
    <cellStyle name="超連結" xfId="2311" builtinId="8" hidden="1"/>
    <cellStyle name="超連結" xfId="2313" builtinId="8" hidden="1"/>
    <cellStyle name="超連結" xfId="2315" builtinId="8" hidden="1"/>
    <cellStyle name="超連結" xfId="2317" builtinId="8" hidden="1"/>
    <cellStyle name="超連結" xfId="2319" builtinId="8" hidden="1"/>
    <cellStyle name="超連結" xfId="2321" builtinId="8" hidden="1"/>
    <cellStyle name="超連結" xfId="2323" builtinId="8" hidden="1"/>
    <cellStyle name="超連結" xfId="2325" builtinId="8" hidden="1"/>
    <cellStyle name="超連結" xfId="2327" builtinId="8" hidden="1"/>
    <cellStyle name="超連結" xfId="2329" builtinId="8" hidden="1"/>
    <cellStyle name="超連結" xfId="2331" builtinId="8" hidden="1"/>
    <cellStyle name="超連結" xfId="2333" builtinId="8" hidden="1"/>
    <cellStyle name="超連結" xfId="2335" builtinId="8" hidden="1"/>
    <cellStyle name="超連結" xfId="2337" builtinId="8" hidden="1"/>
    <cellStyle name="超連結" xfId="2339" builtinId="8" hidden="1"/>
    <cellStyle name="超連結" xfId="2341" builtinId="8" hidden="1"/>
    <cellStyle name="超連結" xfId="2343" builtinId="8" hidden="1"/>
    <cellStyle name="超連結" xfId="2345" builtinId="8" hidden="1"/>
    <cellStyle name="超連結" xfId="2347" builtinId="8" hidden="1"/>
    <cellStyle name="超連結" xfId="2349" builtinId="8" hidden="1"/>
    <cellStyle name="超連結" xfId="2351" builtinId="8" hidden="1"/>
    <cellStyle name="超連結" xfId="2353" builtinId="8" hidden="1"/>
    <cellStyle name="超連結" xfId="2355" builtinId="8" hidden="1"/>
    <cellStyle name="超連結" xfId="2357" builtinId="8" hidden="1"/>
    <cellStyle name="超連結" xfId="2359" builtinId="8" hidden="1"/>
    <cellStyle name="超連結" xfId="2361" builtinId="8" hidden="1"/>
    <cellStyle name="超連結" xfId="2363" builtinId="8" hidden="1"/>
    <cellStyle name="超連結" xfId="2365" builtinId="8" hidden="1"/>
    <cellStyle name="超連結" xfId="2367" builtinId="8" hidden="1"/>
    <cellStyle name="超連結" xfId="2369" builtinId="8" hidden="1"/>
    <cellStyle name="超連結" xfId="2371" builtinId="8" hidden="1"/>
    <cellStyle name="超連結" xfId="2373" builtinId="8" hidden="1"/>
    <cellStyle name="超連結" xfId="2375" builtinId="8" hidden="1"/>
    <cellStyle name="超連結" xfId="2377" builtinId="8" hidden="1"/>
    <cellStyle name="超連結" xfId="2379" builtinId="8" hidden="1"/>
    <cellStyle name="超連結" xfId="2381" builtinId="8" hidden="1"/>
    <cellStyle name="超連結" xfId="2383" builtinId="8" hidden="1"/>
    <cellStyle name="超連結" xfId="2385" builtinId="8" hidden="1"/>
    <cellStyle name="超連結" xfId="2387" builtinId="8" hidden="1"/>
    <cellStyle name="超連結" xfId="2389" builtinId="8" hidden="1"/>
    <cellStyle name="超連結" xfId="2391" builtinId="8" hidden="1"/>
    <cellStyle name="超連結" xfId="2393" builtinId="8" hidden="1"/>
    <cellStyle name="超連結" xfId="2395" builtinId="8" hidden="1"/>
    <cellStyle name="超連結" xfId="2397" builtinId="8" hidden="1"/>
    <cellStyle name="超連結" xfId="2399" builtinId="8" hidden="1"/>
    <cellStyle name="超連結" xfId="2401" builtinId="8" hidden="1"/>
    <cellStyle name="超連結" xfId="2403" builtinId="8" hidden="1"/>
    <cellStyle name="超連結" xfId="2405" builtinId="8" hidden="1"/>
    <cellStyle name="超連結" xfId="2407" builtinId="8" hidden="1"/>
    <cellStyle name="超連結" xfId="2409" builtinId="8" hidden="1"/>
    <cellStyle name="超連結" xfId="2411" builtinId="8" hidden="1"/>
    <cellStyle name="超連結" xfId="2413" builtinId="8" hidden="1"/>
    <cellStyle name="超連結" xfId="2415" builtinId="8" hidden="1"/>
    <cellStyle name="超連結" xfId="2417" builtinId="8" hidden="1"/>
    <cellStyle name="超連結" xfId="2419" builtinId="8" hidden="1"/>
    <cellStyle name="超連結" xfId="2421" builtinId="8" hidden="1"/>
    <cellStyle name="超連結" xfId="2423" builtinId="8" hidden="1"/>
    <cellStyle name="超連結" xfId="2425" builtinId="8" hidden="1"/>
    <cellStyle name="超連結" xfId="2427" builtinId="8" hidden="1"/>
    <cellStyle name="超連結" xfId="2429" builtinId="8" hidden="1"/>
    <cellStyle name="超連結" xfId="2431" builtinId="8" hidden="1"/>
    <cellStyle name="超連結" xfId="2433" builtinId="8" hidden="1"/>
    <cellStyle name="超連結" xfId="2435" builtinId="8" hidden="1"/>
    <cellStyle name="超連結" xfId="2437" builtinId="8" hidden="1"/>
    <cellStyle name="超連結" xfId="2439" builtinId="8" hidden="1"/>
    <cellStyle name="超連結" xfId="2441" builtinId="8" hidden="1"/>
    <cellStyle name="超連結" xfId="2443" builtinId="8" hidden="1"/>
    <cellStyle name="超連結" xfId="2445" builtinId="8" hidden="1"/>
    <cellStyle name="超連結" xfId="2447" builtinId="8" hidden="1"/>
    <cellStyle name="超連結" xfId="2449" builtinId="8" hidden="1"/>
    <cellStyle name="超連結" xfId="2451" builtinId="8" hidden="1"/>
    <cellStyle name="超連結" xfId="2453" builtinId="8" hidden="1"/>
    <cellStyle name="超連結" xfId="2455" builtinId="8" hidden="1"/>
    <cellStyle name="超連結" xfId="2457" builtinId="8" hidden="1"/>
    <cellStyle name="超連結" xfId="2459" builtinId="8" hidden="1"/>
    <cellStyle name="超連結" xfId="2461" builtinId="8" hidden="1"/>
    <cellStyle name="超連結" xfId="2463" builtinId="8" hidden="1"/>
    <cellStyle name="超連結" xfId="2465" builtinId="8" hidden="1"/>
    <cellStyle name="超連結" xfId="2467" builtinId="8" hidden="1"/>
    <cellStyle name="超連結" xfId="2469" builtinId="8" hidden="1"/>
    <cellStyle name="超連結" xfId="2471" builtinId="8" hidden="1"/>
    <cellStyle name="超連結" xfId="2473" builtinId="8" hidden="1"/>
    <cellStyle name="超連結" xfId="2475" builtinId="8" hidden="1"/>
    <cellStyle name="超連結" xfId="2477" builtinId="8" hidden="1"/>
    <cellStyle name="超連結" xfId="2479" builtinId="8" hidden="1"/>
    <cellStyle name="超連結" xfId="2481" builtinId="8" hidden="1"/>
    <cellStyle name="超連結" xfId="2483" builtinId="8" hidden="1"/>
    <cellStyle name="超連結" xfId="2485" builtinId="8" hidden="1"/>
    <cellStyle name="超連結" xfId="2487" builtinId="8" hidden="1"/>
    <cellStyle name="超連結" xfId="2489" builtinId="8" hidden="1"/>
    <cellStyle name="超連結" xfId="2491" builtinId="8" hidden="1"/>
    <cellStyle name="超連結" xfId="2493" builtinId="8" hidden="1"/>
    <cellStyle name="超連結" xfId="2495" builtinId="8" hidden="1"/>
    <cellStyle name="超連結" xfId="2497" builtinId="8" hidden="1"/>
    <cellStyle name="超連結" xfId="2499" builtinId="8" hidden="1"/>
    <cellStyle name="超連結" xfId="2501" builtinId="8" hidden="1"/>
    <cellStyle name="超連結" xfId="2503" builtinId="8" hidden="1"/>
    <cellStyle name="超連結" xfId="2505" builtinId="8" hidden="1"/>
    <cellStyle name="超連結" xfId="2507" builtinId="8" hidden="1"/>
    <cellStyle name="超連結" xfId="2509" builtinId="8" hidden="1"/>
    <cellStyle name="超連結" xfId="2511" builtinId="8" hidden="1"/>
    <cellStyle name="超連結" xfId="2513" builtinId="8" hidden="1"/>
    <cellStyle name="超連結" xfId="2515" builtinId="8" hidden="1"/>
    <cellStyle name="超連結" xfId="2517" builtinId="8" hidden="1"/>
    <cellStyle name="超連結" xfId="2519" builtinId="8" hidden="1"/>
    <cellStyle name="超連結" xfId="2521" builtinId="8" hidden="1"/>
    <cellStyle name="超連結" xfId="2523" builtinId="8" hidden="1"/>
    <cellStyle name="超連結" xfId="2525" builtinId="8" hidden="1"/>
    <cellStyle name="超連結" xfId="2527" builtinId="8" hidden="1"/>
    <cellStyle name="超連結" xfId="2529" builtinId="8" hidden="1"/>
    <cellStyle name="超連結" xfId="2531" builtinId="8" hidden="1"/>
    <cellStyle name="超連結" xfId="2533" builtinId="8" hidden="1"/>
    <cellStyle name="超連結" xfId="2535" builtinId="8" hidden="1"/>
    <cellStyle name="超連結" xfId="2537" builtinId="8" hidden="1"/>
    <cellStyle name="超連結" xfId="2539" builtinId="8" hidden="1"/>
    <cellStyle name="超連結" xfId="2541" builtinId="8" hidden="1"/>
    <cellStyle name="超連結" xfId="2543" builtinId="8" hidden="1"/>
    <cellStyle name="超連結" xfId="2545" builtinId="8" hidden="1"/>
    <cellStyle name="超連結" xfId="2547" builtinId="8" hidden="1"/>
    <cellStyle name="超連結" xfId="2549" builtinId="8" hidden="1"/>
    <cellStyle name="超連結" xfId="2551" builtinId="8" hidden="1"/>
    <cellStyle name="超連結" xfId="2553" builtinId="8" hidden="1"/>
    <cellStyle name="超連結" xfId="2555" builtinId="8" hidden="1"/>
    <cellStyle name="超連結" xfId="2557" builtinId="8" hidden="1"/>
    <cellStyle name="超連結" xfId="2559" builtinId="8" hidden="1"/>
    <cellStyle name="超連結" xfId="2561" builtinId="8" hidden="1"/>
    <cellStyle name="超連結" xfId="2563" builtinId="8" hidden="1"/>
    <cellStyle name="超連結" xfId="2565" builtinId="8" hidden="1"/>
    <cellStyle name="超連結" xfId="2567" builtinId="8" hidden="1"/>
    <cellStyle name="超連結" xfId="2569" builtinId="8" hidden="1"/>
    <cellStyle name="超連結" xfId="2571" builtinId="8" hidden="1"/>
    <cellStyle name="超連結" xfId="2573" builtinId="8" hidden="1"/>
    <cellStyle name="超連結" xfId="2575" builtinId="8" hidden="1"/>
    <cellStyle name="超連結" xfId="2577" builtinId="8" hidden="1"/>
    <cellStyle name="超連結" xfId="2579" builtinId="8" hidden="1"/>
    <cellStyle name="超連結" xfId="2581" builtinId="8" hidden="1"/>
    <cellStyle name="超連結" xfId="2583" builtinId="8" hidden="1"/>
    <cellStyle name="超連結" xfId="2585" builtinId="8" hidden="1"/>
    <cellStyle name="超連結" xfId="2587" builtinId="8" hidden="1"/>
    <cellStyle name="超連結" xfId="2589" builtinId="8" hidden="1"/>
    <cellStyle name="超連結" xfId="2591" builtinId="8" hidden="1"/>
    <cellStyle name="超連結" xfId="2593" builtinId="8" hidden="1"/>
    <cellStyle name="超連結" xfId="2595" builtinId="8" hidden="1"/>
    <cellStyle name="超連結" xfId="2597" builtinId="8" hidden="1"/>
    <cellStyle name="超連結" xfId="2599" builtinId="8" hidden="1"/>
    <cellStyle name="超連結" xfId="2601" builtinId="8" hidden="1"/>
    <cellStyle name="超連結" xfId="2603" builtinId="8" hidden="1"/>
    <cellStyle name="超連結" xfId="2605" builtinId="8" hidden="1"/>
    <cellStyle name="超連結" xfId="2607" builtinId="8" hidden="1"/>
    <cellStyle name="超連結" xfId="2609" builtinId="8" hidden="1"/>
    <cellStyle name="超連結" xfId="2611" builtinId="8" hidden="1"/>
    <cellStyle name="超連結" xfId="2613" builtinId="8" hidden="1"/>
    <cellStyle name="超連結" xfId="2615" builtinId="8" hidden="1"/>
    <cellStyle name="超連結" xfId="2617" builtinId="8" hidden="1"/>
    <cellStyle name="超連結" xfId="2619" builtinId="8" hidden="1"/>
    <cellStyle name="超連結" xfId="2621" builtinId="8" hidden="1"/>
    <cellStyle name="超連結" xfId="2623" builtinId="8" hidden="1"/>
    <cellStyle name="超連結" xfId="2625" builtinId="8" hidden="1"/>
    <cellStyle name="超連結" xfId="2627" builtinId="8" hidden="1"/>
    <cellStyle name="超連結" xfId="2629" builtinId="8" hidden="1"/>
    <cellStyle name="超連結" xfId="2631" builtinId="8" hidden="1"/>
    <cellStyle name="超連結" xfId="2633" builtinId="8" hidden="1"/>
    <cellStyle name="超連結" xfId="2635" builtinId="8" hidden="1"/>
    <cellStyle name="超連結" xfId="2637" builtinId="8" hidden="1"/>
    <cellStyle name="超連結" xfId="2639" builtinId="8" hidden="1"/>
    <cellStyle name="超連結" xfId="2641" builtinId="8" hidden="1"/>
    <cellStyle name="超連結" xfId="2643" builtinId="8" hidden="1"/>
    <cellStyle name="超連結" xfId="2645" builtinId="8" hidden="1"/>
    <cellStyle name="超連結" xfId="2647" builtinId="8" hidden="1"/>
    <cellStyle name="超連結" xfId="2649" builtinId="8" hidden="1"/>
    <cellStyle name="超連結" xfId="2651" builtinId="8" hidden="1"/>
    <cellStyle name="超連結" xfId="2653" builtinId="8" hidden="1"/>
    <cellStyle name="超連結" xfId="2655" builtinId="8" hidden="1"/>
    <cellStyle name="超連結" xfId="2657" builtinId="8" hidden="1"/>
    <cellStyle name="超連結" xfId="2659" builtinId="8" hidden="1"/>
    <cellStyle name="超連結" xfId="2661" builtinId="8" hidden="1"/>
    <cellStyle name="超連結" xfId="2663" builtinId="8" hidden="1"/>
    <cellStyle name="超連結" xfId="2665" builtinId="8" hidden="1"/>
    <cellStyle name="超連結" xfId="2667" builtinId="8" hidden="1"/>
    <cellStyle name="超連結" xfId="2669" builtinId="8" hidden="1"/>
    <cellStyle name="超連結" xfId="2671" builtinId="8" hidden="1"/>
    <cellStyle name="超連結" xfId="2673" builtinId="8" hidden="1"/>
    <cellStyle name="超連結" xfId="2675" builtinId="8" hidden="1"/>
    <cellStyle name="超連結" xfId="2677" builtinId="8" hidden="1"/>
    <cellStyle name="超連結" xfId="2679" builtinId="8" hidden="1"/>
    <cellStyle name="超連結" xfId="2681" builtinId="8" hidden="1"/>
    <cellStyle name="超連結" xfId="2683" builtinId="8" hidden="1"/>
    <cellStyle name="超連結" xfId="2685" builtinId="8" hidden="1"/>
    <cellStyle name="超連結" xfId="2687" builtinId="8" hidden="1"/>
    <cellStyle name="超連結" xfId="2689" builtinId="8" hidden="1"/>
    <cellStyle name="超連結" xfId="2691" builtinId="8" hidden="1"/>
    <cellStyle name="超連結" xfId="2693" builtinId="8" hidden="1"/>
    <cellStyle name="超連結" xfId="2695" builtinId="8" hidden="1"/>
    <cellStyle name="超連結" xfId="2697" builtinId="8" hidden="1"/>
    <cellStyle name="超連結" xfId="2699" builtinId="8" hidden="1"/>
    <cellStyle name="超連結" xfId="2701" builtinId="8" hidden="1"/>
    <cellStyle name="超連結" xfId="2703" builtinId="8" hidden="1"/>
    <cellStyle name="超連結" xfId="2705" builtinId="8" hidden="1"/>
    <cellStyle name="超連結" xfId="2707" builtinId="8" hidden="1"/>
    <cellStyle name="超連結" xfId="2709" builtinId="8" hidden="1"/>
    <cellStyle name="超連結" xfId="2711" builtinId="8" hidden="1"/>
    <cellStyle name="超連結" xfId="2713" builtinId="8" hidden="1"/>
    <cellStyle name="超連結" xfId="2715" builtinId="8" hidden="1"/>
    <cellStyle name="超連結" xfId="2717" builtinId="8" hidden="1"/>
    <cellStyle name="超連結" xfId="2719" builtinId="8" hidden="1"/>
    <cellStyle name="超連結" xfId="2721" builtinId="8" hidden="1"/>
    <cellStyle name="超連結" xfId="2723" builtinId="8" hidden="1"/>
    <cellStyle name="超連結" xfId="2725" builtinId="8" hidden="1"/>
    <cellStyle name="超連結" xfId="2727" builtinId="8" hidden="1"/>
    <cellStyle name="超連結" xfId="2729" builtinId="8" hidden="1"/>
    <cellStyle name="超連結" xfId="2731" builtinId="8" hidden="1"/>
    <cellStyle name="超連結" xfId="2733" builtinId="8" hidden="1"/>
    <cellStyle name="超連結" xfId="2735" builtinId="8" hidden="1"/>
    <cellStyle name="超連結" xfId="2737" builtinId="8" hidden="1"/>
    <cellStyle name="超連結" xfId="2739" builtinId="8" hidden="1"/>
    <cellStyle name="超連結" xfId="2741" builtinId="8" hidden="1"/>
    <cellStyle name="超連結" xfId="2743" builtinId="8" hidden="1"/>
    <cellStyle name="超連結" xfId="2745" builtinId="8" hidden="1"/>
    <cellStyle name="超連結" xfId="2747" builtinId="8" hidden="1"/>
    <cellStyle name="超連結" xfId="2749" builtinId="8" hidden="1"/>
    <cellStyle name="超連結" xfId="2751" builtinId="8" hidden="1"/>
    <cellStyle name="超連結" xfId="2753" builtinId="8" hidden="1"/>
    <cellStyle name="超連結" xfId="2755" builtinId="8" hidden="1"/>
    <cellStyle name="超連結" xfId="2757" builtinId="8" hidden="1"/>
    <cellStyle name="超連結" xfId="2759" builtinId="8" hidden="1"/>
    <cellStyle name="超連結" xfId="2761" builtinId="8" hidden="1"/>
    <cellStyle name="超連結" xfId="2763" builtinId="8" hidden="1"/>
    <cellStyle name="超連結" xfId="2765" builtinId="8" hidden="1"/>
    <cellStyle name="超連結" xfId="2767" builtinId="8" hidden="1"/>
    <cellStyle name="超連結" xfId="2769" builtinId="8" hidden="1"/>
    <cellStyle name="超連結" xfId="2771" builtinId="8" hidden="1"/>
    <cellStyle name="超連結" xfId="2773" builtinId="8" hidden="1"/>
    <cellStyle name="超連結" xfId="2775" builtinId="8" hidden="1"/>
    <cellStyle name="超連結" xfId="2777" builtinId="8" hidden="1"/>
    <cellStyle name="超連結" xfId="2779" builtinId="8" hidden="1"/>
    <cellStyle name="超連結" xfId="2781" builtinId="8" hidden="1"/>
    <cellStyle name="超連結" xfId="2783" builtinId="8" hidden="1"/>
    <cellStyle name="超連結" xfId="2785" builtinId="8" hidden="1"/>
    <cellStyle name="超連結" xfId="2787" builtinId="8" hidden="1"/>
    <cellStyle name="超連結" xfId="2789" builtinId="8" hidden="1"/>
    <cellStyle name="超連結" xfId="2791" builtinId="8" hidden="1"/>
    <cellStyle name="超連結" xfId="2793" builtinId="8" hidden="1"/>
    <cellStyle name="超連結" xfId="2795" builtinId="8" hidden="1"/>
    <cellStyle name="超連結" xfId="2797" builtinId="8" hidden="1"/>
    <cellStyle name="超連結" xfId="2799" builtinId="8" hidden="1"/>
    <cellStyle name="超連結" xfId="2801" builtinId="8" hidden="1"/>
    <cellStyle name="超連結" xfId="2803" builtinId="8" hidden="1"/>
    <cellStyle name="超連結" xfId="2805" builtinId="8" hidden="1"/>
    <cellStyle name="超連結" xfId="2807" builtinId="8" hidden="1"/>
    <cellStyle name="超連結" xfId="2809" builtinId="8" hidden="1"/>
    <cellStyle name="超連結" xfId="2811" builtinId="8" hidden="1"/>
    <cellStyle name="超連結" xfId="2813" builtinId="8" hidden="1"/>
    <cellStyle name="超連結" xfId="2815" builtinId="8" hidden="1"/>
    <cellStyle name="超連結" xfId="2817" builtinId="8" hidden="1"/>
    <cellStyle name="超連結" xfId="2819" builtinId="8" hidden="1"/>
    <cellStyle name="超連結" xfId="2821" builtinId="8" hidden="1"/>
    <cellStyle name="超連結" xfId="2823" builtinId="8" hidden="1"/>
    <cellStyle name="超連結" xfId="2825" builtinId="8" hidden="1"/>
    <cellStyle name="超連結" xfId="2827" builtinId="8" hidden="1"/>
    <cellStyle name="超連結" xfId="2829" builtinId="8" hidden="1"/>
    <cellStyle name="超連結" xfId="2831" builtinId="8" hidden="1"/>
    <cellStyle name="超連結" xfId="2833" builtinId="8" hidden="1"/>
    <cellStyle name="超連結" xfId="2835" builtinId="8" hidden="1"/>
    <cellStyle name="超連結" xfId="2837" builtinId="8" hidden="1"/>
    <cellStyle name="超連結" xfId="2839" builtinId="8" hidden="1"/>
    <cellStyle name="超連結" xfId="2841" builtinId="8" hidden="1"/>
    <cellStyle name="超連結" xfId="2843" builtinId="8" hidden="1"/>
    <cellStyle name="超連結" xfId="2845" builtinId="8" hidden="1"/>
    <cellStyle name="超連結" xfId="2847" builtinId="8" hidden="1"/>
    <cellStyle name="超連結" xfId="2849" builtinId="8" hidden="1"/>
    <cellStyle name="超連結" xfId="2851" builtinId="8" hidden="1"/>
    <cellStyle name="超連結" xfId="2853" builtinId="8" hidden="1"/>
    <cellStyle name="超連結" xfId="2855" builtinId="8" hidden="1"/>
    <cellStyle name="超連結" xfId="2857" builtinId="8" hidden="1"/>
    <cellStyle name="超連結" xfId="2859" builtinId="8" hidden="1"/>
    <cellStyle name="超連結" xfId="2861" builtinId="8" hidden="1"/>
    <cellStyle name="超連結" xfId="2863" builtinId="8" hidden="1"/>
    <cellStyle name="超連結" xfId="2865" builtinId="8" hidden="1"/>
    <cellStyle name="超連結" xfId="2867" builtinId="8" hidden="1"/>
    <cellStyle name="超連結" xfId="2869" builtinId="8" hidden="1"/>
    <cellStyle name="超連結" xfId="2871" builtinId="8" hidden="1"/>
    <cellStyle name="超連結" xfId="2873" builtinId="8" hidden="1"/>
    <cellStyle name="超連結" xfId="2875" builtinId="8" hidden="1"/>
    <cellStyle name="超連結" xfId="2877" builtinId="8" hidden="1"/>
    <cellStyle name="超連結" xfId="2879" builtinId="8" hidden="1"/>
    <cellStyle name="超連結" xfId="2881" builtinId="8" hidden="1"/>
    <cellStyle name="超連結" xfId="2883" builtinId="8" hidden="1"/>
    <cellStyle name="超連結" xfId="2885" builtinId="8" hidden="1"/>
    <cellStyle name="超連結" xfId="2887" builtinId="8" hidden="1"/>
    <cellStyle name="超連結" xfId="2889" builtinId="8" hidden="1"/>
    <cellStyle name="超連結" xfId="2891" builtinId="8" hidden="1"/>
    <cellStyle name="超連結" xfId="2893" builtinId="8" hidden="1"/>
    <cellStyle name="超連結" xfId="2895" builtinId="8" hidden="1"/>
    <cellStyle name="超連結" xfId="2897" builtinId="8" hidden="1"/>
    <cellStyle name="超連結" xfId="2899" builtinId="8" hidden="1"/>
    <cellStyle name="超連結" xfId="2901" builtinId="8" hidden="1"/>
    <cellStyle name="超連結" xfId="2903" builtinId="8" hidden="1"/>
    <cellStyle name="超連結" xfId="2905" builtinId="8" hidden="1"/>
    <cellStyle name="超連結" xfId="2907" builtinId="8" hidden="1"/>
    <cellStyle name="超連結" xfId="2909" builtinId="8" hidden="1"/>
    <cellStyle name="超連結" xfId="2911" builtinId="8" hidden="1"/>
    <cellStyle name="超連結" xfId="2913" builtinId="8" hidden="1"/>
    <cellStyle name="超連結" xfId="2915" builtinId="8" hidden="1"/>
    <cellStyle name="超連結" xfId="2917" builtinId="8" hidden="1"/>
    <cellStyle name="超連結" xfId="2919" builtinId="8" hidden="1"/>
    <cellStyle name="超連結" xfId="2921" builtinId="8" hidden="1"/>
    <cellStyle name="超連結" xfId="2923" builtinId="8" hidden="1"/>
    <cellStyle name="超連結" xfId="2925" builtinId="8" hidden="1"/>
    <cellStyle name="超連結" xfId="2927" builtinId="8" hidden="1"/>
    <cellStyle name="超連結" xfId="2929" builtinId="8" hidden="1"/>
    <cellStyle name="超連結" xfId="2931" builtinId="8" hidden="1"/>
    <cellStyle name="超連結" xfId="2933" builtinId="8" hidden="1"/>
    <cellStyle name="超連結" xfId="2935" builtinId="8" hidden="1"/>
    <cellStyle name="超連結" xfId="2937" builtinId="8" hidden="1"/>
    <cellStyle name="超連結" xfId="2939" builtinId="8" hidden="1"/>
    <cellStyle name="超連結" xfId="2941" builtinId="8" hidden="1"/>
    <cellStyle name="超連結" xfId="2943" builtinId="8" hidden="1"/>
    <cellStyle name="超連結" xfId="2945" builtinId="8" hidden="1"/>
    <cellStyle name="超連結" xfId="2947" builtinId="8" hidden="1"/>
    <cellStyle name="超連結" xfId="2949" builtinId="8" hidden="1"/>
    <cellStyle name="超連結" xfId="2951" builtinId="8" hidden="1"/>
    <cellStyle name="超連結" xfId="2953" builtinId="8" hidden="1"/>
    <cellStyle name="超連結" xfId="2955" builtinId="8" hidden="1"/>
    <cellStyle name="超連結" xfId="2957" builtinId="8" hidden="1"/>
    <cellStyle name="超連結" xfId="2959" builtinId="8" hidden="1"/>
    <cellStyle name="超連結" xfId="2961" builtinId="8" hidden="1"/>
    <cellStyle name="超連結" xfId="2963" builtinId="8" hidden="1"/>
    <cellStyle name="超連結" xfId="2965" builtinId="8" hidden="1"/>
    <cellStyle name="超連結" xfId="2967" builtinId="8" hidden="1"/>
    <cellStyle name="超連結" xfId="2969" builtinId="8" hidden="1"/>
    <cellStyle name="超連結" xfId="2971" builtinId="8" hidden="1"/>
    <cellStyle name="超連結" xfId="2973" builtinId="8" hidden="1"/>
    <cellStyle name="超連結" xfId="2975" builtinId="8" hidden="1"/>
    <cellStyle name="超連結" xfId="2977" builtinId="8" hidden="1"/>
    <cellStyle name="超連結" xfId="2979" builtinId="8" hidden="1"/>
    <cellStyle name="超連結" xfId="2981" builtinId="8" hidden="1"/>
    <cellStyle name="超連結" xfId="2983" builtinId="8" hidden="1"/>
    <cellStyle name="超連結" xfId="2985" builtinId="8" hidden="1"/>
    <cellStyle name="超連結" xfId="2987" builtinId="8" hidden="1"/>
    <cellStyle name="超連結" xfId="2989" builtinId="8" hidden="1"/>
    <cellStyle name="超連結" xfId="2991" builtinId="8" hidden="1"/>
    <cellStyle name="超連結" xfId="2993" builtinId="8" hidden="1"/>
    <cellStyle name="超連結" xfId="2995" builtinId="8" hidden="1"/>
    <cellStyle name="超連結" xfId="2997" builtinId="8" hidden="1"/>
    <cellStyle name="超連結" xfId="2999" builtinId="8" hidden="1"/>
    <cellStyle name="超連結" xfId="3001" builtinId="8" hidden="1"/>
    <cellStyle name="超連結" xfId="3003" builtinId="8" hidden="1"/>
    <cellStyle name="超連結" xfId="3005" builtinId="8" hidden="1"/>
    <cellStyle name="超連結" xfId="3007" builtinId="8" hidden="1"/>
    <cellStyle name="超連結" xfId="3009" builtinId="8" hidden="1"/>
    <cellStyle name="超連結" xfId="3011" builtinId="8" hidden="1"/>
    <cellStyle name="超連結" xfId="3013" builtinId="8" hidden="1"/>
    <cellStyle name="超連結" xfId="3015" builtinId="8" hidden="1"/>
    <cellStyle name="超連結" xfId="3017" builtinId="8" hidden="1"/>
    <cellStyle name="超連結" xfId="3019" builtinId="8" hidden="1"/>
    <cellStyle name="超連結" xfId="3021" builtinId="8" hidden="1"/>
    <cellStyle name="超連結" xfId="3023" builtinId="8" hidden="1"/>
    <cellStyle name="超連結" xfId="3025" builtinId="8" hidden="1"/>
    <cellStyle name="超連結" xfId="3027" builtinId="8" hidden="1"/>
    <cellStyle name="超連結" xfId="3029" builtinId="8" hidden="1"/>
    <cellStyle name="超連結" xfId="3031" builtinId="8" hidden="1"/>
    <cellStyle name="超連結" xfId="3033" builtinId="8" hidden="1"/>
    <cellStyle name="超連結" xfId="3035" builtinId="8" hidden="1"/>
    <cellStyle name="超連結" xfId="3037" builtinId="8" hidden="1"/>
    <cellStyle name="超連結" xfId="3039" builtinId="8" hidden="1"/>
    <cellStyle name="超連結" xfId="3041" builtinId="8" hidden="1"/>
    <cellStyle name="超連結" xfId="3043" builtinId="8" hidden="1"/>
    <cellStyle name="超連結" xfId="3045" builtinId="8" hidden="1"/>
    <cellStyle name="超連結" xfId="3047" builtinId="8" hidden="1"/>
    <cellStyle name="超連結" xfId="3049" builtinId="8" hidden="1"/>
    <cellStyle name="超連結" xfId="3051" builtinId="8" hidden="1"/>
    <cellStyle name="超連結" xfId="3053" builtinId="8" hidden="1"/>
    <cellStyle name="超連結" xfId="3055" builtinId="8" hidden="1"/>
    <cellStyle name="超連結" xfId="3057" builtinId="8" hidden="1"/>
    <cellStyle name="超連結" xfId="3059" builtinId="8" hidden="1"/>
    <cellStyle name="超連結" xfId="3061" builtinId="8" hidden="1"/>
    <cellStyle name="超連結" xfId="3063" builtinId="8" hidden="1"/>
    <cellStyle name="超連結" xfId="3065" builtinId="8" hidden="1"/>
    <cellStyle name="超連結" xfId="3067" builtinId="8" hidden="1"/>
    <cellStyle name="超連結" xfId="3069" builtinId="8" hidden="1"/>
    <cellStyle name="超連結" xfId="3071" builtinId="8" hidden="1"/>
    <cellStyle name="超連結" xfId="3073" builtinId="8" hidden="1"/>
    <cellStyle name="超連結" xfId="3075" builtinId="8" hidden="1"/>
    <cellStyle name="超連結" xfId="3077" builtinId="8" hidden="1"/>
    <cellStyle name="超連結" xfId="3079" builtinId="8" hidden="1"/>
    <cellStyle name="超連結" xfId="3081" builtinId="8" hidden="1"/>
    <cellStyle name="超連結" xfId="3083" builtinId="8" hidden="1"/>
    <cellStyle name="超連結" xfId="3085" builtinId="8" hidden="1"/>
    <cellStyle name="超連結" xfId="3087" builtinId="8" hidden="1"/>
    <cellStyle name="超連結" xfId="3089" builtinId="8" hidden="1"/>
    <cellStyle name="超連結" xfId="3091" builtinId="8" hidden="1"/>
    <cellStyle name="超連結" xfId="3093" builtinId="8" hidden="1"/>
    <cellStyle name="超連結" xfId="3095" builtinId="8" hidden="1"/>
    <cellStyle name="超連結" xfId="3097" builtinId="8" hidden="1"/>
    <cellStyle name="超連結" xfId="3099" builtinId="8" hidden="1"/>
    <cellStyle name="超連結" xfId="3101" builtinId="8" hidden="1"/>
    <cellStyle name="超連結" xfId="3103" builtinId="8" hidden="1"/>
    <cellStyle name="超連結" xfId="3105" builtinId="8" hidden="1"/>
    <cellStyle name="超連結" xfId="3107" builtinId="8" hidden="1"/>
    <cellStyle name="超連結" xfId="3109" builtinId="8" hidden="1"/>
    <cellStyle name="超連結" xfId="3111" builtinId="8" hidden="1"/>
    <cellStyle name="超連結" xfId="3113" builtinId="8" hidden="1"/>
    <cellStyle name="超連結" xfId="3115" builtinId="8" hidden="1"/>
    <cellStyle name="超連結" xfId="3117" builtinId="8" hidden="1"/>
    <cellStyle name="超連結" xfId="3119" builtinId="8" hidden="1"/>
    <cellStyle name="超連結" xfId="3121" builtinId="8" hidden="1"/>
    <cellStyle name="超連結" xfId="3123" builtinId="8" hidden="1"/>
    <cellStyle name="超連結" xfId="3125" builtinId="8" hidden="1"/>
    <cellStyle name="超連結" xfId="3127" builtinId="8" hidden="1"/>
    <cellStyle name="超連結" xfId="3129" builtinId="8" hidden="1"/>
    <cellStyle name="超連結" xfId="3131" builtinId="8" hidden="1"/>
    <cellStyle name="超連結" xfId="3133" builtinId="8" hidden="1"/>
    <cellStyle name="超連結" xfId="3135" builtinId="8" hidden="1"/>
    <cellStyle name="超連結" xfId="3137" builtinId="8" hidden="1"/>
    <cellStyle name="超連結" xfId="3139" builtinId="8" hidden="1"/>
    <cellStyle name="超連結" xfId="3141" builtinId="8" hidden="1"/>
    <cellStyle name="超連結" xfId="3143" builtinId="8" hidden="1"/>
    <cellStyle name="超連結" xfId="3145" builtinId="8" hidden="1"/>
    <cellStyle name="超連結" xfId="3147" builtinId="8" hidden="1"/>
    <cellStyle name="超連結" xfId="3149" builtinId="8" hidden="1"/>
    <cellStyle name="超連結" xfId="3151" builtinId="8" hidden="1"/>
    <cellStyle name="超連結" xfId="3153" builtinId="8" hidden="1"/>
    <cellStyle name="超連結" xfId="3155" builtinId="8" hidden="1"/>
    <cellStyle name="超連結" xfId="3157" builtinId="8" hidden="1"/>
    <cellStyle name="超連結" xfId="3159" builtinId="8" hidden="1"/>
    <cellStyle name="超連結" xfId="3161" builtinId="8" hidden="1"/>
    <cellStyle name="超連結" xfId="3163" builtinId="8" hidden="1"/>
    <cellStyle name="超連結" xfId="3165" builtinId="8" hidden="1"/>
    <cellStyle name="超連結" xfId="3167" builtinId="8" hidden="1"/>
    <cellStyle name="超連結" xfId="3169" builtinId="8" hidden="1"/>
    <cellStyle name="超連結" xfId="3171" builtinId="8" hidden="1"/>
    <cellStyle name="超連結" xfId="3173" builtinId="8" hidden="1"/>
    <cellStyle name="超連結" xfId="3175" builtinId="8" hidden="1"/>
    <cellStyle name="超連結" xfId="3177" builtinId="8" hidden="1"/>
    <cellStyle name="超連結" xfId="3179" builtinId="8" hidden="1"/>
    <cellStyle name="超連結" xfId="3181" builtinId="8" hidden="1"/>
    <cellStyle name="超連結" xfId="3183" builtinId="8" hidden="1"/>
    <cellStyle name="超連結" xfId="3185" builtinId="8" hidden="1"/>
    <cellStyle name="超連結" xfId="3187" builtinId="8" hidden="1"/>
    <cellStyle name="超連結" xfId="3189" builtinId="8" hidden="1"/>
    <cellStyle name="超連結" xfId="3191" builtinId="8" hidden="1"/>
    <cellStyle name="超連結" xfId="3193" builtinId="8" hidden="1"/>
    <cellStyle name="超連結" xfId="3195" builtinId="8" hidden="1"/>
    <cellStyle name="超連結" xfId="3197" builtinId="8" hidden="1"/>
    <cellStyle name="超連結" xfId="3199" builtinId="8" hidden="1"/>
    <cellStyle name="超連結" xfId="3201" builtinId="8" hidden="1"/>
    <cellStyle name="超連結" xfId="3203" builtinId="8" hidden="1"/>
    <cellStyle name="超連結" xfId="3205" builtinId="8" hidden="1"/>
    <cellStyle name="超連結" xfId="3207" builtinId="8" hidden="1"/>
    <cellStyle name="超連結" xfId="3209" builtinId="8" hidden="1"/>
    <cellStyle name="超連結" xfId="3211" builtinId="8" hidden="1"/>
    <cellStyle name="超連結" xfId="3213" builtinId="8" hidden="1"/>
    <cellStyle name="超連結" xfId="3215" builtinId="8" hidden="1"/>
    <cellStyle name="超連結" xfId="3217" builtinId="8" hidden="1"/>
    <cellStyle name="超連結" xfId="3219" builtinId="8" hidden="1"/>
    <cellStyle name="超連結" xfId="3221" builtinId="8" hidden="1"/>
    <cellStyle name="超連結" xfId="3223" builtinId="8" hidden="1"/>
    <cellStyle name="超連結" xfId="3225" builtinId="8" hidden="1"/>
    <cellStyle name="超連結" xfId="3227" builtinId="8" hidden="1"/>
    <cellStyle name="超連結" xfId="3229" builtinId="8" hidden="1"/>
    <cellStyle name="超連結" xfId="3231" builtinId="8" hidden="1"/>
    <cellStyle name="超連結" xfId="3233" builtinId="8" hidden="1"/>
    <cellStyle name="超連結" xfId="3235" builtinId="8" hidden="1"/>
    <cellStyle name="超連結" xfId="3237" builtinId="8" hidden="1"/>
    <cellStyle name="超連結" xfId="3239" builtinId="8" hidden="1"/>
    <cellStyle name="超連結" xfId="3241" builtinId="8" hidden="1"/>
    <cellStyle name="超連結" xfId="3243" builtinId="8" hidden="1"/>
    <cellStyle name="超連結" xfId="3245" builtinId="8" hidden="1"/>
    <cellStyle name="超連結" xfId="3247" builtinId="8" hidden="1"/>
    <cellStyle name="超連結" xfId="3249" builtinId="8" hidden="1"/>
    <cellStyle name="超連結" xfId="3251" builtinId="8" hidden="1"/>
    <cellStyle name="超連結" xfId="3253" builtinId="8" hidden="1"/>
    <cellStyle name="超連結" xfId="3255" builtinId="8" hidden="1"/>
    <cellStyle name="超連結" xfId="3257" builtinId="8" hidden="1"/>
    <cellStyle name="超連結" xfId="3259" builtinId="8" hidden="1"/>
    <cellStyle name="超連結" xfId="3261" builtinId="8" hidden="1"/>
    <cellStyle name="超連結" xfId="3263" builtinId="8" hidden="1"/>
    <cellStyle name="超連結" xfId="3265" builtinId="8" hidden="1"/>
    <cellStyle name="超連結" xfId="3267" builtinId="8" hidden="1"/>
    <cellStyle name="超連結" xfId="3269" builtinId="8" hidden="1"/>
    <cellStyle name="超連結" xfId="3271" builtinId="8" hidden="1"/>
    <cellStyle name="超連結" xfId="3273" builtinId="8" hidden="1"/>
    <cellStyle name="超連結" xfId="3275" builtinId="8" hidden="1"/>
    <cellStyle name="超連結" xfId="3277" builtinId="8" hidden="1"/>
    <cellStyle name="超連結" xfId="3279" builtinId="8" hidden="1"/>
    <cellStyle name="超連結" xfId="3281" builtinId="8" hidden="1"/>
    <cellStyle name="超連結" xfId="3283" builtinId="8" hidden="1"/>
    <cellStyle name="超連結" xfId="3285" builtinId="8" hidden="1"/>
    <cellStyle name="超連結" xfId="3287" builtinId="8" hidden="1"/>
    <cellStyle name="超連結" xfId="3289" builtinId="8" hidden="1"/>
    <cellStyle name="超連結" xfId="3291" builtinId="8" hidden="1"/>
    <cellStyle name="超連結" xfId="3293" builtinId="8" hidden="1"/>
    <cellStyle name="超連結" xfId="3295" builtinId="8" hidden="1"/>
    <cellStyle name="超連結" xfId="3297" builtinId="8" hidden="1"/>
    <cellStyle name="超連結" xfId="3299" builtinId="8" hidden="1"/>
    <cellStyle name="超連結" xfId="3301" builtinId="8" hidden="1"/>
    <cellStyle name="超連結" xfId="3303" builtinId="8" hidden="1"/>
    <cellStyle name="超連結" xfId="3305" builtinId="8" hidden="1"/>
    <cellStyle name="超連結" xfId="3307" builtinId="8" hidden="1"/>
    <cellStyle name="超連結" xfId="3309" builtinId="8" hidden="1"/>
    <cellStyle name="超連結" xfId="3311" builtinId="8" hidden="1"/>
    <cellStyle name="超連結" xfId="3313" builtinId="8" hidden="1"/>
    <cellStyle name="超連結" xfId="3315" builtinId="8" hidden="1"/>
    <cellStyle name="超連結" xfId="3317" builtinId="8" hidden="1"/>
    <cellStyle name="超連結" xfId="3319" builtinId="8" hidden="1"/>
    <cellStyle name="超連結" xfId="3321" builtinId="8" hidden="1"/>
    <cellStyle name="超連結" xfId="3323" builtinId="8" hidden="1"/>
    <cellStyle name="超連結" xfId="3325" builtinId="8" hidden="1"/>
    <cellStyle name="超連結" xfId="3327" builtinId="8" hidden="1"/>
    <cellStyle name="超連結" xfId="3329" builtinId="8" hidden="1"/>
    <cellStyle name="超連結" xfId="3331" builtinId="8" hidden="1"/>
    <cellStyle name="超連結" xfId="3333" builtinId="8" hidden="1"/>
    <cellStyle name="超連結" xfId="3335" builtinId="8" hidden="1"/>
    <cellStyle name="超連結" xfId="3337" builtinId="8" hidden="1"/>
    <cellStyle name="超連結" xfId="3339" builtinId="8" hidden="1"/>
    <cellStyle name="超連結" xfId="3341" builtinId="8" hidden="1"/>
    <cellStyle name="超連結" xfId="3343" builtinId="8" hidden="1"/>
    <cellStyle name="超連結" xfId="3345" builtinId="8" hidden="1"/>
    <cellStyle name="超連結" xfId="3347" builtinId="8" hidden="1"/>
    <cellStyle name="超連結" xfId="3349" builtinId="8" hidden="1"/>
    <cellStyle name="超連結" xfId="3351" builtinId="8" hidden="1"/>
    <cellStyle name="超連結" xfId="3353" builtinId="8" hidden="1"/>
    <cellStyle name="超連結" xfId="3355" builtinId="8" hidden="1"/>
    <cellStyle name="超連結" xfId="3357" builtinId="8" hidden="1"/>
    <cellStyle name="超連結" xfId="3359" builtinId="8" hidden="1"/>
    <cellStyle name="超連結" xfId="3361" builtinId="8" hidden="1"/>
    <cellStyle name="超連結" xfId="3363" builtinId="8" hidden="1"/>
    <cellStyle name="超連結" xfId="3365" builtinId="8" hidden="1"/>
    <cellStyle name="超連結" xfId="3367" builtinId="8" hidden="1"/>
    <cellStyle name="超連結" xfId="3369" builtinId="8" hidden="1"/>
    <cellStyle name="超連結" xfId="3371" builtinId="8" hidden="1"/>
    <cellStyle name="超連結" xfId="3373" builtinId="8" hidden="1"/>
    <cellStyle name="超連結" xfId="3375" builtinId="8" hidden="1"/>
    <cellStyle name="超連結" xfId="3377" builtinId="8" hidden="1"/>
    <cellStyle name="超連結" xfId="3379" builtinId="8" hidden="1"/>
    <cellStyle name="超連結" xfId="3381" builtinId="8" hidden="1"/>
    <cellStyle name="超連結" xfId="3383" builtinId="8" hidden="1"/>
    <cellStyle name="超連結" xfId="3385" builtinId="8" hidden="1"/>
    <cellStyle name="超連結" xfId="3387" builtinId="8" hidden="1"/>
    <cellStyle name="超連結" xfId="3389" builtinId="8" hidden="1"/>
    <cellStyle name="超連結" xfId="3391" builtinId="8" hidden="1"/>
    <cellStyle name="超連結" xfId="3393" builtinId="8" hidden="1"/>
    <cellStyle name="超連結" xfId="3395" builtinId="8" hidden="1"/>
    <cellStyle name="超連結" xfId="3397" builtinId="8" hidden="1"/>
    <cellStyle name="超連結" xfId="3399" builtinId="8" hidden="1"/>
    <cellStyle name="超連結" xfId="3401" builtinId="8" hidden="1"/>
    <cellStyle name="超連結" xfId="3403" builtinId="8" hidden="1"/>
    <cellStyle name="超連結" xfId="3405" builtinId="8" hidden="1"/>
    <cellStyle name="超連結" xfId="3407" builtinId="8" hidden="1"/>
    <cellStyle name="超連結" xfId="3409" builtinId="8" hidden="1"/>
    <cellStyle name="超連結" xfId="3411" builtinId="8" hidden="1"/>
    <cellStyle name="超連結" xfId="3413" builtinId="8" hidden="1"/>
    <cellStyle name="超連結" xfId="3415" builtinId="8" hidden="1"/>
    <cellStyle name="超連結" xfId="3417" builtinId="8" hidden="1"/>
    <cellStyle name="超連結" xfId="3419" builtinId="8" hidden="1"/>
    <cellStyle name="超連結" xfId="3421" builtinId="8" hidden="1"/>
    <cellStyle name="超連結" xfId="3423" builtinId="8" hidden="1"/>
    <cellStyle name="超連結" xfId="3425" builtinId="8" hidden="1"/>
    <cellStyle name="超連結" xfId="3427" builtinId="8" hidden="1"/>
    <cellStyle name="超連結" xfId="3429" builtinId="8" hidden="1"/>
    <cellStyle name="超連結" xfId="3431" builtinId="8" hidden="1"/>
    <cellStyle name="超連結" xfId="3433" builtinId="8" hidden="1"/>
    <cellStyle name="超連結" xfId="3435" builtinId="8" hidden="1"/>
    <cellStyle name="超連結" xfId="3437" builtinId="8" hidden="1"/>
    <cellStyle name="超連結" xfId="3439" builtinId="8" hidden="1"/>
    <cellStyle name="超連結" xfId="3441" builtinId="8" hidden="1"/>
    <cellStyle name="超連結" xfId="3443" builtinId="8" hidden="1"/>
    <cellStyle name="超連結" xfId="3445" builtinId="8" hidden="1"/>
    <cellStyle name="超連結" xfId="3447" builtinId="8" hidden="1"/>
    <cellStyle name="超連結" xfId="3449" builtinId="8" hidden="1"/>
    <cellStyle name="超連結" xfId="3451" builtinId="8" hidden="1"/>
    <cellStyle name="超連結" xfId="3453" builtinId="8" hidden="1"/>
    <cellStyle name="超連結" xfId="3455" builtinId="8" hidden="1"/>
    <cellStyle name="超連結" xfId="3457" builtinId="8" hidden="1"/>
    <cellStyle name="超連結" xfId="3459" builtinId="8" hidden="1"/>
    <cellStyle name="超連結" xfId="3461" builtinId="8" hidden="1"/>
    <cellStyle name="超連結" xfId="3463" builtinId="8" hidden="1"/>
    <cellStyle name="超連結" xfId="3465" builtinId="8" hidden="1"/>
    <cellStyle name="超連結" xfId="3467" builtinId="8" hidden="1"/>
    <cellStyle name="超連結" xfId="3469" builtinId="8" hidden="1"/>
    <cellStyle name="超連結" xfId="3471" builtinId="8" hidden="1"/>
    <cellStyle name="超連結" xfId="3473" builtinId="8" hidden="1"/>
    <cellStyle name="超連結" xfId="3475" builtinId="8" hidden="1"/>
    <cellStyle name="超連結" xfId="3477" builtinId="8" hidden="1"/>
    <cellStyle name="超連結" xfId="3479" builtinId="8" hidden="1"/>
    <cellStyle name="超連結" xfId="3481" builtinId="8" hidden="1"/>
    <cellStyle name="超連結" xfId="3483" builtinId="8" hidden="1"/>
    <cellStyle name="超連結" xfId="3485" builtinId="8" hidden="1"/>
    <cellStyle name="超連結" xfId="3487" builtinId="8" hidden="1"/>
    <cellStyle name="超連結" xfId="3489" builtinId="8" hidden="1"/>
    <cellStyle name="超連結" xfId="3491" builtinId="8" hidden="1"/>
    <cellStyle name="超連結" xfId="3493" builtinId="8" hidden="1"/>
    <cellStyle name="超連結" xfId="3495" builtinId="8" hidden="1"/>
    <cellStyle name="超連結" xfId="3497" builtinId="8" hidden="1"/>
    <cellStyle name="超連結" xfId="3499" builtinId="8" hidden="1"/>
    <cellStyle name="超連結" xfId="3501" builtinId="8" hidden="1"/>
    <cellStyle name="超連結" xfId="3503" builtinId="8" hidden="1"/>
    <cellStyle name="超連結" xfId="3505" builtinId="8" hidden="1"/>
    <cellStyle name="超連結" xfId="3507" builtinId="8" hidden="1"/>
    <cellStyle name="超連結" xfId="3509" builtinId="8" hidden="1"/>
    <cellStyle name="超連結" xfId="3511" builtinId="8" hidden="1"/>
    <cellStyle name="超連結" xfId="3513" builtinId="8" hidden="1"/>
    <cellStyle name="超連結" xfId="3515" builtinId="8" hidden="1"/>
    <cellStyle name="超連結" xfId="3517" builtinId="8" hidden="1"/>
    <cellStyle name="超連結" xfId="3519" builtinId="8" hidden="1"/>
    <cellStyle name="超連結" xfId="3521" builtinId="8" hidden="1"/>
    <cellStyle name="超連結" xfId="3523" builtinId="8" hidden="1"/>
    <cellStyle name="超連結" xfId="3525" builtinId="8" hidden="1"/>
    <cellStyle name="超連結" xfId="3527" builtinId="8" hidden="1"/>
    <cellStyle name="超連結" xfId="3529" builtinId="8" hidden="1"/>
    <cellStyle name="超連結" xfId="3531" builtinId="8" hidden="1"/>
    <cellStyle name="超連結" xfId="3533" builtinId="8" hidden="1"/>
    <cellStyle name="超連結" xfId="3535" builtinId="8" hidden="1"/>
    <cellStyle name="超連結" xfId="3537" builtinId="8" hidden="1"/>
    <cellStyle name="超連結" xfId="3539" builtinId="8" hidden="1"/>
    <cellStyle name="超連結" xfId="3541" builtinId="8" hidden="1"/>
    <cellStyle name="超連結" xfId="3543" builtinId="8" hidden="1"/>
    <cellStyle name="超連結" xfId="3545" builtinId="8" hidden="1"/>
    <cellStyle name="超連結" xfId="3547" builtinId="8" hidden="1"/>
    <cellStyle name="超連結" xfId="3549" builtinId="8" hidden="1"/>
    <cellStyle name="超連結" xfId="3551" builtinId="8" hidden="1"/>
    <cellStyle name="超連結" xfId="3553" builtinId="8" hidden="1"/>
    <cellStyle name="超連結" xfId="3555" builtinId="8" hidden="1"/>
    <cellStyle name="超連結" xfId="3557" builtinId="8" hidden="1"/>
    <cellStyle name="超連結" xfId="3559" builtinId="8" hidden="1"/>
    <cellStyle name="超連結" xfId="3561" builtinId="8" hidden="1"/>
    <cellStyle name="超連結" xfId="3563" builtinId="8" hidden="1"/>
    <cellStyle name="超連結" xfId="3565" builtinId="8" hidden="1"/>
    <cellStyle name="超連結" xfId="3567" builtinId="8" hidden="1"/>
    <cellStyle name="超連結" xfId="3569" builtinId="8" hidden="1"/>
    <cellStyle name="超連結" xfId="3571" builtinId="8" hidden="1"/>
    <cellStyle name="超連結" xfId="3573" builtinId="8" hidden="1"/>
    <cellStyle name="超連結" xfId="3575" builtinId="8" hidden="1"/>
    <cellStyle name="超連結" xfId="3577" builtinId="8" hidden="1"/>
    <cellStyle name="超連結" xfId="3579" builtinId="8" hidden="1"/>
    <cellStyle name="超連結" xfId="3581" builtinId="8" hidden="1"/>
    <cellStyle name="超連結" xfId="3583" builtinId="8" hidden="1"/>
    <cellStyle name="超連結" xfId="3585" builtinId="8" hidden="1"/>
    <cellStyle name="超連結" xfId="3587" builtinId="8" hidden="1"/>
    <cellStyle name="超連結" xfId="3589" builtinId="8" hidden="1"/>
    <cellStyle name="超連結" xfId="3591" builtinId="8" hidden="1"/>
    <cellStyle name="超連結" xfId="3593" builtinId="8" hidden="1"/>
    <cellStyle name="超連結" xfId="3595" builtinId="8" hidden="1"/>
    <cellStyle name="超連結" xfId="3597" builtinId="8" hidden="1"/>
    <cellStyle name="超連結" xfId="3599" builtinId="8" hidden="1"/>
    <cellStyle name="超連結" xfId="3601" builtinId="8" hidden="1"/>
    <cellStyle name="超連結" xfId="3603" builtinId="8" hidden="1"/>
    <cellStyle name="超連結" xfId="3605" builtinId="8" hidden="1"/>
    <cellStyle name="超連結" xfId="3607" builtinId="8" hidden="1"/>
    <cellStyle name="超連結" xfId="3609" builtinId="8" hidden="1"/>
    <cellStyle name="超連結" xfId="3611" builtinId="8" hidden="1"/>
    <cellStyle name="超連結" xfId="3613" builtinId="8" hidden="1"/>
    <cellStyle name="超連結" xfId="3615" builtinId="8" hidden="1"/>
    <cellStyle name="超連結" xfId="3617" builtinId="8" hidden="1"/>
    <cellStyle name="超連結" xfId="3619" builtinId="8" hidden="1"/>
    <cellStyle name="超連結" xfId="3621" builtinId="8" hidden="1"/>
    <cellStyle name="超連結" xfId="3623" builtinId="8" hidden="1"/>
    <cellStyle name="超連結" xfId="3625" builtinId="8" hidden="1"/>
    <cellStyle name="超連結" xfId="3627" builtinId="8" hidden="1"/>
    <cellStyle name="超連結" xfId="3629" builtinId="8" hidden="1"/>
    <cellStyle name="超連結" xfId="3631" builtinId="8" hidden="1"/>
    <cellStyle name="超連結" xfId="3633" builtinId="8" hidden="1"/>
    <cellStyle name="超連結" xfId="3635" builtinId="8" hidden="1"/>
    <cellStyle name="超連結" xfId="3637" builtinId="8" hidden="1"/>
    <cellStyle name="超連結" xfId="3639" builtinId="8" hidden="1"/>
    <cellStyle name="超連結" xfId="3641" builtinId="8" hidden="1"/>
    <cellStyle name="超連結" xfId="3643" builtinId="8" hidden="1"/>
    <cellStyle name="超連結" xfId="3645" builtinId="8" hidden="1"/>
    <cellStyle name="超連結" xfId="3647" builtinId="8" hidden="1"/>
    <cellStyle name="超連結" xfId="3649" builtinId="8" hidden="1"/>
    <cellStyle name="超連結" xfId="3651" builtinId="8" hidden="1"/>
    <cellStyle name="超連結" xfId="3653" builtinId="8" hidden="1"/>
    <cellStyle name="超連結" xfId="3655" builtinId="8" hidden="1"/>
    <cellStyle name="超連結" xfId="3657" builtinId="8" hidden="1"/>
    <cellStyle name="超連結" xfId="3659" builtinId="8" hidden="1"/>
    <cellStyle name="超連結" xfId="3661" builtinId="8" hidden="1"/>
    <cellStyle name="超連結" xfId="3663" builtinId="8" hidden="1"/>
    <cellStyle name="超連結" xfId="3665" builtinId="8" hidden="1"/>
    <cellStyle name="超連結" xfId="3667" builtinId="8" hidden="1"/>
    <cellStyle name="超連結" xfId="3669" builtinId="8" hidden="1"/>
    <cellStyle name="超連結" xfId="3671" builtinId="8" hidden="1"/>
    <cellStyle name="超連結" xfId="3673" builtinId="8" hidden="1"/>
    <cellStyle name="超連結" xfId="3675" builtinId="8" hidden="1"/>
    <cellStyle name="超連結" xfId="3677" builtinId="8" hidden="1"/>
    <cellStyle name="超連結" xfId="3679" builtinId="8" hidden="1"/>
    <cellStyle name="超連結" xfId="3681" builtinId="8" hidden="1"/>
    <cellStyle name="超連結" xfId="3683" builtinId="8" hidden="1"/>
    <cellStyle name="超連結" xfId="3685" builtinId="8" hidden="1"/>
    <cellStyle name="超連結" xfId="3687" builtinId="8" hidden="1"/>
    <cellStyle name="超連結" xfId="3689" builtinId="8" hidden="1"/>
    <cellStyle name="超連結" xfId="3691" builtinId="8" hidden="1"/>
    <cellStyle name="超連結" xfId="3693" builtinId="8" hidden="1"/>
    <cellStyle name="超連結" xfId="3695" builtinId="8" hidden="1"/>
    <cellStyle name="超連結" xfId="3697" builtinId="8" hidden="1"/>
    <cellStyle name="超連結" xfId="3699" builtinId="8" hidden="1"/>
    <cellStyle name="超連結" xfId="3701" builtinId="8" hidden="1"/>
    <cellStyle name="超連結" xfId="3703" builtinId="8" hidden="1"/>
    <cellStyle name="超連結" xfId="3705" builtinId="8" hidden="1"/>
    <cellStyle name="超連結" xfId="3707" builtinId="8" hidden="1"/>
    <cellStyle name="超連結" xfId="3709" builtinId="8" hidden="1"/>
    <cellStyle name="超連結" xfId="3711" builtinId="8" hidden="1"/>
    <cellStyle name="超連結" xfId="3713" builtinId="8" hidden="1"/>
    <cellStyle name="超連結" xfId="3715" builtinId="8" hidden="1"/>
    <cellStyle name="超連結" xfId="3717" builtinId="8" hidden="1"/>
    <cellStyle name="超連結" xfId="3719" builtinId="8" hidden="1"/>
    <cellStyle name="超連結" xfId="3721" builtinId="8" hidden="1"/>
    <cellStyle name="超連結" xfId="3723" builtinId="8" hidden="1"/>
    <cellStyle name="超連結" xfId="3725" builtinId="8" hidden="1"/>
    <cellStyle name="超連結" xfId="3727" builtinId="8" hidden="1"/>
    <cellStyle name="超連結" xfId="3729" builtinId="8" hidden="1"/>
    <cellStyle name="超連結" xfId="3731" builtinId="8" hidden="1"/>
    <cellStyle name="超連結" xfId="3733" builtinId="8" hidden="1"/>
    <cellStyle name="超連結" xfId="3735" builtinId="8" hidden="1"/>
    <cellStyle name="超連結" xfId="3737" builtinId="8" hidden="1"/>
    <cellStyle name="超連結" xfId="3739" builtinId="8" hidden="1"/>
    <cellStyle name="超連結" xfId="3741" builtinId="8" hidden="1"/>
    <cellStyle name="超連結" xfId="3743" builtinId="8" hidden="1"/>
    <cellStyle name="超連結" xfId="3745" builtinId="8" hidden="1"/>
    <cellStyle name="超連結" xfId="3747" builtinId="8" hidden="1"/>
    <cellStyle name="超連結" xfId="3749" builtinId="8" hidden="1"/>
    <cellStyle name="超連結" xfId="3751" builtinId="8" hidden="1"/>
    <cellStyle name="超連結" xfId="3753" builtinId="8" hidden="1"/>
    <cellStyle name="超連結" xfId="3755" builtinId="8" hidden="1"/>
    <cellStyle name="超連結" xfId="3757" builtinId="8" hidden="1"/>
    <cellStyle name="超連結" xfId="3759" builtinId="8" hidden="1"/>
    <cellStyle name="超連結" xfId="3761" builtinId="8" hidden="1"/>
    <cellStyle name="超連結" xfId="3763" builtinId="8" hidden="1"/>
    <cellStyle name="超連結" xfId="3765" builtinId="8" hidden="1"/>
    <cellStyle name="超連結" xfId="3767" builtinId="8" hidden="1"/>
    <cellStyle name="超連結" xfId="3769" builtinId="8" hidden="1"/>
    <cellStyle name="超連結" xfId="3771" builtinId="8" hidden="1"/>
    <cellStyle name="超連結" xfId="3773" builtinId="8" hidden="1"/>
    <cellStyle name="超連結" xfId="3775" builtinId="8" hidden="1"/>
    <cellStyle name="超連結" xfId="3777" builtinId="8" hidden="1"/>
    <cellStyle name="超連結" xfId="3779" builtinId="8" hidden="1"/>
    <cellStyle name="超連結" xfId="3781" builtinId="8" hidden="1"/>
    <cellStyle name="超連結" xfId="3783" builtinId="8" hidden="1"/>
    <cellStyle name="超連結" xfId="3785" builtinId="8" hidden="1"/>
    <cellStyle name="超連結" xfId="3787" builtinId="8" hidden="1"/>
    <cellStyle name="超連結" xfId="3789" builtinId="8" hidden="1"/>
    <cellStyle name="超連結" xfId="3791" builtinId="8" hidden="1"/>
    <cellStyle name="超連結" xfId="3793" builtinId="8" hidden="1"/>
    <cellStyle name="超連結" xfId="3795" builtinId="8" hidden="1"/>
    <cellStyle name="超連結" xfId="3797" builtinId="8" hidden="1"/>
    <cellStyle name="超連結" xfId="3799" builtinId="8" hidden="1"/>
    <cellStyle name="超連結" xfId="3801" builtinId="8" hidden="1"/>
    <cellStyle name="超連結" xfId="3803" builtinId="8" hidden="1"/>
    <cellStyle name="超連結" xfId="3805" builtinId="8" hidden="1"/>
    <cellStyle name="超連結" xfId="3807" builtinId="8" hidden="1"/>
    <cellStyle name="超連結" xfId="3809" builtinId="8" hidden="1"/>
    <cellStyle name="超連結" xfId="3811" builtinId="8" hidden="1"/>
    <cellStyle name="超連結" xfId="3813" builtinId="8" hidden="1"/>
    <cellStyle name="超連結" xfId="3815" builtinId="8" hidden="1"/>
    <cellStyle name="超連結" xfId="3817" builtinId="8" hidden="1"/>
    <cellStyle name="超連結" xfId="3819" builtinId="8" hidden="1"/>
    <cellStyle name="超連結" xfId="3821" builtinId="8" hidden="1"/>
    <cellStyle name="超連結" xfId="3823" builtinId="8" hidden="1"/>
    <cellStyle name="超連結" xfId="3825" builtinId="8" hidden="1"/>
    <cellStyle name="超連結" xfId="3827" builtinId="8" hidden="1"/>
    <cellStyle name="超連結" xfId="3829" builtinId="8" hidden="1"/>
    <cellStyle name="超連結" xfId="3831" builtinId="8" hidden="1"/>
    <cellStyle name="超連結" xfId="3833" builtinId="8" hidden="1"/>
    <cellStyle name="超連結" xfId="3835" builtinId="8" hidden="1"/>
    <cellStyle name="超連結" xfId="3837" builtinId="8" hidden="1"/>
    <cellStyle name="超連結" xfId="3839" builtinId="8" hidden="1"/>
    <cellStyle name="超連結" xfId="3841" builtinId="8" hidden="1"/>
    <cellStyle name="超連結" xfId="3843" builtinId="8" hidden="1"/>
    <cellStyle name="超連結" xfId="3845" builtinId="8" hidden="1"/>
    <cellStyle name="超連結" xfId="3847" builtinId="8" hidden="1"/>
    <cellStyle name="超連結" xfId="3849" builtinId="8" hidden="1"/>
    <cellStyle name="超連結" xfId="3851" builtinId="8" hidden="1"/>
    <cellStyle name="超連結" xfId="3853" builtinId="8" hidden="1"/>
    <cellStyle name="超連結" xfId="3855" builtinId="8" hidden="1"/>
    <cellStyle name="超連結" xfId="3857" builtinId="8" hidden="1"/>
    <cellStyle name="超連結" xfId="3859" builtinId="8" hidden="1"/>
    <cellStyle name="超連結" xfId="3861" builtinId="8" hidden="1"/>
    <cellStyle name="超連結" xfId="3863" builtinId="8" hidden="1"/>
    <cellStyle name="超連結" xfId="3865" builtinId="8" hidden="1"/>
    <cellStyle name="超連結" xfId="3867" builtinId="8" hidden="1"/>
    <cellStyle name="超連結" xfId="3869" builtinId="8" hidden="1"/>
    <cellStyle name="超連結" xfId="3871" builtinId="8" hidden="1"/>
    <cellStyle name="超連結" xfId="3873" builtinId="8" hidden="1"/>
    <cellStyle name="超連結" xfId="3875" builtinId="8" hidden="1"/>
    <cellStyle name="超連結" xfId="3877" builtinId="8" hidden="1"/>
    <cellStyle name="超連結" xfId="3879" builtinId="8" hidden="1"/>
    <cellStyle name="超連結" xfId="3881" builtinId="8" hidden="1"/>
    <cellStyle name="超連結" xfId="3883" builtinId="8" hidden="1"/>
    <cellStyle name="超連結" xfId="3885" builtinId="8" hidden="1"/>
    <cellStyle name="超連結" xfId="3887" builtinId="8" hidden="1"/>
    <cellStyle name="超連結" xfId="3889" builtinId="8" hidden="1"/>
    <cellStyle name="超連結" xfId="3891" builtinId="8" hidden="1"/>
    <cellStyle name="超連結" xfId="3893" builtinId="8" hidden="1"/>
    <cellStyle name="超連結" xfId="3895" builtinId="8" hidden="1"/>
    <cellStyle name="超連結" xfId="3897" builtinId="8" hidden="1"/>
    <cellStyle name="超連結" xfId="3899" builtinId="8" hidden="1"/>
    <cellStyle name="超連結" xfId="3901" builtinId="8" hidden="1"/>
    <cellStyle name="超連結" xfId="3903" builtinId="8" hidden="1"/>
    <cellStyle name="超連結" xfId="3905" builtinId="8" hidden="1"/>
    <cellStyle name="超連結" xfId="3907" builtinId="8" hidden="1"/>
    <cellStyle name="超連結" xfId="3909" builtinId="8" hidden="1"/>
    <cellStyle name="超連結" xfId="3911" builtinId="8" hidden="1"/>
    <cellStyle name="超連結" xfId="3913" builtinId="8" hidden="1"/>
    <cellStyle name="超連結" xfId="3915" builtinId="8" hidden="1"/>
    <cellStyle name="超連結" xfId="3917" builtinId="8" hidden="1"/>
    <cellStyle name="超連結" xfId="3919" builtinId="8" hidden="1"/>
    <cellStyle name="超連結" xfId="3921" builtinId="8" hidden="1"/>
    <cellStyle name="超連結" xfId="3923" builtinId="8" hidden="1"/>
    <cellStyle name="超連結" xfId="3925" builtinId="8" hidden="1"/>
    <cellStyle name="超連結" xfId="3927" builtinId="8" hidden="1"/>
    <cellStyle name="超連結" xfId="3929" builtinId="8" hidden="1"/>
    <cellStyle name="超連結" xfId="3931" builtinId="8" hidden="1"/>
    <cellStyle name="超連結" xfId="3933" builtinId="8" hidden="1"/>
    <cellStyle name="超連結" xfId="3935" builtinId="8" hidden="1"/>
    <cellStyle name="超連結" xfId="3937" builtinId="8" hidden="1"/>
    <cellStyle name="超連結" xfId="3939" builtinId="8" hidden="1"/>
    <cellStyle name="超連結" xfId="3941" builtinId="8" hidden="1"/>
    <cellStyle name="超連結" xfId="3943" builtinId="8" hidden="1"/>
    <cellStyle name="超連結" xfId="3945" builtinId="8" hidden="1"/>
    <cellStyle name="超連結" xfId="3947" builtinId="8" hidden="1"/>
    <cellStyle name="超連結" xfId="3949" builtinId="8" hidden="1"/>
    <cellStyle name="超連結" xfId="3951" builtinId="8" hidden="1"/>
    <cellStyle name="超連結" xfId="3953" builtinId="8" hidden="1"/>
    <cellStyle name="超連結" xfId="3955" builtinId="8" hidden="1"/>
    <cellStyle name="超連結" xfId="3957" builtinId="8" hidden="1"/>
    <cellStyle name="超連結" xfId="3959" builtinId="8" hidden="1"/>
    <cellStyle name="超連結" xfId="3961" builtinId="8" hidden="1"/>
    <cellStyle name="超連結" xfId="3963" builtinId="8" hidden="1"/>
    <cellStyle name="超連結" xfId="3965" builtinId="8" hidden="1"/>
    <cellStyle name="超連結" xfId="3967" builtinId="8" hidden="1"/>
    <cellStyle name="超連結" xfId="3969" builtinId="8" hidden="1"/>
    <cellStyle name="超連結" xfId="3971" builtinId="8" hidden="1"/>
    <cellStyle name="超連結" xfId="3973" builtinId="8" hidden="1"/>
    <cellStyle name="超連結" xfId="3975" builtinId="8" hidden="1"/>
    <cellStyle name="超連結" xfId="3977" builtinId="8" hidden="1"/>
    <cellStyle name="超連結" xfId="3979" builtinId="8" hidden="1"/>
    <cellStyle name="超連結" xfId="3981" builtinId="8" hidden="1"/>
    <cellStyle name="超連結" xfId="3983" builtinId="8" hidden="1"/>
    <cellStyle name="超連結" xfId="3985" builtinId="8" hidden="1"/>
    <cellStyle name="超連結" xfId="3987" builtinId="8" hidden="1"/>
    <cellStyle name="超連結" xfId="3989" builtinId="8" hidden="1"/>
    <cellStyle name="超連結" xfId="3991" builtinId="8" hidden="1"/>
    <cellStyle name="超連結" xfId="3993" builtinId="8" hidden="1"/>
    <cellStyle name="超連結" xfId="3995" builtinId="8" hidden="1"/>
    <cellStyle name="超連結" xfId="3997" builtinId="8" hidden="1"/>
    <cellStyle name="超連結" xfId="3999" builtinId="8" hidden="1"/>
    <cellStyle name="超連結" xfId="4001" builtinId="8" hidden="1"/>
    <cellStyle name="超連結" xfId="4003" builtinId="8" hidden="1"/>
    <cellStyle name="超連結" xfId="4005" builtinId="8" hidden="1"/>
    <cellStyle name="超連結" xfId="4007" builtinId="8" hidden="1"/>
    <cellStyle name="超連結" xfId="4009" builtinId="8" hidden="1"/>
    <cellStyle name="超連結" xfId="4011" builtinId="8" hidden="1"/>
    <cellStyle name="超連結" xfId="4013" builtinId="8" hidden="1"/>
    <cellStyle name="超連結" xfId="4015" builtinId="8" hidden="1"/>
    <cellStyle name="超連結" xfId="4017" builtinId="8" hidden="1"/>
    <cellStyle name="超連結" xfId="4019" builtinId="8" hidden="1"/>
    <cellStyle name="超連結" xfId="4021" builtinId="8" hidden="1"/>
    <cellStyle name="超連結" xfId="4023" builtinId="8" hidden="1"/>
    <cellStyle name="超連結" xfId="4025" builtinId="8" hidden="1"/>
    <cellStyle name="超連結" xfId="4027" builtinId="8" hidden="1"/>
    <cellStyle name="超連結" xfId="4029" builtinId="8" hidden="1"/>
    <cellStyle name="超連結" xfId="4031" builtinId="8" hidden="1"/>
    <cellStyle name="超連結" xfId="4033" builtinId="8" hidden="1"/>
    <cellStyle name="超連結" xfId="4035" builtinId="8" hidden="1"/>
    <cellStyle name="超連結" xfId="4037" builtinId="8" hidden="1"/>
    <cellStyle name="超連結" xfId="4039" builtinId="8" hidden="1"/>
    <cellStyle name="超連結" xfId="4041" builtinId="8" hidden="1"/>
    <cellStyle name="超連結" xfId="4043" builtinId="8" hidden="1"/>
    <cellStyle name="超連結" xfId="4045" builtinId="8" hidden="1"/>
    <cellStyle name="超連結" xfId="4047" builtinId="8" hidden="1"/>
    <cellStyle name="超連結" xfId="4049" builtinId="8" hidden="1"/>
    <cellStyle name="超連結" xfId="4051" builtinId="8" hidden="1"/>
    <cellStyle name="超連結" xfId="4053" builtinId="8" hidden="1"/>
    <cellStyle name="超連結" xfId="4055" builtinId="8" hidden="1"/>
    <cellStyle name="超連結" xfId="4057" builtinId="8" hidden="1"/>
    <cellStyle name="超連結" xfId="4059" builtinId="8" hidden="1"/>
    <cellStyle name="超連結" xfId="4061" builtinId="8" hidden="1"/>
    <cellStyle name="超連結" xfId="4063" builtinId="8" hidden="1"/>
    <cellStyle name="超連結" xfId="4065" builtinId="8" hidden="1"/>
    <cellStyle name="超連結" xfId="4067" builtinId="8" hidden="1"/>
    <cellStyle name="超連結" xfId="4069" builtinId="8" hidden="1"/>
    <cellStyle name="超連結" xfId="4071" builtinId="8" hidden="1"/>
    <cellStyle name="超連結" xfId="4073" builtinId="8" hidden="1"/>
    <cellStyle name="超連結" xfId="4075" builtinId="8" hidden="1"/>
    <cellStyle name="超連結" xfId="4077" builtinId="8" hidden="1"/>
    <cellStyle name="超連結" xfId="4079" builtinId="8" hidden="1"/>
    <cellStyle name="超連結" xfId="4081" builtinId="8" hidden="1"/>
    <cellStyle name="超連結" xfId="4083" builtinId="8" hidden="1"/>
    <cellStyle name="超連結" xfId="4085" builtinId="8" hidden="1"/>
    <cellStyle name="超連結" xfId="4087" builtinId="8" hidden="1"/>
    <cellStyle name="超連結" xfId="4089" builtinId="8" hidden="1"/>
    <cellStyle name="超連結" xfId="4091" builtinId="8" hidden="1"/>
    <cellStyle name="超連結" xfId="4093" builtinId="8" hidden="1"/>
    <cellStyle name="超連結" xfId="4095" builtinId="8" hidden="1"/>
    <cellStyle name="超連結" xfId="4097" builtinId="8" hidden="1"/>
    <cellStyle name="超連結" xfId="4099" builtinId="8" hidden="1"/>
    <cellStyle name="超連結" xfId="4101" builtinId="8" hidden="1"/>
    <cellStyle name="超連結" xfId="4103" builtinId="8" hidden="1"/>
    <cellStyle name="超連結" xfId="4105" builtinId="8" hidden="1"/>
    <cellStyle name="超連結" xfId="4107" builtinId="8" hidden="1"/>
    <cellStyle name="超連結" xfId="4109" builtinId="8" hidden="1"/>
    <cellStyle name="超連結" xfId="4111" builtinId="8" hidden="1"/>
    <cellStyle name="超連結" xfId="4113" builtinId="8" hidden="1"/>
    <cellStyle name="超連結" xfId="4115" builtinId="8" hidden="1"/>
    <cellStyle name="超連結" xfId="4117" builtinId="8" hidden="1"/>
    <cellStyle name="超連結" xfId="4119" builtinId="8" hidden="1"/>
    <cellStyle name="超連結" xfId="4121" builtinId="8" hidden="1"/>
    <cellStyle name="超連結" xfId="4123" builtinId="8" hidden="1"/>
    <cellStyle name="超連結" xfId="4125" builtinId="8" hidden="1"/>
    <cellStyle name="超連結" xfId="4127" builtinId="8" hidden="1"/>
    <cellStyle name="超連結" xfId="4129" builtinId="8" hidden="1"/>
    <cellStyle name="超連結" xfId="4131" builtinId="8" hidden="1"/>
    <cellStyle name="超連結" xfId="4133" builtinId="8" hidden="1"/>
    <cellStyle name="超連結" xfId="4135" builtinId="8" hidden="1"/>
    <cellStyle name="超連結" xfId="4137" builtinId="8" hidden="1"/>
    <cellStyle name="超連結" xfId="4139" builtinId="8" hidden="1"/>
    <cellStyle name="超連結" xfId="4141" builtinId="8" hidden="1"/>
    <cellStyle name="超連結" xfId="4143" builtinId="8" hidden="1"/>
    <cellStyle name="超連結" xfId="4145" builtinId="8" hidden="1"/>
    <cellStyle name="超連結" xfId="4147" builtinId="8" hidden="1"/>
    <cellStyle name="超連結" xfId="4149" builtinId="8" hidden="1"/>
    <cellStyle name="超連結" xfId="4151" builtinId="8" hidden="1"/>
    <cellStyle name="超連結" xfId="4153" builtinId="8" hidden="1"/>
    <cellStyle name="超連結" xfId="4155" builtinId="8" hidden="1"/>
    <cellStyle name="超連結" xfId="4157" builtinId="8" hidden="1"/>
    <cellStyle name="超連結" xfId="4159" builtinId="8" hidden="1"/>
    <cellStyle name="超連結" xfId="4161" builtinId="8" hidden="1"/>
    <cellStyle name="超連結" xfId="4163" builtinId="8" hidden="1"/>
    <cellStyle name="超連結" xfId="4165" builtinId="8" hidden="1"/>
    <cellStyle name="超連結" xfId="4167" builtinId="8" hidden="1"/>
    <cellStyle name="超連結" xfId="4169" builtinId="8" hidden="1"/>
    <cellStyle name="超連結" xfId="4171" builtinId="8" hidden="1"/>
    <cellStyle name="超連結" xfId="4173" builtinId="8" hidden="1"/>
    <cellStyle name="超連結" xfId="4175" builtinId="8" hidden="1"/>
    <cellStyle name="超連結" xfId="4177" builtinId="8" hidden="1"/>
    <cellStyle name="超連結" xfId="4179" builtinId="8" hidden="1"/>
    <cellStyle name="超連結" xfId="4181" builtinId="8" hidden="1"/>
    <cellStyle name="超連結" xfId="4183" builtinId="8" hidden="1"/>
    <cellStyle name="超連結" xfId="4185" builtinId="8" hidden="1"/>
    <cellStyle name="超連結" xfId="4187" builtinId="8" hidden="1"/>
    <cellStyle name="超連結" xfId="4189" builtinId="8" hidden="1"/>
    <cellStyle name="超連結" xfId="4191" builtinId="8" hidden="1"/>
    <cellStyle name="超連結" xfId="4193" builtinId="8" hidden="1"/>
    <cellStyle name="超連結" xfId="4195" builtinId="8" hidden="1"/>
    <cellStyle name="超連結" xfId="4197" builtinId="8" hidden="1"/>
    <cellStyle name="超連結" xfId="4199" builtinId="8" hidden="1"/>
    <cellStyle name="超連結" xfId="4201" builtinId="8" hidden="1"/>
    <cellStyle name="超連結" xfId="4203" builtinId="8" hidden="1"/>
    <cellStyle name="超連結" xfId="4205" builtinId="8" hidden="1"/>
    <cellStyle name="超連結" xfId="4207" builtinId="8" hidden="1"/>
    <cellStyle name="超連結" xfId="4209" builtinId="8" hidden="1"/>
    <cellStyle name="超連結" xfId="4211" builtinId="8" hidden="1"/>
    <cellStyle name="超連結" xfId="4213" builtinId="8" hidden="1"/>
    <cellStyle name="超連結" xfId="4215" builtinId="8" hidden="1"/>
    <cellStyle name="超連結" xfId="4217" builtinId="8" hidden="1"/>
    <cellStyle name="超連結" xfId="4219" builtinId="8" hidden="1"/>
    <cellStyle name="超連結" xfId="4221" builtinId="8" hidden="1"/>
    <cellStyle name="超連結" xfId="4223" builtinId="8" hidden="1"/>
    <cellStyle name="超連結" xfId="4225" builtinId="8" hidden="1"/>
    <cellStyle name="超連結" xfId="4227" builtinId="8" hidden="1"/>
    <cellStyle name="超連結" xfId="4229" builtinId="8" hidden="1"/>
    <cellStyle name="超連結" xfId="4231" builtinId="8" hidden="1"/>
    <cellStyle name="超連結" xfId="4233" builtinId="8" hidden="1"/>
    <cellStyle name="超連結" xfId="4235" builtinId="8" hidden="1"/>
    <cellStyle name="超連結" xfId="4237" builtinId="8" hidden="1"/>
    <cellStyle name="超連結" xfId="4239" builtinId="8" hidden="1"/>
    <cellStyle name="超連結" xfId="4241" builtinId="8" hidden="1"/>
    <cellStyle name="超連結" xfId="4243" builtinId="8" hidden="1"/>
    <cellStyle name="超連結" xfId="4245" builtinId="8" hidden="1"/>
    <cellStyle name="超連結" xfId="4247" builtinId="8" hidden="1"/>
    <cellStyle name="超連結" xfId="4249" builtinId="8" hidden="1"/>
    <cellStyle name="超連結" xfId="4251" builtinId="8" hidden="1"/>
    <cellStyle name="超連結" xfId="4253" builtinId="8" hidden="1"/>
    <cellStyle name="超連結" xfId="4255" builtinId="8" hidden="1"/>
    <cellStyle name="超連結" xfId="4257" builtinId="8" hidden="1"/>
    <cellStyle name="超連結" xfId="4259" builtinId="8" hidden="1"/>
    <cellStyle name="超連結" xfId="4261" builtinId="8" hidden="1"/>
    <cellStyle name="超連結" xfId="4263" builtinId="8" hidden="1"/>
    <cellStyle name="超連結" xfId="4265" builtinId="8" hidden="1"/>
    <cellStyle name="超連結" xfId="4267" builtinId="8" hidden="1"/>
    <cellStyle name="超連結" xfId="4269" builtinId="8" hidden="1"/>
    <cellStyle name="超連結" xfId="4271" builtinId="8" hidden="1"/>
    <cellStyle name="超連結" xfId="4273" builtinId="8" hidden="1"/>
    <cellStyle name="超連結" xfId="4275" builtinId="8" hidden="1"/>
    <cellStyle name="超連結" xfId="4277" builtinId="8" hidden="1"/>
    <cellStyle name="超連結" xfId="4279" builtinId="8" hidden="1"/>
    <cellStyle name="超連結" xfId="4281" builtinId="8" hidden="1"/>
    <cellStyle name="超連結" xfId="4283" builtinId="8" hidden="1"/>
    <cellStyle name="超連結" xfId="4285" builtinId="8" hidden="1"/>
    <cellStyle name="超連結" xfId="4287" builtinId="8" hidden="1"/>
    <cellStyle name="超連結" xfId="4289" builtinId="8" hidden="1"/>
    <cellStyle name="超連結" xfId="4291" builtinId="8" hidden="1"/>
    <cellStyle name="超連結" xfId="4293" builtinId="8" hidden="1"/>
    <cellStyle name="超連結" xfId="4295" builtinId="8" hidden="1"/>
    <cellStyle name="超連結" xfId="4297" builtinId="8" hidden="1"/>
    <cellStyle name="超連結" xfId="4299" builtinId="8" hidden="1"/>
    <cellStyle name="超連結" xfId="4301" builtinId="8" hidden="1"/>
    <cellStyle name="超連結" xfId="4303" builtinId="8" hidden="1"/>
    <cellStyle name="超連結" xfId="4305" builtinId="8" hidden="1"/>
    <cellStyle name="超連結" xfId="4307" builtinId="8" hidden="1"/>
    <cellStyle name="超連結" xfId="4309" builtinId="8" hidden="1"/>
    <cellStyle name="超連結" xfId="4311" builtinId="8" hidden="1"/>
    <cellStyle name="超連結" xfId="4313" builtinId="8" hidden="1"/>
    <cellStyle name="超連結" xfId="4315" builtinId="8" hidden="1"/>
    <cellStyle name="超連結" xfId="4317" builtinId="8" hidden="1"/>
    <cellStyle name="超連結" xfId="4319" builtinId="8" hidden="1"/>
    <cellStyle name="超連結" xfId="4321" builtinId="8" hidden="1"/>
    <cellStyle name="超連結" xfId="4323" builtinId="8" hidden="1"/>
    <cellStyle name="超連結" xfId="4325" builtinId="8" hidden="1"/>
    <cellStyle name="超連結" xfId="4327" builtinId="8" hidden="1"/>
    <cellStyle name="超連結" xfId="4329" builtinId="8" hidden="1"/>
    <cellStyle name="超連結" xfId="4331" builtinId="8" hidden="1"/>
    <cellStyle name="超連結" xfId="4333" builtinId="8" hidden="1"/>
    <cellStyle name="超連結" xfId="4335" builtinId="8" hidden="1"/>
    <cellStyle name="超連結" xfId="4337" builtinId="8" hidden="1"/>
    <cellStyle name="超連結" xfId="4339" builtinId="8" hidden="1"/>
    <cellStyle name="超連結" xfId="4341" builtinId="8" hidden="1"/>
    <cellStyle name="超連結" xfId="4343" builtinId="8" hidden="1"/>
    <cellStyle name="超連結" xfId="4345" builtinId="8" hidden="1"/>
    <cellStyle name="超連結" xfId="4347" builtinId="8" hidden="1"/>
    <cellStyle name="超連結" xfId="4349" builtinId="8" hidden="1"/>
    <cellStyle name="超連結" xfId="4351" builtinId="8" hidden="1"/>
    <cellStyle name="超連結" xfId="4353" builtinId="8" hidden="1"/>
    <cellStyle name="超連結" xfId="4355" builtinId="8" hidden="1"/>
    <cellStyle name="超連結" xfId="4357" builtinId="8" hidden="1"/>
    <cellStyle name="超連結" xfId="4359" builtinId="8" hidden="1"/>
    <cellStyle name="超連結" xfId="4361" builtinId="8" hidden="1"/>
    <cellStyle name="超連結" xfId="4363" builtinId="8" hidden="1"/>
    <cellStyle name="超連結" xfId="4365" builtinId="8" hidden="1"/>
    <cellStyle name="超連結" xfId="4367" builtinId="8" hidden="1"/>
    <cellStyle name="超連結" xfId="4369" builtinId="8" hidden="1"/>
    <cellStyle name="超連結" xfId="4371" builtinId="8" hidden="1"/>
    <cellStyle name="超連結" xfId="4373" builtinId="8" hidden="1"/>
    <cellStyle name="超連結" xfId="4375" builtinId="8" hidden="1"/>
    <cellStyle name="超連結" xfId="4377" builtinId="8" hidden="1"/>
    <cellStyle name="超連結" xfId="4379" builtinId="8" hidden="1"/>
    <cellStyle name="超連結" xfId="4381" builtinId="8" hidden="1"/>
    <cellStyle name="超連結" xfId="4383" builtinId="8" hidden="1"/>
    <cellStyle name="超連結" xfId="4385" builtinId="8" hidden="1"/>
    <cellStyle name="超連結" xfId="4387" builtinId="8" hidden="1"/>
    <cellStyle name="超連結" xfId="4389" builtinId="8" hidden="1"/>
    <cellStyle name="超連結" xfId="4391" builtinId="8" hidden="1"/>
    <cellStyle name="超連結" xfId="4393" builtinId="8" hidden="1"/>
    <cellStyle name="超連結" xfId="4395" builtinId="8" hidden="1"/>
    <cellStyle name="超連結" xfId="4397" builtinId="8" hidden="1"/>
    <cellStyle name="超連結" xfId="4399" builtinId="8" hidden="1"/>
    <cellStyle name="超連結" xfId="4401" builtinId="8" hidden="1"/>
    <cellStyle name="超連結" xfId="4403" builtinId="8" hidden="1"/>
    <cellStyle name="超連結" xfId="4405" builtinId="8" hidden="1"/>
    <cellStyle name="超連結" xfId="4407" builtinId="8" hidden="1"/>
    <cellStyle name="超連結" xfId="4409" builtinId="8" hidden="1"/>
    <cellStyle name="超連結" xfId="4411" builtinId="8" hidden="1"/>
    <cellStyle name="超連結" xfId="4413" builtinId="8" hidden="1"/>
    <cellStyle name="超連結" xfId="4415" builtinId="8" hidden="1"/>
    <cellStyle name="超連結" xfId="4417" builtinId="8" hidden="1"/>
    <cellStyle name="超連結" xfId="4419" builtinId="8" hidden="1"/>
    <cellStyle name="超連結" xfId="4421" builtinId="8" hidden="1"/>
    <cellStyle name="超連結" xfId="4423" builtinId="8" hidden="1"/>
    <cellStyle name="超連結" xfId="4425" builtinId="8" hidden="1"/>
    <cellStyle name="超連結" xfId="4427" builtinId="8" hidden="1"/>
    <cellStyle name="超連結" xfId="4429" builtinId="8" hidden="1"/>
    <cellStyle name="超連結" xfId="4431" builtinId="8" hidden="1"/>
    <cellStyle name="超連結" xfId="4433" builtinId="8" hidden="1"/>
    <cellStyle name="超連結" xfId="4435" builtinId="8" hidden="1"/>
    <cellStyle name="超連結" xfId="4437" builtinId="8" hidden="1"/>
    <cellStyle name="超連結" xfId="4439" builtinId="8" hidden="1"/>
    <cellStyle name="超連結" xfId="4441" builtinId="8" hidden="1"/>
    <cellStyle name="超連結" xfId="4443" builtinId="8" hidden="1"/>
    <cellStyle name="超連結" xfId="4445" builtinId="8" hidden="1"/>
    <cellStyle name="超連結" xfId="4447" builtinId="8" hidden="1"/>
    <cellStyle name="超連結" xfId="4449" builtinId="8" hidden="1"/>
    <cellStyle name="超連結" xfId="4451" builtinId="8" hidden="1"/>
    <cellStyle name="超連結" xfId="4453" builtinId="8" hidden="1"/>
    <cellStyle name="超連結" xfId="4455" builtinId="8" hidden="1"/>
    <cellStyle name="超連結" xfId="4457" builtinId="8" hidden="1"/>
    <cellStyle name="超連結" xfId="4459" builtinId="8" hidden="1"/>
    <cellStyle name="超連結" xfId="4461" builtinId="8" hidden="1"/>
    <cellStyle name="超連結" xfId="4463" builtinId="8" hidden="1"/>
    <cellStyle name="超連結" xfId="4465" builtinId="8" hidden="1"/>
    <cellStyle name="超連結" xfId="4467" builtinId="8" hidden="1"/>
    <cellStyle name="超連結" xfId="4469" builtinId="8" hidden="1"/>
    <cellStyle name="超連結" xfId="4471" builtinId="8" hidden="1"/>
    <cellStyle name="超連結" xfId="4473" builtinId="8" hidden="1"/>
    <cellStyle name="超連結" xfId="4475" builtinId="8" hidden="1"/>
    <cellStyle name="超連結" xfId="4477" builtinId="8" hidden="1"/>
    <cellStyle name="超連結" xfId="4479" builtinId="8" hidden="1"/>
    <cellStyle name="超連結" xfId="4481" builtinId="8" hidden="1"/>
    <cellStyle name="超連結" xfId="4483" builtinId="8" hidden="1"/>
    <cellStyle name="超連結" xfId="4485" builtinId="8" hidden="1"/>
    <cellStyle name="超連結" xfId="4487" builtinId="8" hidden="1"/>
    <cellStyle name="超連結" xfId="4489" builtinId="8" hidden="1"/>
    <cellStyle name="超連結" xfId="4491" builtinId="8" hidden="1"/>
    <cellStyle name="超連結" xfId="4493" builtinId="8" hidden="1"/>
    <cellStyle name="超連結" xfId="4495" builtinId="8" hidden="1"/>
    <cellStyle name="超連結" xfId="4497" builtinId="8" hidden="1"/>
    <cellStyle name="超連結" xfId="4499" builtinId="8" hidden="1"/>
    <cellStyle name="超連結" xfId="4501" builtinId="8" hidden="1"/>
    <cellStyle name="超連結" xfId="4503" builtinId="8" hidden="1"/>
    <cellStyle name="超連結" xfId="4505" builtinId="8" hidden="1"/>
    <cellStyle name="超連結" xfId="4507" builtinId="8" hidden="1"/>
    <cellStyle name="超連結" xfId="4509" builtinId="8" hidden="1"/>
    <cellStyle name="超連結" xfId="4511" builtinId="8" hidden="1"/>
    <cellStyle name="超連結" xfId="4513" builtinId="8" hidden="1"/>
    <cellStyle name="超連結" xfId="4515" builtinId="8" hidden="1"/>
    <cellStyle name="超連結" xfId="4517" builtinId="8" hidden="1"/>
    <cellStyle name="超連結" xfId="4519" builtinId="8" hidden="1"/>
    <cellStyle name="超連結" xfId="4521" builtinId="8" hidden="1"/>
    <cellStyle name="超連結" xfId="4523" builtinId="8" hidden="1"/>
    <cellStyle name="超連結" xfId="4525" builtinId="8" hidden="1"/>
    <cellStyle name="超連結" xfId="4527" builtinId="8" hidden="1"/>
    <cellStyle name="超連結" xfId="4529" builtinId="8" hidden="1"/>
    <cellStyle name="超連結" xfId="4531" builtinId="8" hidden="1"/>
    <cellStyle name="超連結" xfId="4533" builtinId="8" hidden="1"/>
    <cellStyle name="超連結" xfId="4535" builtinId="8" hidden="1"/>
    <cellStyle name="超連結" xfId="4537" builtinId="8" hidden="1"/>
    <cellStyle name="超連結" xfId="4539" builtinId="8" hidden="1"/>
    <cellStyle name="超連結" xfId="4541" builtinId="8" hidden="1"/>
    <cellStyle name="超連結" xfId="4543" builtinId="8" hidden="1"/>
    <cellStyle name="超連結" xfId="4545" builtinId="8" hidden="1"/>
    <cellStyle name="超連結" xfId="4547" builtinId="8" hidden="1"/>
    <cellStyle name="超連結" xfId="4549" builtinId="8" hidden="1"/>
    <cellStyle name="超連結" xfId="4551" builtinId="8" hidden="1"/>
    <cellStyle name="超連結" xfId="4553" builtinId="8" hidden="1"/>
    <cellStyle name="超連結" xfId="4555" builtinId="8" hidden="1"/>
    <cellStyle name="超連結" xfId="4557" builtinId="8" hidden="1"/>
    <cellStyle name="超連結" xfId="4559" builtinId="8" hidden="1"/>
    <cellStyle name="超連結" xfId="4561" builtinId="8" hidden="1"/>
    <cellStyle name="超連結" xfId="4563" builtinId="8" hidden="1"/>
    <cellStyle name="超連結" xfId="4565" builtinId="8" hidden="1"/>
    <cellStyle name="超連結" xfId="4567" builtinId="8" hidden="1"/>
    <cellStyle name="超連結" xfId="4569" builtinId="8" hidden="1"/>
    <cellStyle name="超連結" xfId="4571" builtinId="8" hidden="1"/>
    <cellStyle name="超連結" xfId="4573" builtinId="8" hidden="1"/>
    <cellStyle name="超連結" xfId="4575" builtinId="8" hidden="1"/>
    <cellStyle name="超連結" xfId="4577" builtinId="8" hidden="1"/>
    <cellStyle name="超連結" xfId="4579" builtinId="8" hidden="1"/>
    <cellStyle name="超連結" xfId="4581" builtinId="8" hidden="1"/>
    <cellStyle name="超連結" xfId="4583" builtinId="8" hidden="1"/>
    <cellStyle name="超連結" xfId="4585" builtinId="8" hidden="1"/>
    <cellStyle name="超連結" xfId="4587" builtinId="8" hidden="1"/>
    <cellStyle name="超連結" xfId="4589" builtinId="8" hidden="1"/>
    <cellStyle name="超連結" xfId="4591" builtinId="8" hidden="1"/>
    <cellStyle name="超連結" xfId="4593" builtinId="8" hidden="1"/>
    <cellStyle name="超連結" xfId="4595" builtinId="8" hidden="1"/>
    <cellStyle name="超連結" xfId="4597" builtinId="8" hidden="1"/>
    <cellStyle name="超連結" xfId="4599" builtinId="8" hidden="1"/>
    <cellStyle name="超連結" xfId="4601" builtinId="8" hidden="1"/>
    <cellStyle name="超連結" xfId="4603" builtinId="8" hidden="1"/>
    <cellStyle name="超連結" xfId="4605" builtinId="8" hidden="1"/>
    <cellStyle name="超連結" xfId="4607" builtinId="8" hidden="1"/>
    <cellStyle name="超連結" xfId="4609" builtinId="8" hidden="1"/>
    <cellStyle name="超連結" xfId="4611" builtinId="8" hidden="1"/>
    <cellStyle name="超連結" xfId="4613" builtinId="8" hidden="1"/>
    <cellStyle name="超連結" xfId="4615" builtinId="8" hidden="1"/>
    <cellStyle name="超連結" xfId="4617" builtinId="8" hidden="1"/>
    <cellStyle name="超連結" xfId="4619" builtinId="8" hidden="1"/>
    <cellStyle name="超連結" xfId="4621" builtinId="8" hidden="1"/>
    <cellStyle name="超連結" xfId="4623" builtinId="8" hidden="1"/>
    <cellStyle name="超連結" xfId="4625" builtinId="8" hidden="1"/>
    <cellStyle name="超連結" xfId="4627" builtinId="8" hidden="1"/>
    <cellStyle name="超連結" xfId="4629" builtinId="8" hidden="1"/>
    <cellStyle name="超連結" xfId="4631" builtinId="8" hidden="1"/>
    <cellStyle name="超連結" xfId="4633" builtinId="8" hidden="1"/>
    <cellStyle name="超連結" xfId="4635" builtinId="8" hidden="1"/>
    <cellStyle name="超連結" xfId="4637" builtinId="8" hidden="1"/>
    <cellStyle name="超連結" xfId="4639" builtinId="8" hidden="1"/>
    <cellStyle name="超連結" xfId="4641" builtinId="8" hidden="1"/>
    <cellStyle name="超連結" xfId="4643" builtinId="8" hidden="1"/>
    <cellStyle name="超連結" xfId="4645" builtinId="8" hidden="1"/>
    <cellStyle name="超連結" xfId="4647" builtinId="8" hidden="1"/>
    <cellStyle name="超連結" xfId="4649" builtinId="8" hidden="1"/>
    <cellStyle name="超連結" xfId="4651" builtinId="8" hidden="1"/>
    <cellStyle name="超連結" xfId="4653" builtinId="8" hidden="1"/>
    <cellStyle name="超連結" xfId="4655" builtinId="8" hidden="1"/>
    <cellStyle name="超連結" xfId="4657" builtinId="8" hidden="1"/>
    <cellStyle name="超連結" xfId="4659" builtinId="8" hidden="1"/>
    <cellStyle name="超連結" xfId="4661" builtinId="8" hidden="1"/>
    <cellStyle name="超連結" xfId="4663" builtinId="8" hidden="1"/>
    <cellStyle name="超連結" xfId="4665" builtinId="8" hidden="1"/>
    <cellStyle name="超連結" xfId="4667" builtinId="8" hidden="1"/>
    <cellStyle name="超連結" xfId="4669" builtinId="8" hidden="1"/>
    <cellStyle name="超連結" xfId="4671" builtinId="8" hidden="1"/>
    <cellStyle name="超連結" xfId="4673" builtinId="8" hidden="1"/>
    <cellStyle name="超連結" xfId="4675" builtinId="8" hidden="1"/>
    <cellStyle name="超連結" xfId="4677" builtinId="8" hidden="1"/>
    <cellStyle name="超連結" xfId="4679" builtinId="8" hidden="1"/>
    <cellStyle name="超連結" xfId="4681" builtinId="8" hidden="1"/>
    <cellStyle name="超連結" xfId="4683" builtinId="8" hidden="1"/>
    <cellStyle name="超連結" xfId="4685" builtinId="8" hidden="1"/>
    <cellStyle name="超連結" xfId="4687" builtinId="8" hidden="1"/>
    <cellStyle name="超連結" xfId="4689" builtinId="8" hidden="1"/>
    <cellStyle name="超連結" xfId="4691" builtinId="8" hidden="1"/>
    <cellStyle name="超連結" xfId="4693" builtinId="8" hidden="1"/>
    <cellStyle name="超連結" xfId="4695" builtinId="8" hidden="1"/>
    <cellStyle name="超連結" xfId="4697" builtinId="8" hidden="1"/>
    <cellStyle name="超連結" xfId="4699" builtinId="8" hidden="1"/>
    <cellStyle name="超連結" xfId="4701" builtinId="8" hidden="1"/>
    <cellStyle name="超連結" xfId="4703" builtinId="8" hidden="1"/>
    <cellStyle name="超連結" xfId="4705" builtinId="8" hidden="1"/>
    <cellStyle name="超連結" xfId="4707" builtinId="8" hidden="1"/>
    <cellStyle name="超連結" xfId="4709" builtinId="8" hidden="1"/>
    <cellStyle name="超連結" xfId="4711" builtinId="8" hidden="1"/>
    <cellStyle name="超連結" xfId="4713" builtinId="8" hidden="1"/>
    <cellStyle name="超連結" xfId="4715" builtinId="8" hidden="1"/>
    <cellStyle name="超連結" xfId="4717" builtinId="8" hidden="1"/>
    <cellStyle name="超連結" xfId="4719" builtinId="8" hidden="1"/>
    <cellStyle name="超連結" xfId="4721" builtinId="8" hidden="1"/>
    <cellStyle name="超連結" xfId="4723" builtinId="8" hidden="1"/>
    <cellStyle name="超連結" xfId="4725" builtinId="8" hidden="1"/>
    <cellStyle name="超連結" xfId="4727" builtinId="8" hidden="1"/>
    <cellStyle name="超連結" xfId="4729" builtinId="8" hidden="1"/>
    <cellStyle name="超連結" xfId="4731" builtinId="8" hidden="1"/>
    <cellStyle name="超連結" xfId="4733" builtinId="8" hidden="1"/>
    <cellStyle name="超連結" xfId="4735" builtinId="8" hidden="1"/>
    <cellStyle name="超連結" xfId="4737" builtinId="8" hidden="1"/>
    <cellStyle name="超連結" xfId="4739" builtinId="8" hidden="1"/>
    <cellStyle name="超連結" xfId="4741" builtinId="8" hidden="1"/>
    <cellStyle name="超連結" xfId="4743" builtinId="8" hidden="1"/>
    <cellStyle name="超連結" xfId="4745" builtinId="8" hidden="1"/>
    <cellStyle name="超連結" xfId="4747" builtinId="8" hidden="1"/>
    <cellStyle name="超連結" xfId="4749" builtinId="8" hidden="1"/>
    <cellStyle name="超連結" xfId="4751" builtinId="8" hidden="1"/>
    <cellStyle name="超連結" xfId="4753" builtinId="8" hidden="1"/>
    <cellStyle name="超連結" xfId="4755" builtinId="8" hidden="1"/>
    <cellStyle name="超連結" xfId="4757" builtinId="8" hidden="1"/>
    <cellStyle name="超連結" xfId="4759" builtinId="8" hidden="1"/>
    <cellStyle name="超連結" xfId="4761" builtinId="8" hidden="1"/>
    <cellStyle name="超連結" xfId="4763" builtinId="8" hidden="1"/>
    <cellStyle name="超連結" xfId="4765" builtinId="8" hidden="1"/>
    <cellStyle name="超連結" xfId="4767" builtinId="8" hidden="1"/>
    <cellStyle name="超連結" xfId="4769" builtinId="8" hidden="1"/>
    <cellStyle name="超連結" xfId="4771" builtinId="8" hidden="1"/>
    <cellStyle name="超連結" xfId="4773" builtinId="8" hidden="1"/>
    <cellStyle name="超連結" xfId="4775" builtinId="8" hidden="1"/>
    <cellStyle name="超連結" xfId="4777" builtinId="8" hidden="1"/>
    <cellStyle name="超連結" xfId="4779" builtinId="8" hidden="1"/>
    <cellStyle name="超連結" xfId="4781" builtinId="8" hidden="1"/>
    <cellStyle name="超連結" xfId="4783" builtinId="8" hidden="1"/>
    <cellStyle name="超連結" xfId="4785" builtinId="8" hidden="1"/>
    <cellStyle name="超連結" xfId="4787" builtinId="8" hidden="1"/>
    <cellStyle name="超連結" xfId="4789" builtinId="8" hidden="1"/>
    <cellStyle name="超連結" xfId="4791" builtinId="8" hidden="1"/>
    <cellStyle name="超連結" xfId="4793" builtinId="8" hidden="1"/>
    <cellStyle name="超連結" xfId="4795" builtinId="8" hidden="1"/>
    <cellStyle name="超連結" xfId="4797" builtinId="8" hidden="1"/>
    <cellStyle name="超連結" xfId="4799" builtinId="8" hidden="1"/>
    <cellStyle name="超連結" xfId="4801" builtinId="8" hidden="1"/>
    <cellStyle name="超連結" xfId="4803" builtinId="8" hidden="1"/>
    <cellStyle name="超連結" xfId="4805" builtinId="8" hidden="1"/>
    <cellStyle name="超連結" xfId="4807" builtinId="8" hidden="1"/>
    <cellStyle name="超連結" xfId="4809" builtinId="8" hidden="1"/>
    <cellStyle name="超連結" xfId="4811" builtinId="8" hidden="1"/>
    <cellStyle name="超連結" xfId="4813" builtinId="8" hidden="1"/>
    <cellStyle name="超連結" xfId="4815" builtinId="8" hidden="1"/>
    <cellStyle name="超連結" xfId="4817" builtinId="8" hidden="1"/>
    <cellStyle name="超連結" xfId="4819" builtinId="8" hidden="1"/>
    <cellStyle name="超連結" xfId="4821" builtinId="8" hidden="1"/>
    <cellStyle name="超連結" xfId="4823" builtinId="8" hidden="1"/>
    <cellStyle name="超連結" xfId="4825" builtinId="8" hidden="1"/>
    <cellStyle name="超連結" xfId="4827" builtinId="8" hidden="1"/>
    <cellStyle name="超連結" xfId="4829" builtinId="8" hidden="1"/>
    <cellStyle name="超連結" xfId="4831" builtinId="8" hidden="1"/>
    <cellStyle name="超連結" xfId="4833" builtinId="8" hidden="1"/>
    <cellStyle name="超連結" xfId="4835" builtinId="8" hidden="1"/>
    <cellStyle name="超連結" xfId="4837" builtinId="8" hidden="1"/>
    <cellStyle name="超連結" xfId="4839" builtinId="8" hidden="1"/>
    <cellStyle name="超連結" xfId="4841" builtinId="8" hidden="1"/>
    <cellStyle name="超連結" xfId="4843" builtinId="8" hidden="1"/>
    <cellStyle name="超連結" xfId="4845" builtinId="8" hidden="1"/>
    <cellStyle name="超連結" xfId="4847" builtinId="8" hidden="1"/>
    <cellStyle name="超連結" xfId="4849" builtinId="8" hidden="1"/>
    <cellStyle name="超連結" xfId="4851" builtinId="8" hidden="1"/>
    <cellStyle name="超連結" xfId="4853" builtinId="8" hidden="1"/>
    <cellStyle name="超連結" xfId="4855" builtinId="8" hidden="1"/>
    <cellStyle name="超連結" xfId="4857" builtinId="8" hidden="1"/>
    <cellStyle name="超連結" xfId="4859" builtinId="8" hidden="1"/>
    <cellStyle name="超連結" xfId="4861" builtinId="8" hidden="1"/>
    <cellStyle name="超連結" xfId="4863" builtinId="8" hidden="1"/>
    <cellStyle name="超連結" xfId="4865" builtinId="8" hidden="1"/>
    <cellStyle name="超連結" xfId="4867" builtinId="8" hidden="1"/>
    <cellStyle name="超連結" xfId="4869" builtinId="8" hidden="1"/>
    <cellStyle name="超連結" xfId="4871" builtinId="8" hidden="1"/>
    <cellStyle name="超連結" xfId="4873" builtinId="8" hidden="1"/>
    <cellStyle name="超連結" xfId="4875" builtinId="8" hidden="1"/>
    <cellStyle name="超連結" xfId="4877" builtinId="8" hidden="1"/>
    <cellStyle name="超連結" xfId="4879" builtinId="8" hidden="1"/>
    <cellStyle name="超連結" xfId="4881" builtinId="8" hidden="1"/>
    <cellStyle name="超連結" xfId="4883" builtinId="8" hidden="1"/>
    <cellStyle name="超連結" xfId="4885" builtinId="8" hidden="1"/>
    <cellStyle name="超連結" xfId="4887" builtinId="8" hidden="1"/>
    <cellStyle name="超連結" xfId="4889" builtinId="8" hidden="1"/>
    <cellStyle name="超連結" xfId="4891" builtinId="8" hidden="1"/>
    <cellStyle name="超連結" xfId="4893" builtinId="8" hidden="1"/>
    <cellStyle name="超連結" xfId="4895" builtinId="8" hidden="1"/>
    <cellStyle name="超連結" xfId="4897" builtinId="8" hidden="1"/>
    <cellStyle name="超連結" xfId="4899" builtinId="8" hidden="1"/>
    <cellStyle name="超連結" xfId="4901" builtinId="8" hidden="1"/>
    <cellStyle name="超連結" xfId="4903" builtinId="8" hidden="1"/>
    <cellStyle name="超連結" xfId="4905" builtinId="8" hidden="1"/>
    <cellStyle name="超連結" xfId="4907" builtinId="8" hidden="1"/>
    <cellStyle name="超連結" xfId="4909" builtinId="8" hidden="1"/>
    <cellStyle name="超連結" xfId="4911" builtinId="8" hidden="1"/>
    <cellStyle name="超連結" xfId="4913" builtinId="8" hidden="1"/>
    <cellStyle name="超連結" xfId="4915" builtinId="8" hidden="1"/>
    <cellStyle name="超連結" xfId="4917" builtinId="8" hidden="1"/>
    <cellStyle name="超連結" xfId="4919" builtinId="8" hidden="1"/>
    <cellStyle name="超連結" xfId="4921" builtinId="8" hidden="1"/>
    <cellStyle name="超連結" xfId="4923" builtinId="8" hidden="1"/>
    <cellStyle name="超連結" xfId="4925" builtinId="8" hidden="1"/>
    <cellStyle name="超連結" xfId="4927" builtinId="8" hidden="1"/>
    <cellStyle name="超連結" xfId="4929" builtinId="8" hidden="1"/>
    <cellStyle name="超連結" xfId="4931" builtinId="8" hidden="1"/>
    <cellStyle name="超連結" xfId="4933" builtinId="8" hidden="1"/>
    <cellStyle name="超連結" xfId="4935" builtinId="8" hidden="1"/>
    <cellStyle name="超連結" xfId="4937" builtinId="8" hidden="1"/>
    <cellStyle name="超連結" xfId="4939" builtinId="8" hidden="1"/>
    <cellStyle name="超連結" xfId="4941" builtinId="8" hidden="1"/>
    <cellStyle name="超連結" xfId="4943" builtinId="8" hidden="1"/>
    <cellStyle name="超連結" xfId="4945" builtinId="8" hidden="1"/>
    <cellStyle name="超連結" xfId="4947" builtinId="8" hidden="1"/>
    <cellStyle name="超連結" xfId="4949" builtinId="8" hidden="1"/>
    <cellStyle name="超連結" xfId="4951" builtinId="8" hidden="1"/>
    <cellStyle name="超連結" xfId="4953" builtinId="8" hidden="1"/>
    <cellStyle name="超連結" xfId="4955" builtinId="8" hidden="1"/>
    <cellStyle name="超連結" xfId="4957" builtinId="8" hidden="1"/>
    <cellStyle name="超連結" xfId="4959" builtinId="8" hidden="1"/>
    <cellStyle name="超連結" xfId="4961" builtinId="8" hidden="1"/>
    <cellStyle name="超連結" xfId="4963" builtinId="8" hidden="1"/>
    <cellStyle name="超連結" xfId="4965" builtinId="8" hidden="1"/>
    <cellStyle name="超連結" xfId="4967" builtinId="8" hidden="1"/>
    <cellStyle name="超連結" xfId="4969" builtinId="8" hidden="1"/>
    <cellStyle name="超連結" xfId="4971" builtinId="8" hidden="1"/>
    <cellStyle name="超連結" xfId="4973" builtinId="8" hidden="1"/>
    <cellStyle name="超連結" xfId="4975" builtinId="8" hidden="1"/>
    <cellStyle name="超連結" xfId="4977" builtinId="8" hidden="1"/>
    <cellStyle name="超連結" xfId="4979" builtinId="8" hidden="1"/>
    <cellStyle name="超連結" xfId="4981" builtinId="8" hidden="1"/>
    <cellStyle name="超連結" xfId="4983" builtinId="8" hidden="1"/>
    <cellStyle name="超連結" xfId="4985" builtinId="8" hidden="1"/>
    <cellStyle name="超連結" xfId="4987" builtinId="8" hidden="1"/>
    <cellStyle name="超連結" xfId="4989" builtinId="8" hidden="1"/>
    <cellStyle name="超連結" xfId="4991" builtinId="8" hidden="1"/>
    <cellStyle name="超連結" xfId="4993" builtinId="8" hidden="1"/>
    <cellStyle name="超連結" xfId="4995" builtinId="8" hidden="1"/>
    <cellStyle name="超連結" xfId="4997" builtinId="8" hidden="1"/>
    <cellStyle name="超連結" xfId="4999" builtinId="8" hidden="1"/>
    <cellStyle name="超連結" xfId="5001" builtinId="8" hidden="1"/>
    <cellStyle name="超連結" xfId="5003" builtinId="8" hidden="1"/>
    <cellStyle name="超連結" xfId="5005" builtinId="8" hidden="1"/>
    <cellStyle name="超連結" xfId="5007" builtinId="8" hidden="1"/>
    <cellStyle name="超連結" xfId="5009" builtinId="8" hidden="1"/>
    <cellStyle name="超連結" xfId="5011" builtinId="8" hidden="1"/>
    <cellStyle name="超連結" xfId="5013" builtinId="8" hidden="1"/>
    <cellStyle name="超連結" xfId="5015" builtinId="8" hidden="1"/>
    <cellStyle name="超連結" xfId="5017" builtinId="8" hidden="1"/>
    <cellStyle name="超連結" xfId="5019" builtinId="8" hidden="1"/>
    <cellStyle name="超連結" xfId="5021" builtinId="8" hidden="1"/>
    <cellStyle name="超連結" xfId="5023" builtinId="8" hidden="1"/>
    <cellStyle name="超連結" xfId="5025" builtinId="8" hidden="1"/>
    <cellStyle name="超連結" xfId="5027" builtinId="8" hidden="1"/>
    <cellStyle name="超連結" xfId="5029" builtinId="8" hidden="1"/>
    <cellStyle name="超連結" xfId="5031" builtinId="8" hidden="1"/>
    <cellStyle name="超連結" xfId="5033" builtinId="8" hidden="1"/>
    <cellStyle name="超連結" xfId="5035" builtinId="8" hidden="1"/>
    <cellStyle name="超連結" xfId="5037" builtinId="8" hidden="1"/>
    <cellStyle name="超連結" xfId="5039" builtinId="8" hidden="1"/>
    <cellStyle name="超連結" xfId="5041" builtinId="8" hidden="1"/>
    <cellStyle name="超連結" xfId="5043" builtinId="8" hidden="1"/>
    <cellStyle name="超連結" xfId="5045" builtinId="8" hidden="1"/>
    <cellStyle name="超連結" xfId="5047" builtinId="8" hidden="1"/>
    <cellStyle name="超連結" xfId="5049" builtinId="8" hidden="1"/>
    <cellStyle name="超連結" xfId="5051" builtinId="8" hidden="1"/>
    <cellStyle name="超連結" xfId="5053" builtinId="8" hidden="1"/>
    <cellStyle name="超連結" xfId="5055" builtinId="8" hidden="1"/>
    <cellStyle name="超連結" xfId="5057" builtinId="8" hidden="1"/>
    <cellStyle name="超連結" xfId="5059" builtinId="8" hidden="1"/>
    <cellStyle name="超連結" xfId="5061" builtinId="8" hidden="1"/>
    <cellStyle name="超連結" xfId="5063" builtinId="8" hidden="1"/>
    <cellStyle name="超連結" xfId="5065" builtinId="8" hidden="1"/>
    <cellStyle name="超連結" xfId="5067" builtinId="8" hidden="1"/>
    <cellStyle name="超連結" xfId="5069" builtinId="8" hidden="1"/>
    <cellStyle name="超連結" xfId="5071" builtinId="8" hidden="1"/>
    <cellStyle name="超連結" xfId="5073" builtinId="8" hidden="1"/>
    <cellStyle name="超連結" xfId="5075" builtinId="8" hidden="1"/>
    <cellStyle name="超連結" xfId="5077" builtinId="8" hidden="1"/>
    <cellStyle name="超連結" xfId="5079" builtinId="8" hidden="1"/>
    <cellStyle name="超連結" xfId="5081" builtinId="8" hidden="1"/>
    <cellStyle name="超連結" xfId="5083" builtinId="8" hidden="1"/>
    <cellStyle name="超連結" xfId="5085" builtinId="8" hidden="1"/>
    <cellStyle name="超連結" xfId="5087" builtinId="8" hidden="1"/>
    <cellStyle name="超連結" xfId="5089" builtinId="8" hidden="1"/>
    <cellStyle name="超連結" xfId="5091" builtinId="8" hidden="1"/>
    <cellStyle name="超連結" xfId="5093" builtinId="8" hidden="1"/>
    <cellStyle name="超連結" xfId="5095" builtinId="8" hidden="1"/>
    <cellStyle name="超連結" xfId="5097" builtinId="8" hidden="1"/>
    <cellStyle name="超連結" xfId="5099" builtinId="8" hidden="1"/>
    <cellStyle name="超連結" xfId="5101" builtinId="8" hidden="1"/>
    <cellStyle name="超連結" xfId="5103" builtinId="8" hidden="1"/>
    <cellStyle name="超連結" xfId="5105" builtinId="8" hidden="1"/>
    <cellStyle name="超連結" xfId="5107" builtinId="8" hidden="1"/>
    <cellStyle name="超連結" xfId="5109" builtinId="8" hidden="1"/>
    <cellStyle name="超連結" xfId="5111" builtinId="8" hidden="1"/>
    <cellStyle name="超連結" xfId="5113" builtinId="8" hidden="1"/>
    <cellStyle name="超連結" xfId="5115" builtinId="8" hidden="1"/>
    <cellStyle name="超連結" xfId="5117" builtinId="8" hidden="1"/>
    <cellStyle name="超連結" xfId="5119" builtinId="8" hidden="1"/>
    <cellStyle name="超連結" xfId="5121" builtinId="8" hidden="1"/>
    <cellStyle name="超連結" xfId="5123" builtinId="8" hidden="1"/>
    <cellStyle name="超連結" xfId="5125" builtinId="8" hidden="1"/>
    <cellStyle name="超連結" xfId="5127" builtinId="8" hidden="1"/>
    <cellStyle name="超連結" xfId="5129" builtinId="8" hidden="1"/>
    <cellStyle name="超連結" xfId="5131" builtinId="8" hidden="1"/>
    <cellStyle name="超連結" xfId="5133" builtinId="8" hidden="1"/>
    <cellStyle name="超連結" xfId="5135" builtinId="8" hidden="1"/>
    <cellStyle name="超連結" xfId="5137" builtinId="8" hidden="1"/>
    <cellStyle name="超連結" xfId="5139" builtinId="8" hidden="1"/>
    <cellStyle name="超連結" xfId="5141" builtinId="8" hidden="1"/>
    <cellStyle name="超連結" xfId="5143" builtinId="8" hidden="1"/>
    <cellStyle name="超連結" xfId="5145" builtinId="8" hidden="1"/>
    <cellStyle name="超連結" xfId="5147" builtinId="8" hidden="1"/>
    <cellStyle name="超連結" xfId="5149" builtinId="8" hidden="1"/>
    <cellStyle name="超連結" xfId="5151" builtinId="8" hidden="1"/>
    <cellStyle name="超連結" xfId="5153" builtinId="8" hidden="1"/>
    <cellStyle name="超連結" xfId="5155" builtinId="8" hidden="1"/>
    <cellStyle name="超連結" xfId="5157" builtinId="8" hidden="1"/>
    <cellStyle name="超連結" xfId="5159" builtinId="8" hidden="1"/>
    <cellStyle name="超連結" xfId="5161" builtinId="8" hidden="1"/>
    <cellStyle name="超連結" xfId="5163" builtinId="8" hidden="1"/>
    <cellStyle name="超連結" xfId="5165" builtinId="8" hidden="1"/>
    <cellStyle name="超連結" xfId="5167" builtinId="8" hidden="1"/>
    <cellStyle name="超連結" xfId="5169" builtinId="8" hidden="1"/>
    <cellStyle name="超連結" xfId="5171" builtinId="8" hidden="1"/>
    <cellStyle name="超連結" xfId="5173" builtinId="8" hidden="1"/>
    <cellStyle name="超連結" xfId="5175" builtinId="8" hidden="1"/>
    <cellStyle name="超連結" xfId="5177" builtinId="8" hidden="1"/>
    <cellStyle name="超連結" xfId="5179" builtinId="8" hidden="1"/>
    <cellStyle name="超連結" xfId="5181" builtinId="8" hidden="1"/>
    <cellStyle name="超連結" xfId="5183" builtinId="8" hidden="1"/>
    <cellStyle name="超連結" xfId="5185" builtinId="8" hidden="1"/>
    <cellStyle name="超連結" xfId="5187" builtinId="8" hidden="1"/>
    <cellStyle name="超連結" xfId="5189" builtinId="8" hidden="1"/>
    <cellStyle name="超連結" xfId="5191" builtinId="8" hidden="1"/>
    <cellStyle name="超連結" xfId="5193" builtinId="8" hidden="1"/>
    <cellStyle name="超連結" xfId="5195" builtinId="8" hidden="1"/>
    <cellStyle name="超連結" xfId="5197" builtinId="8" hidden="1"/>
    <cellStyle name="超連結" xfId="5199" builtinId="8" hidden="1"/>
    <cellStyle name="超連結" xfId="5201" builtinId="8" hidden="1"/>
    <cellStyle name="超連結" xfId="5203" builtinId="8" hidden="1"/>
    <cellStyle name="超連結" xfId="5205" builtinId="8" hidden="1"/>
    <cellStyle name="超連結" xfId="5207" builtinId="8" hidden="1"/>
    <cellStyle name="超連結" xfId="5209" builtinId="8" hidden="1"/>
    <cellStyle name="超連結" xfId="5211" builtinId="8" hidden="1"/>
    <cellStyle name="超連結" xfId="5213" builtinId="8" hidden="1"/>
    <cellStyle name="超連結" xfId="5215" builtinId="8" hidden="1"/>
    <cellStyle name="超連結" xfId="5217" builtinId="8" hidden="1"/>
    <cellStyle name="超連結" xfId="5219" builtinId="8" hidden="1"/>
    <cellStyle name="超連結" xfId="5221" builtinId="8" hidden="1"/>
    <cellStyle name="超連結" xfId="5223" builtinId="8" hidden="1"/>
    <cellStyle name="超連結" xfId="5225" builtinId="8" hidden="1"/>
    <cellStyle name="超連結" xfId="5227" builtinId="8" hidden="1"/>
    <cellStyle name="超連結" xfId="5229" builtinId="8" hidden="1"/>
    <cellStyle name="超連結" xfId="5231" builtinId="8" hidden="1"/>
    <cellStyle name="超連結" xfId="5233" builtinId="8" hidden="1"/>
    <cellStyle name="超連結" xfId="5235" builtinId="8" hidden="1"/>
    <cellStyle name="超連結" xfId="5237" builtinId="8" hidden="1"/>
    <cellStyle name="超連結" xfId="5239" builtinId="8" hidden="1"/>
    <cellStyle name="超連結" xfId="5241" builtinId="8" hidden="1"/>
    <cellStyle name="超連結" xfId="5243" builtinId="8" hidden="1"/>
    <cellStyle name="超連結" xfId="5245" builtinId="8" hidden="1"/>
    <cellStyle name="超連結" xfId="5247" builtinId="8" hidden="1"/>
    <cellStyle name="超連結" xfId="5249" builtinId="8" hidden="1"/>
    <cellStyle name="超連結" xfId="5251" builtinId="8" hidden="1"/>
    <cellStyle name="超連結" xfId="5253" builtinId="8" hidden="1"/>
    <cellStyle name="超連結" xfId="5255" builtinId="8" hidden="1"/>
    <cellStyle name="超連結" xfId="5257" builtinId="8" hidden="1"/>
    <cellStyle name="超連結" xfId="5259" builtinId="8" hidden="1"/>
    <cellStyle name="超連結" xfId="5261" builtinId="8" hidden="1"/>
    <cellStyle name="超連結" xfId="5263" builtinId="8" hidden="1"/>
    <cellStyle name="超連結" xfId="5265" builtinId="8" hidden="1"/>
    <cellStyle name="超連結" xfId="5267" builtinId="8" hidden="1"/>
    <cellStyle name="超連結" xfId="5269" builtinId="8" hidden="1"/>
    <cellStyle name="超連結" xfId="5271" builtinId="8" hidden="1"/>
    <cellStyle name="超連結" xfId="5273" builtinId="8" hidden="1"/>
    <cellStyle name="超連結" xfId="5275" builtinId="8" hidden="1"/>
    <cellStyle name="超連結" xfId="5277" builtinId="8" hidden="1"/>
    <cellStyle name="超連結" xfId="5279" builtinId="8" hidden="1"/>
    <cellStyle name="超連結" xfId="5281" builtinId="8" hidden="1"/>
    <cellStyle name="超連結" xfId="5283" builtinId="8" hidden="1"/>
    <cellStyle name="超連結" xfId="5285" builtinId="8" hidden="1"/>
    <cellStyle name="超連結" xfId="5287" builtinId="8" hidden="1"/>
    <cellStyle name="超連結" xfId="5289" builtinId="8" hidden="1"/>
    <cellStyle name="超連結" xfId="5291" builtinId="8" hidden="1"/>
    <cellStyle name="超連結" xfId="5293" builtinId="8" hidden="1"/>
    <cellStyle name="超連結" xfId="5295" builtinId="8" hidden="1"/>
    <cellStyle name="超連結" xfId="5297" builtinId="8" hidden="1"/>
    <cellStyle name="超連結" xfId="5299" builtinId="8" hidden="1"/>
    <cellStyle name="超連結" xfId="5301" builtinId="8" hidden="1"/>
    <cellStyle name="超連結" xfId="5303" builtinId="8" hidden="1"/>
    <cellStyle name="超連結" xfId="5305" builtinId="8" hidden="1"/>
    <cellStyle name="超連結" xfId="5307" builtinId="8" hidden="1"/>
    <cellStyle name="超連結" xfId="5309" builtinId="8" hidden="1"/>
    <cellStyle name="超連結" xfId="5311" builtinId="8" hidden="1"/>
    <cellStyle name="超連結" xfId="5313" builtinId="8" hidden="1"/>
    <cellStyle name="超連結" xfId="5315" builtinId="8" hidden="1"/>
    <cellStyle name="超連結" xfId="5317" builtinId="8" hidden="1"/>
    <cellStyle name="超連結" xfId="5319" builtinId="8" hidden="1"/>
    <cellStyle name="超連結" xfId="5321" builtinId="8" hidden="1"/>
    <cellStyle name="超連結" xfId="5323" builtinId="8" hidden="1"/>
    <cellStyle name="超連結" xfId="5325" builtinId="8" hidden="1"/>
    <cellStyle name="超連結" xfId="5327" builtinId="8" hidden="1"/>
    <cellStyle name="超連結" xfId="5329" builtinId="8" hidden="1"/>
    <cellStyle name="超連結" xfId="5331" builtinId="8" hidden="1"/>
    <cellStyle name="超連結" xfId="5333" builtinId="8" hidden="1"/>
    <cellStyle name="超連結" xfId="5335" builtinId="8" hidden="1"/>
    <cellStyle name="超連結" xfId="5337" builtinId="8" hidden="1"/>
    <cellStyle name="超連結" xfId="5339" builtinId="8" hidden="1"/>
    <cellStyle name="超連結" xfId="5341" builtinId="8" hidden="1"/>
    <cellStyle name="超連結" xfId="5343" builtinId="8" hidden="1"/>
    <cellStyle name="超連結" xfId="5345" builtinId="8" hidden="1"/>
    <cellStyle name="超連結" xfId="5347" builtinId="8" hidden="1"/>
    <cellStyle name="超連結" xfId="5349" builtinId="8" hidden="1"/>
    <cellStyle name="超連結" xfId="5351" builtinId="8" hidden="1"/>
    <cellStyle name="超連結" xfId="5353" builtinId="8" hidden="1"/>
    <cellStyle name="超連結" xfId="5355" builtinId="8" hidden="1"/>
    <cellStyle name="超連結" xfId="5357" builtinId="8" hidden="1"/>
    <cellStyle name="超連結" xfId="5359" builtinId="8" hidden="1"/>
    <cellStyle name="超連結" xfId="5361" builtinId="8" hidden="1"/>
    <cellStyle name="超連結" xfId="5363" builtinId="8" hidden="1"/>
    <cellStyle name="超連結" xfId="5365" builtinId="8" hidden="1"/>
    <cellStyle name="超連結" xfId="5367" builtinId="8" hidden="1"/>
    <cellStyle name="超連結" xfId="5369" builtinId="8" hidden="1"/>
    <cellStyle name="超連結" xfId="5371" builtinId="8" hidden="1"/>
    <cellStyle name="超連結" xfId="5373" builtinId="8" hidden="1"/>
    <cellStyle name="超連結" xfId="5375" builtinId="8" hidden="1"/>
    <cellStyle name="超連結" xfId="5377" builtinId="8" hidden="1"/>
    <cellStyle name="超連結" xfId="5379" builtinId="8" hidden="1"/>
    <cellStyle name="超連結" xfId="5381" builtinId="8" hidden="1"/>
    <cellStyle name="超連結" xfId="5383" builtinId="8" hidden="1"/>
    <cellStyle name="超連結" xfId="5385" builtinId="8" hidden="1"/>
    <cellStyle name="超連結" xfId="5387" builtinId="8" hidden="1"/>
    <cellStyle name="超連結" xfId="5389" builtinId="8" hidden="1"/>
    <cellStyle name="超連結" xfId="5391" builtinId="8" hidden="1"/>
    <cellStyle name="超連結" xfId="5393" builtinId="8" hidden="1"/>
    <cellStyle name="超連結" xfId="5395" builtinId="8" hidden="1"/>
    <cellStyle name="超連結" xfId="5397" builtinId="8" hidden="1"/>
    <cellStyle name="超連結" xfId="5399" builtinId="8" hidden="1"/>
    <cellStyle name="超連結" xfId="5401" builtinId="8" hidden="1"/>
    <cellStyle name="超連結" xfId="5403" builtinId="8" hidden="1"/>
    <cellStyle name="超連結" xfId="5405" builtinId="8" hidden="1"/>
    <cellStyle name="超連結" xfId="5407" builtinId="8" hidden="1"/>
    <cellStyle name="超連結" xfId="5409" builtinId="8" hidden="1"/>
    <cellStyle name="超連結" xfId="5411" builtinId="8" hidden="1"/>
    <cellStyle name="超連結" xfId="5413" builtinId="8" hidden="1"/>
    <cellStyle name="超連結" xfId="5415" builtinId="8" hidden="1"/>
    <cellStyle name="超連結" xfId="5417" builtinId="8" hidden="1"/>
    <cellStyle name="超連結" xfId="5419" builtinId="8" hidden="1"/>
    <cellStyle name="超連結" xfId="5421" builtinId="8" hidden="1"/>
    <cellStyle name="超連結" xfId="5423" builtinId="8" hidden="1"/>
    <cellStyle name="超連結" xfId="5425" builtinId="8" hidden="1"/>
    <cellStyle name="超連結" xfId="5427" builtinId="8" hidden="1"/>
    <cellStyle name="超連結" xfId="5429" builtinId="8" hidden="1"/>
    <cellStyle name="超連結" xfId="5431" builtinId="8" hidden="1"/>
    <cellStyle name="超連結" xfId="5433" builtinId="8" hidden="1"/>
    <cellStyle name="超連結" xfId="5435" builtinId="8" hidden="1"/>
    <cellStyle name="超連結" xfId="5437" builtinId="8" hidden="1"/>
    <cellStyle name="超連結" xfId="5439" builtinId="8" hidden="1"/>
    <cellStyle name="超連結" xfId="5441" builtinId="8" hidden="1"/>
    <cellStyle name="超連結" xfId="5443" builtinId="8" hidden="1"/>
    <cellStyle name="超連結" xfId="5445" builtinId="8" hidden="1"/>
    <cellStyle name="超連結" xfId="5447" builtinId="8" hidden="1"/>
    <cellStyle name="超連結" xfId="5449" builtinId="8" hidden="1"/>
    <cellStyle name="超連結" xfId="5451" builtinId="8" hidden="1"/>
    <cellStyle name="超連結" xfId="5453" builtinId="8" hidden="1"/>
    <cellStyle name="超連結" xfId="5455" builtinId="8" hidden="1"/>
    <cellStyle name="超連結" xfId="5457" builtinId="8" hidden="1"/>
    <cellStyle name="超連結" xfId="5459" builtinId="8" hidden="1"/>
    <cellStyle name="超連結" xfId="5461" builtinId="8" hidden="1"/>
    <cellStyle name="超連結" xfId="5463" builtinId="8" hidden="1"/>
    <cellStyle name="超連結" xfId="5465" builtinId="8" hidden="1"/>
    <cellStyle name="超連結" xfId="5467" builtinId="8" hidden="1"/>
    <cellStyle name="超連結" xfId="5469" builtinId="8" hidden="1"/>
    <cellStyle name="超連結" xfId="5471" builtinId="8" hidden="1"/>
    <cellStyle name="超連結" xfId="5473" builtinId="8" hidden="1"/>
    <cellStyle name="超連結" xfId="5475" builtinId="8" hidden="1"/>
    <cellStyle name="超連結" xfId="5477" builtinId="8" hidden="1"/>
    <cellStyle name="超連結" xfId="5479" builtinId="8" hidden="1"/>
    <cellStyle name="超連結" xfId="5481" builtinId="8" hidden="1"/>
    <cellStyle name="超連結" xfId="5483" builtinId="8" hidden="1"/>
    <cellStyle name="超連結" xfId="5485" builtinId="8" hidden="1"/>
    <cellStyle name="超連結" xfId="5487" builtinId="8" hidden="1"/>
    <cellStyle name="超連結" xfId="5489" builtinId="8" hidden="1"/>
    <cellStyle name="超連結" xfId="5491" builtinId="8" hidden="1"/>
    <cellStyle name="超連結" xfId="5493" builtinId="8" hidden="1"/>
    <cellStyle name="超連結" xfId="5495" builtinId="8" hidden="1"/>
    <cellStyle name="超連結" xfId="5497" builtinId="8" hidden="1"/>
    <cellStyle name="超連結" xfId="5499" builtinId="8" hidden="1"/>
    <cellStyle name="超連結" xfId="5501" builtinId="8" hidden="1"/>
    <cellStyle name="超連結" xfId="5503" builtinId="8" hidden="1"/>
    <cellStyle name="超連結" xfId="5505" builtinId="8" hidden="1"/>
    <cellStyle name="超連結" xfId="5507" builtinId="8" hidden="1"/>
    <cellStyle name="超連結" xfId="5509" builtinId="8" hidden="1"/>
    <cellStyle name="超連結" xfId="5511" builtinId="8" hidden="1"/>
    <cellStyle name="超連結" xfId="5513" builtinId="8" hidden="1"/>
    <cellStyle name="超連結" xfId="5515" builtinId="8" hidden="1"/>
    <cellStyle name="超連結" xfId="5517" builtinId="8" hidden="1"/>
    <cellStyle name="超連結" xfId="5519" builtinId="8" hidden="1"/>
    <cellStyle name="超連結" xfId="5521" builtinId="8" hidden="1"/>
    <cellStyle name="超連結" xfId="5523" builtinId="8" hidden="1"/>
    <cellStyle name="超連結" xfId="5525" builtinId="8" hidden="1"/>
    <cellStyle name="超連結" xfId="5527" builtinId="8" hidden="1"/>
    <cellStyle name="超連結" xfId="5529" builtinId="8" hidden="1"/>
    <cellStyle name="超連結" xfId="5531" builtinId="8" hidden="1"/>
    <cellStyle name="超連結" xfId="5533" builtinId="8" hidden="1"/>
    <cellStyle name="超連結" xfId="5535" builtinId="8" hidden="1"/>
    <cellStyle name="超連結" xfId="5537" builtinId="8" hidden="1"/>
    <cellStyle name="超連結" xfId="5539" builtinId="8" hidden="1"/>
    <cellStyle name="超連結" xfId="5541" builtinId="8" hidden="1"/>
    <cellStyle name="超連結" xfId="5543" builtinId="8" hidden="1"/>
    <cellStyle name="超連結" xfId="5545" builtinId="8" hidden="1"/>
    <cellStyle name="超連結" xfId="5547" builtinId="8" hidden="1"/>
    <cellStyle name="超連結" xfId="5549" builtinId="8" hidden="1"/>
    <cellStyle name="超連結" xfId="5551" builtinId="8" hidden="1"/>
    <cellStyle name="超連結" xfId="5553" builtinId="8" hidden="1"/>
    <cellStyle name="超連結" xfId="5555" builtinId="8" hidden="1"/>
    <cellStyle name="超連結" xfId="5557" builtinId="8" hidden="1"/>
    <cellStyle name="超連結" xfId="5559" builtinId="8" hidden="1"/>
    <cellStyle name="超連結" xfId="5561" builtinId="8" hidden="1"/>
    <cellStyle name="超連結" xfId="5563" builtinId="8" hidden="1"/>
    <cellStyle name="超連結" xfId="5565" builtinId="8" hidden="1"/>
    <cellStyle name="超連結" xfId="5567" builtinId="8" hidden="1"/>
    <cellStyle name="超連結" xfId="5569" builtinId="8" hidden="1"/>
    <cellStyle name="超連結" xfId="5571" builtinId="8" hidden="1"/>
    <cellStyle name="超連結" xfId="5573" builtinId="8" hidden="1"/>
    <cellStyle name="超連結" xfId="5575" builtinId="8" hidden="1"/>
    <cellStyle name="超連結" xfId="5577" builtinId="8" hidden="1"/>
    <cellStyle name="超連結" xfId="5579" builtinId="8" hidden="1"/>
    <cellStyle name="超連結" xfId="5581" builtinId="8" hidden="1"/>
    <cellStyle name="超連結" xfId="5583" builtinId="8" hidden="1"/>
    <cellStyle name="超連結" xfId="5585" builtinId="8" hidden="1"/>
    <cellStyle name="超連結" xfId="5587" builtinId="8" hidden="1"/>
    <cellStyle name="超連結" xfId="5589" builtinId="8" hidden="1"/>
    <cellStyle name="超連結" xfId="5591" builtinId="8" hidden="1"/>
    <cellStyle name="超連結" xfId="5593" builtinId="8" hidden="1"/>
    <cellStyle name="超連結" xfId="5595" builtinId="8" hidden="1"/>
    <cellStyle name="超連結" xfId="5597" builtinId="8" hidden="1"/>
    <cellStyle name="超連結" xfId="5599" builtinId="8" hidden="1"/>
    <cellStyle name="超連結" xfId="5601" builtinId="8" hidden="1"/>
    <cellStyle name="超連結" xfId="5603" builtinId="8" hidden="1"/>
    <cellStyle name="超連結" xfId="5605" builtinId="8" hidden="1"/>
    <cellStyle name="超連結" xfId="5607" builtinId="8" hidden="1"/>
    <cellStyle name="超連結" xfId="5609" builtinId="8" hidden="1"/>
    <cellStyle name="超連結" xfId="5611" builtinId="8" hidden="1"/>
    <cellStyle name="超連結" xfId="5613" builtinId="8" hidden="1"/>
    <cellStyle name="超連結" xfId="5615" builtinId="8" hidden="1"/>
    <cellStyle name="超連結" xfId="5617" builtinId="8" hidden="1"/>
    <cellStyle name="超連結" xfId="5619" builtinId="8" hidden="1"/>
    <cellStyle name="超連結" xfId="5621" builtinId="8" hidden="1"/>
    <cellStyle name="超連結" xfId="5623" builtinId="8" hidden="1"/>
    <cellStyle name="超連結" xfId="5625" builtinId="8" hidden="1"/>
    <cellStyle name="超連結" xfId="5627" builtinId="8" hidden="1"/>
    <cellStyle name="超連結" xfId="5629" builtinId="8" hidden="1"/>
    <cellStyle name="超連結" xfId="5631" builtinId="8" hidden="1"/>
    <cellStyle name="超連結" xfId="5633" builtinId="8" hidden="1"/>
    <cellStyle name="超連結" xfId="5635" builtinId="8" hidden="1"/>
    <cellStyle name="超連結" xfId="5637" builtinId="8" hidden="1"/>
    <cellStyle name="超連結" xfId="5639" builtinId="8" hidden="1"/>
    <cellStyle name="超連結" xfId="5641" builtinId="8" hidden="1"/>
    <cellStyle name="超連結" xfId="5643" builtinId="8" hidden="1"/>
    <cellStyle name="超連結" xfId="5645" builtinId="8" hidden="1"/>
    <cellStyle name="超連結" xfId="5647" builtinId="8" hidden="1"/>
    <cellStyle name="超連結" xfId="5649" builtinId="8" hidden="1"/>
    <cellStyle name="超連結" xfId="5651" builtinId="8" hidden="1"/>
    <cellStyle name="超連結" xfId="5653" builtinId="8" hidden="1"/>
    <cellStyle name="超連結" xfId="5655" builtinId="8" hidden="1"/>
    <cellStyle name="超連結" xfId="5657" builtinId="8" hidden="1"/>
    <cellStyle name="超連結" xfId="5659" builtinId="8" hidden="1"/>
    <cellStyle name="超連結" xfId="5661" builtinId="8" hidden="1"/>
    <cellStyle name="超連結" xfId="5663" builtinId="8" hidden="1"/>
    <cellStyle name="超連結" xfId="5665" builtinId="8" hidden="1"/>
    <cellStyle name="超連結" xfId="5667" builtinId="8" hidden="1"/>
    <cellStyle name="超連結" xfId="5669" builtinId="8" hidden="1"/>
    <cellStyle name="超連結" xfId="5671" builtinId="8" hidden="1"/>
    <cellStyle name="超連結" xfId="5673" builtinId="8" hidden="1"/>
    <cellStyle name="超連結" xfId="5675" builtinId="8" hidden="1"/>
    <cellStyle name="超連結" xfId="5677" builtinId="8" hidden="1"/>
    <cellStyle name="超連結" xfId="5679" builtinId="8" hidden="1"/>
    <cellStyle name="超連結" xfId="5681" builtinId="8" hidden="1"/>
    <cellStyle name="超連結" xfId="5683" builtinId="8" hidden="1"/>
    <cellStyle name="超連結" xfId="5685" builtinId="8" hidden="1"/>
    <cellStyle name="超連結" xfId="5687" builtinId="8" hidden="1"/>
    <cellStyle name="超連結" xfId="5689" builtinId="8" hidden="1"/>
    <cellStyle name="超連結" xfId="5691" builtinId="8" hidden="1"/>
    <cellStyle name="超連結" xfId="5693" builtinId="8" hidden="1"/>
    <cellStyle name="超連結" xfId="5695" builtinId="8" hidden="1"/>
    <cellStyle name="超連結" xfId="5697" builtinId="8" hidden="1"/>
    <cellStyle name="超連結" xfId="5699" builtinId="8" hidden="1"/>
    <cellStyle name="超連結" xfId="5701" builtinId="8" hidden="1"/>
    <cellStyle name="超連結" xfId="5703" builtinId="8" hidden="1"/>
    <cellStyle name="超連結" xfId="5705" builtinId="8" hidden="1"/>
    <cellStyle name="超連結" xfId="5707" builtinId="8" hidden="1"/>
    <cellStyle name="超連結" xfId="5709" builtinId="8" hidden="1"/>
    <cellStyle name="超連結" xfId="5711" builtinId="8" hidden="1"/>
    <cellStyle name="超連結" xfId="5713" builtinId="8" hidden="1"/>
    <cellStyle name="超連結" xfId="5715" builtinId="8" hidden="1"/>
    <cellStyle name="超連結" xfId="5717" builtinId="8" hidden="1"/>
    <cellStyle name="超連結" xfId="5719" builtinId="8" hidden="1"/>
    <cellStyle name="超連結" xfId="5721" builtinId="8" hidden="1"/>
    <cellStyle name="超連結" xfId="5723" builtinId="8" hidden="1"/>
    <cellStyle name="超連結" xfId="5725" builtinId="8" hidden="1"/>
    <cellStyle name="超連結" xfId="5727" builtinId="8" hidden="1"/>
    <cellStyle name="超連結" xfId="5729" builtinId="8" hidden="1"/>
    <cellStyle name="超連結" xfId="5731" builtinId="8" hidden="1"/>
    <cellStyle name="超連結" xfId="5733" builtinId="8" hidden="1"/>
    <cellStyle name="超連結" xfId="5735" builtinId="8" hidden="1"/>
    <cellStyle name="超連結" xfId="5737" builtinId="8" hidden="1"/>
    <cellStyle name="超連結" xfId="5739" builtinId="8" hidden="1"/>
    <cellStyle name="超連結" xfId="5741" builtinId="8" hidden="1"/>
    <cellStyle name="超連結" xfId="5743" builtinId="8" hidden="1"/>
    <cellStyle name="超連結" xfId="5745" builtinId="8" hidden="1"/>
    <cellStyle name="超連結" xfId="5747" builtinId="8" hidden="1"/>
    <cellStyle name="超連結" xfId="5749" builtinId="8" hidden="1"/>
    <cellStyle name="超連結" xfId="5751" builtinId="8" hidden="1"/>
    <cellStyle name="超連結" xfId="5753" builtinId="8" hidden="1"/>
    <cellStyle name="超連結" xfId="5755" builtinId="8" hidden="1"/>
    <cellStyle name="超連結" xfId="5757" builtinId="8" hidden="1"/>
    <cellStyle name="超連結" xfId="5759" builtinId="8" hidden="1"/>
    <cellStyle name="超連結" xfId="5761" builtinId="8" hidden="1"/>
    <cellStyle name="超連結" xfId="5763" builtinId="8" hidden="1"/>
    <cellStyle name="超連結" xfId="5765" builtinId="8" hidden="1"/>
    <cellStyle name="超連結" xfId="5767" builtinId="8" hidden="1"/>
    <cellStyle name="超連結" xfId="5769" builtinId="8" hidden="1"/>
    <cellStyle name="超連結" xfId="5771" builtinId="8" hidden="1"/>
    <cellStyle name="超連結" xfId="5773" builtinId="8" hidden="1"/>
    <cellStyle name="超連結" xfId="5775" builtinId="8" hidden="1"/>
    <cellStyle name="超連結" xfId="5777" builtinId="8" hidden="1"/>
    <cellStyle name="超連結" xfId="5779" builtinId="8" hidden="1"/>
    <cellStyle name="超連結" xfId="5781" builtinId="8" hidden="1"/>
    <cellStyle name="超連結" xfId="5783" builtinId="8" hidden="1"/>
    <cellStyle name="超連結" xfId="5785" builtinId="8" hidden="1"/>
    <cellStyle name="超連結" xfId="5787" builtinId="8" hidden="1"/>
    <cellStyle name="超連結" xfId="5789" builtinId="8" hidden="1"/>
    <cellStyle name="超連結" xfId="5791" builtinId="8" hidden="1"/>
    <cellStyle name="超連結" xfId="5793" builtinId="8" hidden="1"/>
    <cellStyle name="超連結" xfId="5795" builtinId="8" hidden="1"/>
    <cellStyle name="超連結" xfId="5797" builtinId="8" hidden="1"/>
    <cellStyle name="超連結" xfId="5799" builtinId="8" hidden="1"/>
    <cellStyle name="超連結" xfId="5801" builtinId="8" hidden="1"/>
    <cellStyle name="超連結" xfId="5803" builtinId="8" hidden="1"/>
    <cellStyle name="超連結" xfId="5805" builtinId="8" hidden="1"/>
    <cellStyle name="超連結" xfId="5807" builtinId="8" hidden="1"/>
    <cellStyle name="超連結" xfId="5809" builtinId="8" hidden="1"/>
    <cellStyle name="超連結" xfId="5811" builtinId="8" hidden="1"/>
    <cellStyle name="超連結" xfId="5813" builtinId="8" hidden="1"/>
    <cellStyle name="超連結" xfId="5815" builtinId="8" hidden="1"/>
    <cellStyle name="超連結" xfId="5817" builtinId="8" hidden="1"/>
    <cellStyle name="超連結" xfId="5819" builtinId="8" hidden="1"/>
    <cellStyle name="超連結" xfId="5821" builtinId="8" hidden="1"/>
    <cellStyle name="超連結" xfId="5823" builtinId="8" hidden="1"/>
    <cellStyle name="超連結" xfId="5825" builtinId="8" hidden="1"/>
    <cellStyle name="超連結" xfId="5827" builtinId="8" hidden="1"/>
    <cellStyle name="超連結" xfId="5829" builtinId="8" hidden="1"/>
    <cellStyle name="超連結" xfId="5831" builtinId="8" hidden="1"/>
    <cellStyle name="超連結" xfId="5833" builtinId="8" hidden="1"/>
    <cellStyle name="超連結" xfId="5835" builtinId="8" hidden="1"/>
    <cellStyle name="超連結" xfId="5837" builtinId="8" hidden="1"/>
    <cellStyle name="超連結" xfId="5839" builtinId="8" hidden="1"/>
    <cellStyle name="超連結" xfId="5841" builtinId="8" hidden="1"/>
    <cellStyle name="超連結" xfId="5843" builtinId="8" hidden="1"/>
    <cellStyle name="超連結" xfId="5845" builtinId="8" hidden="1"/>
    <cellStyle name="超連結" xfId="5847" builtinId="8" hidden="1"/>
    <cellStyle name="超連結" xfId="5849" builtinId="8" hidden="1"/>
    <cellStyle name="超連結" xfId="5851" builtinId="8" hidden="1"/>
    <cellStyle name="超連結" xfId="5853" builtinId="8" hidden="1"/>
    <cellStyle name="超連結" xfId="5855" builtinId="8" hidden="1"/>
    <cellStyle name="超連結" xfId="5857" builtinId="8" hidden="1"/>
    <cellStyle name="超連結" xfId="5859" builtinId="8" hidden="1"/>
    <cellStyle name="超連結" xfId="5861" builtinId="8" hidden="1"/>
    <cellStyle name="超連結" xfId="5863" builtinId="8" hidden="1"/>
    <cellStyle name="超連結" xfId="5865" builtinId="8" hidden="1"/>
    <cellStyle name="超連結" xfId="5867" builtinId="8" hidden="1"/>
    <cellStyle name="超連結" xfId="5869" builtinId="8" hidden="1"/>
    <cellStyle name="超連結" xfId="5871" builtinId="8" hidden="1"/>
    <cellStyle name="超連結" xfId="5873" builtinId="8" hidden="1"/>
    <cellStyle name="超連結" xfId="5875" builtinId="8" hidden="1"/>
    <cellStyle name="超連結" xfId="5877" builtinId="8" hidden="1"/>
    <cellStyle name="超連結" xfId="5879" builtinId="8" hidden="1"/>
    <cellStyle name="超連結" xfId="5881" builtinId="8" hidden="1"/>
    <cellStyle name="超連結" xfId="5883" builtinId="8" hidden="1"/>
    <cellStyle name="超連結" xfId="5885" builtinId="8" hidden="1"/>
    <cellStyle name="超連結" xfId="5887" builtinId="8" hidden="1"/>
    <cellStyle name="超連結" xfId="5889" builtinId="8" hidden="1"/>
    <cellStyle name="超連結" xfId="5891" builtinId="8" hidden="1"/>
    <cellStyle name="超連結" xfId="5893" builtinId="8" hidden="1"/>
    <cellStyle name="超連結" xfId="5895" builtinId="8" hidden="1"/>
    <cellStyle name="超連結" xfId="5897" builtinId="8" hidden="1"/>
    <cellStyle name="超連結" xfId="5899" builtinId="8" hidden="1"/>
    <cellStyle name="超連結" xfId="5901" builtinId="8" hidden="1"/>
    <cellStyle name="超連結" xfId="5903" builtinId="8" hidden="1"/>
    <cellStyle name="超連結" xfId="5905" builtinId="8" hidden="1"/>
  </cellStyles>
  <dxfs count="196">
    <dxf>
      <font>
        <color auto="1"/>
      </font>
      <fill>
        <patternFill patternType="solid">
          <fgColor indexed="64"/>
          <bgColor rgb="FFFFFF00"/>
        </patternFill>
      </fill>
    </dxf>
    <dxf>
      <font>
        <color rgb="FFC00000"/>
      </font>
      <fill>
        <patternFill>
          <bgColor rgb="FFC00000"/>
        </patternFill>
      </fill>
    </dxf>
    <dxf>
      <font>
        <color rgb="FF00B050"/>
      </font>
      <fill>
        <patternFill>
          <bgColor rgb="FF00B050"/>
        </patternFill>
      </fill>
    </dxf>
    <dxf>
      <font>
        <color theme="9" tint="-0.24994659260841701"/>
      </font>
      <fill>
        <patternFill>
          <bgColor theme="9" tint="-0.24994659260841701"/>
        </patternFill>
      </fill>
    </dxf>
    <dxf>
      <font>
        <color rgb="FF0070C0"/>
      </font>
      <fill>
        <patternFill>
          <bgColor rgb="FF0070C0"/>
        </patternFill>
      </fill>
    </dxf>
    <dxf>
      <font>
        <b val="0"/>
        <i val="0"/>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b val="0"/>
        <i val="0"/>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rgb="FFC00000"/>
      </font>
      <fill>
        <patternFill>
          <bgColor rgb="FFC00000"/>
        </patternFill>
      </fill>
    </dxf>
    <dxf>
      <font>
        <color rgb="FF00B050"/>
      </font>
      <fill>
        <patternFill>
          <bgColor rgb="FF00B050"/>
        </patternFill>
      </fill>
    </dxf>
    <dxf>
      <font>
        <color theme="9" tint="-0.24994659260841701"/>
      </font>
      <fill>
        <patternFill>
          <bgColor theme="9" tint="-0.24994659260841701"/>
        </patternFill>
      </fill>
    </dxf>
    <dxf>
      <font>
        <color rgb="FF0070C0"/>
      </font>
      <fill>
        <patternFill>
          <bgColor rgb="FF0070C0"/>
        </patternFill>
      </fill>
    </dxf>
    <dxf>
      <font>
        <color rgb="FFC00000"/>
      </font>
      <fill>
        <patternFill>
          <bgColor rgb="FFC00000"/>
        </patternFill>
      </fill>
    </dxf>
    <dxf>
      <font>
        <color rgb="FF00B050"/>
      </font>
      <fill>
        <patternFill>
          <bgColor rgb="FF00B050"/>
        </patternFill>
      </fill>
    </dxf>
    <dxf>
      <font>
        <color theme="9" tint="-0.24994659260841701"/>
      </font>
      <fill>
        <patternFill>
          <bgColor theme="9" tint="-0.24994659260841701"/>
        </patternFill>
      </fill>
    </dxf>
    <dxf>
      <font>
        <color rgb="FF0070C0"/>
      </font>
      <fill>
        <patternFill>
          <bgColor rgb="FF0070C0"/>
        </patternFill>
      </fill>
    </dxf>
    <dxf>
      <fill>
        <patternFill>
          <bgColor rgb="FFC00000"/>
        </patternFill>
      </fill>
    </dxf>
    <dxf>
      <fill>
        <patternFill>
          <bgColor rgb="FF00B050"/>
        </patternFill>
      </fill>
    </dxf>
    <dxf>
      <fill>
        <patternFill>
          <bgColor theme="9" tint="-0.24994659260841701"/>
        </patternFill>
      </fill>
    </dxf>
    <dxf>
      <fill>
        <patternFill>
          <bgColor rgb="FF0070C0"/>
        </patternFill>
      </fill>
    </dxf>
    <dxf>
      <fill>
        <patternFill>
          <bgColor rgb="FFC00000"/>
        </patternFill>
      </fill>
    </dxf>
    <dxf>
      <fill>
        <patternFill>
          <bgColor rgb="FF00B050"/>
        </patternFill>
      </fill>
    </dxf>
    <dxf>
      <fill>
        <patternFill>
          <bgColor theme="9" tint="-0.24994659260841701"/>
        </patternFill>
      </fill>
    </dxf>
    <dxf>
      <fill>
        <patternFill>
          <bgColor rgb="FF0070C0"/>
        </patternFill>
      </fill>
    </dxf>
    <dxf>
      <fill>
        <patternFill>
          <bgColor rgb="FFC00000"/>
        </patternFill>
      </fill>
    </dxf>
    <dxf>
      <fill>
        <patternFill>
          <bgColor rgb="FF00B050"/>
        </patternFill>
      </fill>
    </dxf>
    <dxf>
      <fill>
        <patternFill>
          <bgColor theme="9" tint="-0.24994659260841701"/>
        </patternFill>
      </fill>
    </dxf>
    <dxf>
      <fill>
        <patternFill>
          <bgColor rgb="FF0070C0"/>
        </patternFill>
      </fill>
    </dxf>
    <dxf>
      <fill>
        <patternFill>
          <bgColor rgb="FFC00000"/>
        </patternFill>
      </fill>
    </dxf>
    <dxf>
      <fill>
        <patternFill>
          <bgColor rgb="FF00B050"/>
        </patternFill>
      </fill>
    </dxf>
    <dxf>
      <fill>
        <patternFill>
          <bgColor theme="9" tint="-0.24994659260841701"/>
        </patternFill>
      </fill>
    </dxf>
    <dxf>
      <fill>
        <patternFill>
          <bgColor rgb="FF0070C0"/>
        </patternFill>
      </fill>
    </dxf>
    <dxf>
      <fill>
        <patternFill>
          <bgColor rgb="FFC00000"/>
        </patternFill>
      </fill>
    </dxf>
    <dxf>
      <fill>
        <patternFill>
          <bgColor rgb="FF00B050"/>
        </patternFill>
      </fill>
    </dxf>
    <dxf>
      <fill>
        <patternFill>
          <bgColor theme="9" tint="-0.24994659260841701"/>
        </patternFill>
      </fill>
    </dxf>
    <dxf>
      <fill>
        <patternFill>
          <bgColor rgb="FF0070C0"/>
        </patternFill>
      </fill>
    </dxf>
    <dxf>
      <font>
        <b/>
        <i val="0"/>
        <color auto="1"/>
      </font>
      <fill>
        <patternFill>
          <bgColor rgb="FFC00000"/>
        </patternFill>
      </fill>
    </dxf>
    <dxf>
      <font>
        <b/>
        <i val="0"/>
        <color auto="1"/>
      </font>
      <fill>
        <patternFill>
          <bgColor rgb="FF00B050"/>
        </patternFill>
      </fill>
    </dxf>
    <dxf>
      <font>
        <b/>
        <i val="0"/>
        <color auto="1"/>
      </font>
      <fill>
        <patternFill>
          <bgColor theme="9" tint="-0.24994659260841701"/>
        </patternFill>
      </fill>
    </dxf>
    <dxf>
      <font>
        <b/>
        <i val="0"/>
        <color auto="1"/>
      </font>
      <fill>
        <patternFill>
          <bgColor rgb="FF0070C0"/>
        </patternFill>
      </fill>
    </dxf>
    <dxf>
      <font>
        <color rgb="FF0070C0"/>
      </font>
      <fill>
        <patternFill>
          <bgColor theme="1"/>
        </patternFill>
      </fill>
    </dxf>
    <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FFC000"/>
      </font>
      <fill>
        <patternFill>
          <bgColor theme="1"/>
        </patternFill>
      </fill>
    </dxf>
    <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dxf>
    <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auto="1"/>
      </font>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dxf>
    <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dxf>
    <dxf>
      <font>
        <color rgb="FF0070C0"/>
      </font>
      <fill>
        <patternFill>
          <bgColor theme="1"/>
        </patternFill>
      </fill>
    </dxf>
    <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70C0"/>
      </font>
      <fill>
        <patternFill>
          <bgColor theme="1"/>
        </patternFill>
      </fill>
    </dxf>
    <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FFC000"/>
      </font>
      <fill>
        <patternFill>
          <bgColor theme="1"/>
        </patternFill>
      </fill>
    </dxf>
    <dxf>
      <font>
        <b val="0"/>
        <i val="0"/>
        <color rgb="FFFF66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border>
        <right style="thin">
          <color theme="0"/>
        </right>
        <bottom style="thin">
          <color theme="0"/>
        </bottom>
      </border>
    </dxf>
    <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border>
        <right style="thin">
          <color theme="0"/>
        </right>
        <bottom style="thin">
          <color theme="0"/>
        </bottom>
      </border>
    </dxf>
    <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70C0"/>
      </font>
      <fill>
        <patternFill>
          <bgColor theme="1"/>
        </patternFill>
      </fill>
    </dxf>
    <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FFC000"/>
      </font>
      <fill>
        <patternFill>
          <bgColor theme="1"/>
        </patternFill>
      </fill>
    </dxf>
    <dxf>
      <font>
        <b val="0"/>
        <i val="0"/>
        <color rgb="FFFF66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border>
        <right style="thin">
          <color theme="0"/>
        </right>
        <bottom style="thin">
          <color theme="0"/>
        </bottom>
      </border>
    </dxf>
    <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border>
        <right style="thin">
          <color theme="0"/>
        </right>
        <bottom style="thin">
          <color theme="0"/>
        </bottom>
      </border>
    </dxf>
    <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70C0"/>
      </font>
      <fill>
        <patternFill>
          <bgColor theme="1"/>
        </patternFill>
      </fill>
    </dxf>
    <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FFC000"/>
      </font>
      <fill>
        <patternFill>
          <bgColor theme="1"/>
        </patternFill>
      </fill>
    </dxf>
    <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dxf>
    <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b/>
        <i val="0"/>
        <color rgb="FF0070C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dxf>
    <dxf>
      <font>
        <b/>
        <i val="0"/>
        <color theme="9" tint="-0.24994659260841701"/>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dxf>
    <dxf>
      <font>
        <b/>
        <i val="0"/>
        <color rgb="FF00B05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dxf>
    <dxf>
      <font>
        <b/>
        <i val="0"/>
        <color rgb="FFC0000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dxf>
    <dxf>
      <font>
        <color rgb="FF0070C0"/>
      </font>
      <fill>
        <patternFill>
          <bgColor theme="1"/>
        </patternFill>
      </fill>
    </dxf>
    <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FFC000"/>
      </font>
      <fill>
        <patternFill>
          <bgColor theme="1"/>
        </patternFill>
      </fill>
    </dxf>
    <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dxf>
    <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dxf>
    <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70C0"/>
      </font>
      <fill>
        <patternFill>
          <bgColor theme="1"/>
        </patternFill>
      </fill>
    </dxf>
    <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theme="9" tint="-0.24994659260841701"/>
      </font>
      <fill>
        <patternFill>
          <bgColor theme="1"/>
        </patternFill>
      </fill>
    </dxf>
    <dxf>
      <font>
        <b val="0"/>
        <i val="0"/>
        <color theme="9" tint="-0.24994659260841701"/>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00B050"/>
      </font>
      <fill>
        <patternFill>
          <bgColor theme="1"/>
        </patternFill>
      </fill>
      <border>
        <right style="thin">
          <color theme="0"/>
        </right>
        <bottom style="thin">
          <color theme="0"/>
        </bottom>
      </border>
    </dxf>
    <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rgb="FFC00000"/>
      </font>
      <fill>
        <patternFill>
          <bgColor theme="1"/>
        </patternFill>
      </fill>
      <border>
        <right style="thin">
          <color theme="0"/>
        </right>
        <bottom style="thin">
          <color theme="0"/>
        </bottom>
      </border>
    </dxf>
    <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dxf>
    <dxf>
      <font>
        <color auto="1"/>
      </font>
      <fill>
        <patternFill patternType="solid">
          <fgColor indexed="64"/>
          <bgColor rgb="FFFFFF00"/>
        </patternFill>
      </fill>
    </dxf>
    <dxf>
      <font>
        <b/>
        <i val="0"/>
        <color auto="1"/>
      </font>
      <fill>
        <patternFill patternType="solid">
          <fgColor indexed="64"/>
          <bgColor rgb="FFFFFF00"/>
        </patternFill>
      </fill>
    </dxf>
    <dxf>
      <font>
        <b/>
        <i val="0"/>
        <color theme="0"/>
      </font>
      <fill>
        <patternFill>
          <bgColor theme="1"/>
        </patternFill>
      </fill>
    </dxf>
    <dxf>
      <font>
        <b/>
        <i val="0"/>
        <color rgb="FFFF0000"/>
      </font>
      <fill>
        <patternFill>
          <bgColor rgb="FFFFFF00"/>
        </patternFill>
      </fill>
    </dxf>
    <dxf>
      <font>
        <b/>
        <i val="0"/>
        <color theme="0"/>
      </font>
      <fill>
        <patternFill>
          <bgColor theme="1"/>
        </patternFill>
      </fill>
    </dxf>
    <dxf>
      <font>
        <b/>
        <i val="0"/>
        <color rgb="FFFF0000"/>
      </font>
      <fill>
        <patternFill>
          <bgColor rgb="FFFFFF00"/>
        </patternFill>
      </fill>
    </dxf>
    <dxf>
      <font>
        <b/>
        <i val="0"/>
        <color theme="0"/>
      </font>
      <fill>
        <patternFill>
          <bgColor theme="1"/>
        </patternFill>
      </fill>
    </dxf>
    <dxf>
      <font>
        <b/>
        <i val="0"/>
        <color rgb="FFFF0000"/>
      </font>
      <fill>
        <patternFill>
          <bgColor rgb="FFFFFF00"/>
        </patternFill>
      </fill>
    </dxf>
    <dxf>
      <font>
        <b/>
        <i val="0"/>
        <color theme="0"/>
      </font>
      <fill>
        <patternFill>
          <bgColor theme="1"/>
        </patternFill>
      </fill>
    </dxf>
    <dxf>
      <font>
        <b/>
        <i val="0"/>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16" fmlaLink="$CR$19" max="4" page="0"/>
</file>

<file path=xl/ctrlProps/ctrlProp4.xml><?xml version="1.0" encoding="utf-8"?>
<formControlPr xmlns="http://schemas.microsoft.com/office/spreadsheetml/2009/9/main" objectType="Scroll" dx="16" fmlaLink="$DM$19" max="4" page="0" val="4"/>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Scroll" dx="16" fmlaLink="$DM$35" max="4" page="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16" fmlaLink="$CR$35" max="4" page="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101</xdr:col>
          <xdr:colOff>12700</xdr:colOff>
          <xdr:row>18</xdr:row>
          <xdr:rowOff>177800</xdr:rowOff>
        </xdr:from>
        <xdr:to>
          <xdr:col>105</xdr:col>
          <xdr:colOff>215900</xdr:colOff>
          <xdr:row>21</xdr:row>
          <xdr:rowOff>12700</xdr:rowOff>
        </xdr:to>
        <xdr:sp macro="" textlink="">
          <xdr:nvSpPr>
            <xdr:cNvPr id="16398" name="Button 14" hidden="1">
              <a:extLst>
                <a:ext uri="{63B3BB69-23CF-44E3-9099-C40C66FF867C}">
                  <a14:compatExt spid="_x0000_s1639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CHT" altLang="en-US" sz="2000" b="1" i="0" u="none" strike="noStrike" baseline="0">
                  <a:solidFill>
                    <a:srgbClr val="000000"/>
                  </a:solidFill>
                  <a:latin typeface="新細明體"/>
                  <a:ea typeface="新細明體"/>
                  <a:cs typeface="新細明體"/>
                </a:rPr>
                <a:t>玩家</a:t>
              </a:r>
              <a:r>
                <a:rPr lang="zh-CHT" altLang="en-US" sz="2000" b="1" i="0" u="none" strike="noStrike" baseline="0">
                  <a:solidFill>
                    <a:srgbClr val="000000"/>
                  </a:solidFill>
                  <a:latin typeface="Hannotate TC Bold"/>
                  <a:ea typeface="Hannotate TC Bold"/>
                  <a:cs typeface="Hannotate TC Bold"/>
                </a:rPr>
                <a:t> </a:t>
              </a:r>
              <a:r>
                <a:rPr lang="en-US" altLang="zh-CHT" sz="2000" b="1" i="0" u="none" strike="noStrike" baseline="0">
                  <a:solidFill>
                    <a:srgbClr val="000000"/>
                  </a:solidFill>
                  <a:latin typeface="Hannotate TC Bold"/>
                  <a:ea typeface="Hannotate TC Bold"/>
                  <a:cs typeface="Hannotate TC Bold"/>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25400</xdr:colOff>
          <xdr:row>34</xdr:row>
          <xdr:rowOff>152400</xdr:rowOff>
        </xdr:from>
        <xdr:to>
          <xdr:col>106</xdr:col>
          <xdr:colOff>25400</xdr:colOff>
          <xdr:row>37</xdr:row>
          <xdr:rowOff>0</xdr:rowOff>
        </xdr:to>
        <xdr:sp macro="" textlink="">
          <xdr:nvSpPr>
            <xdr:cNvPr id="16399" name="Button 15" hidden="1">
              <a:extLst>
                <a:ext uri="{63B3BB69-23CF-44E3-9099-C40C66FF867C}">
                  <a14:compatExt spid="_x0000_s1639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CHT" altLang="en-US" sz="2000" b="1" i="0" u="none" strike="noStrike" baseline="0">
                  <a:solidFill>
                    <a:srgbClr val="000000"/>
                  </a:solidFill>
                  <a:latin typeface="新細明體"/>
                  <a:ea typeface="新細明體"/>
                  <a:cs typeface="新細明體"/>
                </a:rPr>
                <a:t>玩家 </a:t>
              </a:r>
              <a:r>
                <a:rPr lang="en-US" altLang="zh-CHT" sz="2000" b="1" i="0" u="none" strike="noStrike" baseline="0">
                  <a:solidFill>
                    <a:srgbClr val="000000"/>
                  </a:solidFill>
                  <a:latin typeface="新細明體"/>
                  <a:ea typeface="新細明體"/>
                  <a:cs typeface="新細明體"/>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25400</xdr:colOff>
          <xdr:row>18</xdr:row>
          <xdr:rowOff>177800</xdr:rowOff>
        </xdr:from>
        <xdr:to>
          <xdr:col>127</xdr:col>
          <xdr:colOff>0</xdr:colOff>
          <xdr:row>21</xdr:row>
          <xdr:rowOff>25400</xdr:rowOff>
        </xdr:to>
        <xdr:sp macro="" textlink="">
          <xdr:nvSpPr>
            <xdr:cNvPr id="16400" name="Button 16" hidden="1">
              <a:extLst>
                <a:ext uri="{63B3BB69-23CF-44E3-9099-C40C66FF867C}">
                  <a14:compatExt spid="_x0000_s1640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CHT" altLang="en-US" sz="2000" b="1" i="0" u="none" strike="noStrike" baseline="0">
                  <a:solidFill>
                    <a:srgbClr val="000000"/>
                  </a:solidFill>
                  <a:latin typeface="新細明體"/>
                  <a:ea typeface="新細明體"/>
                  <a:cs typeface="新細明體"/>
                </a:rPr>
                <a:t>玩家</a:t>
              </a:r>
              <a:r>
                <a:rPr lang="zh-CHT" altLang="en-US" sz="2000" b="1" i="0" u="none" strike="noStrike" baseline="0">
                  <a:solidFill>
                    <a:srgbClr val="000000"/>
                  </a:solidFill>
                  <a:latin typeface="Hannotate TC Bold"/>
                  <a:ea typeface="Hannotate TC Bold"/>
                  <a:cs typeface="Hannotate TC Bold"/>
                </a:rPr>
                <a:t> </a:t>
              </a:r>
              <a:r>
                <a:rPr lang="en-US" altLang="zh-CHT" sz="2000" b="1" i="0" u="none" strike="noStrike" baseline="0">
                  <a:solidFill>
                    <a:srgbClr val="000000"/>
                  </a:solidFill>
                  <a:latin typeface="Hannotate TC Bold"/>
                  <a:ea typeface="Hannotate TC Bold"/>
                  <a:cs typeface="Hannotate TC Bold"/>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12700</xdr:colOff>
          <xdr:row>34</xdr:row>
          <xdr:rowOff>152400</xdr:rowOff>
        </xdr:from>
        <xdr:to>
          <xdr:col>126</xdr:col>
          <xdr:colOff>215900</xdr:colOff>
          <xdr:row>36</xdr:row>
          <xdr:rowOff>215900</xdr:rowOff>
        </xdr:to>
        <xdr:sp macro="" textlink="">
          <xdr:nvSpPr>
            <xdr:cNvPr id="16401" name="Button 17" hidden="1">
              <a:extLst>
                <a:ext uri="{63B3BB69-23CF-44E3-9099-C40C66FF867C}">
                  <a14:compatExt spid="_x0000_s1640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CHT" altLang="en-US" sz="2000" b="1" i="0" u="none" strike="noStrike" baseline="0">
                  <a:solidFill>
                    <a:srgbClr val="000000"/>
                  </a:solidFill>
                  <a:latin typeface="新細明體"/>
                  <a:ea typeface="新細明體"/>
                  <a:cs typeface="新細明體"/>
                </a:rPr>
                <a:t>玩家 </a:t>
              </a:r>
              <a:r>
                <a:rPr lang="en-US" altLang="zh-CHT" sz="2000" b="1" i="0" u="none" strike="noStrike" baseline="0">
                  <a:solidFill>
                    <a:srgbClr val="000000"/>
                  </a:solidFill>
                  <a:latin typeface="新細明體"/>
                  <a:ea typeface="新細明體"/>
                  <a:cs typeface="新細明體"/>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215900</xdr:colOff>
          <xdr:row>18</xdr:row>
          <xdr:rowOff>25400</xdr:rowOff>
        </xdr:from>
        <xdr:to>
          <xdr:col>96</xdr:col>
          <xdr:colOff>0</xdr:colOff>
          <xdr:row>23</xdr:row>
          <xdr:rowOff>25400</xdr:rowOff>
        </xdr:to>
        <xdr:sp macro="" textlink="">
          <xdr:nvSpPr>
            <xdr:cNvPr id="16406" name="Scroll Bar 22" hidden="1">
              <a:extLst>
                <a:ext uri="{63B3BB69-23CF-44E3-9099-C40C66FF867C}">
                  <a14:compatExt spid="_x0000_s164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116</xdr:col>
          <xdr:colOff>12700</xdr:colOff>
          <xdr:row>18</xdr:row>
          <xdr:rowOff>25400</xdr:rowOff>
        </xdr:from>
        <xdr:to>
          <xdr:col>117</xdr:col>
          <xdr:colOff>25400</xdr:colOff>
          <xdr:row>22</xdr:row>
          <xdr:rowOff>215900</xdr:rowOff>
        </xdr:to>
        <xdr:sp macro="" textlink="">
          <xdr:nvSpPr>
            <xdr:cNvPr id="16407" name="Scroll Bar 23" hidden="1">
              <a:extLst>
                <a:ext uri="{63B3BB69-23CF-44E3-9099-C40C66FF867C}">
                  <a14:compatExt spid="_x0000_s16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95</xdr:col>
          <xdr:colOff>12700</xdr:colOff>
          <xdr:row>34</xdr:row>
          <xdr:rowOff>25400</xdr:rowOff>
        </xdr:from>
        <xdr:to>
          <xdr:col>96</xdr:col>
          <xdr:colOff>25400</xdr:colOff>
          <xdr:row>39</xdr:row>
          <xdr:rowOff>25400</xdr:rowOff>
        </xdr:to>
        <xdr:sp macro="" textlink="">
          <xdr:nvSpPr>
            <xdr:cNvPr id="16408" name="Scroll Bar 24" hidden="1">
              <a:extLst>
                <a:ext uri="{63B3BB69-23CF-44E3-9099-C40C66FF867C}">
                  <a14:compatExt spid="_x0000_s16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116</xdr:col>
          <xdr:colOff>12700</xdr:colOff>
          <xdr:row>34</xdr:row>
          <xdr:rowOff>0</xdr:rowOff>
        </xdr:from>
        <xdr:to>
          <xdr:col>117</xdr:col>
          <xdr:colOff>25400</xdr:colOff>
          <xdr:row>39</xdr:row>
          <xdr:rowOff>12700</xdr:rowOff>
        </xdr:to>
        <xdr:sp macro="" textlink="">
          <xdr:nvSpPr>
            <xdr:cNvPr id="16410" name="Scroll Bar 26" hidden="1">
              <a:extLst>
                <a:ext uri="{63B3BB69-23CF-44E3-9099-C40C66FF867C}">
                  <a14:compatExt spid="_x0000_s16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96</xdr:col>
          <xdr:colOff>215900</xdr:colOff>
          <xdr:row>11</xdr:row>
          <xdr:rowOff>0</xdr:rowOff>
        </xdr:from>
        <xdr:to>
          <xdr:col>103</xdr:col>
          <xdr:colOff>139700</xdr:colOff>
          <xdr:row>13</xdr:row>
          <xdr:rowOff>101600</xdr:rowOff>
        </xdr:to>
        <xdr:sp macro="" textlink="">
          <xdr:nvSpPr>
            <xdr:cNvPr id="16411" name="Button 27" hidden="1">
              <a:extLst>
                <a:ext uri="{63B3BB69-23CF-44E3-9099-C40C66FF867C}">
                  <a14:compatExt spid="_x0000_s1641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TW" altLang="en-US" sz="1800" b="1" i="0" u="none" strike="noStrike" baseline="0">
                  <a:solidFill>
                    <a:srgbClr val="000000"/>
                  </a:solidFill>
                  <a:latin typeface="新細明體"/>
                  <a:ea typeface="新細明體"/>
                  <a:cs typeface="新細明體"/>
                </a:rPr>
                <a:t>新遊戲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25400</xdr:colOff>
          <xdr:row>11</xdr:row>
          <xdr:rowOff>0</xdr:rowOff>
        </xdr:from>
        <xdr:to>
          <xdr:col>125</xdr:col>
          <xdr:colOff>177800</xdr:colOff>
          <xdr:row>13</xdr:row>
          <xdr:rowOff>101600</xdr:rowOff>
        </xdr:to>
        <xdr:sp macro="" textlink="">
          <xdr:nvSpPr>
            <xdr:cNvPr id="16449" name="Button 65" hidden="1">
              <a:extLst>
                <a:ext uri="{63B3BB69-23CF-44E3-9099-C40C66FF867C}">
                  <a14:compatExt spid="_x0000_s1644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TW" altLang="en-US" sz="1800" b="1" i="0" u="none" strike="noStrike" baseline="0">
                  <a:solidFill>
                    <a:srgbClr val="000000"/>
                  </a:solidFill>
                  <a:latin typeface="新細明體"/>
                  <a:ea typeface="新細明體"/>
                  <a:cs typeface="新細明體"/>
                </a:rPr>
                <a:t>結束遊戲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107</xdr:col>
          <xdr:colOff>177800</xdr:colOff>
          <xdr:row>28</xdr:row>
          <xdr:rowOff>101600</xdr:rowOff>
        </xdr:from>
        <xdr:to>
          <xdr:col>114</xdr:col>
          <xdr:colOff>50800</xdr:colOff>
          <xdr:row>30</xdr:row>
          <xdr:rowOff>139700</xdr:rowOff>
        </xdr:to>
        <xdr:sp macro="" textlink="">
          <xdr:nvSpPr>
            <xdr:cNvPr id="16471" name="Button 87" hidden="1">
              <a:extLst>
                <a:ext uri="{63B3BB69-23CF-44E3-9099-C40C66FF867C}">
                  <a14:compatExt spid="_x0000_s1647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CHT" altLang="en-US" sz="2000" b="0" i="0" u="none" strike="noStrike" baseline="0">
                  <a:solidFill>
                    <a:srgbClr val="000000"/>
                  </a:solidFill>
                  <a:latin typeface="新細明體"/>
                  <a:ea typeface="新細明體"/>
                  <a:cs typeface="新細明體"/>
                </a:rPr>
                <a:t>購買</a:t>
              </a:r>
              <a:r>
                <a:rPr lang="zh-CHT" altLang="en-US" sz="2000" b="0" i="0" u="none" strike="noStrike" baseline="0">
                  <a:solidFill>
                    <a:srgbClr val="000000"/>
                  </a:solidFill>
                  <a:latin typeface="Osaka"/>
                  <a:ea typeface="Osaka"/>
                  <a:cs typeface="Osaka"/>
                </a:rPr>
                <a:t> </a:t>
              </a:r>
              <a:r>
                <a:rPr lang="en-US" altLang="zh-CHT" sz="2000" b="0" i="0" u="none" strike="noStrike" baseline="0">
                  <a:solidFill>
                    <a:srgbClr val="000000"/>
                  </a:solidFill>
                  <a:latin typeface="Osaka"/>
                  <a:ea typeface="Osaka"/>
                  <a:cs typeface="Osaka"/>
                </a:rPr>
                <a:t>/ </a:t>
              </a:r>
              <a:r>
                <a:rPr lang="zh-CHT" altLang="en-US" sz="2000" b="0" i="0" u="none" strike="noStrike" baseline="0">
                  <a:solidFill>
                    <a:srgbClr val="000000"/>
                  </a:solidFill>
                  <a:latin typeface="新細明體"/>
                  <a:ea typeface="新細明體"/>
                  <a:cs typeface="新細明體"/>
                </a:rPr>
                <a:t>升級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107</xdr:col>
          <xdr:colOff>177800</xdr:colOff>
          <xdr:row>34</xdr:row>
          <xdr:rowOff>0</xdr:rowOff>
        </xdr:from>
        <xdr:to>
          <xdr:col>114</xdr:col>
          <xdr:colOff>50800</xdr:colOff>
          <xdr:row>36</xdr:row>
          <xdr:rowOff>38100</xdr:rowOff>
        </xdr:to>
        <xdr:sp macro="" textlink="">
          <xdr:nvSpPr>
            <xdr:cNvPr id="16473" name="Button 89" hidden="1">
              <a:extLst>
                <a:ext uri="{63B3BB69-23CF-44E3-9099-C40C66FF867C}">
                  <a14:compatExt spid="_x0000_s1647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zh-TW" altLang="en-US" sz="2000" b="0" i="0" u="none" strike="noStrike" baseline="0">
                  <a:solidFill>
                    <a:srgbClr val="000000"/>
                  </a:solidFill>
                  <a:latin typeface="新細明體"/>
                  <a:ea typeface="新細明體"/>
                  <a:cs typeface="新細明體"/>
                </a:rPr>
                <a:t>放售</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enableFormatConditionsCalculation="0"/>
  <dimension ref="A1:EQ55"/>
  <sheetViews>
    <sheetView tabSelected="1" zoomScale="50" zoomScaleNormal="50" zoomScalePageLayoutView="50" workbookViewId="0">
      <pane xSplit="129" ySplit="52" topLeftCell="DZ53" activePane="bottomRight" state="frozen"/>
      <selection pane="topRight" activeCell="DZ1" sqref="DZ1"/>
      <selection pane="bottomLeft" activeCell="A53" sqref="A53"/>
      <selection pane="bottomRight" activeCell="CO2" sqref="CO2:DW8"/>
    </sheetView>
  </sheetViews>
  <sheetFormatPr baseColWidth="10" defaultColWidth="8.83203125" defaultRowHeight="18" customHeight="1" x14ac:dyDescent="0"/>
  <cols>
    <col min="1" max="129" width="3" customWidth="1"/>
    <col min="130" max="130" width="8.83203125" style="283"/>
  </cols>
  <sheetData>
    <row r="1" spans="1:130" ht="18" customHeight="1" thickBot="1">
      <c r="A1" s="263"/>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2"/>
      <c r="AL1" s="122"/>
      <c r="AM1" s="122"/>
      <c r="AN1" s="122"/>
      <c r="AO1" s="122"/>
      <c r="AP1" s="122"/>
      <c r="AQ1" s="122"/>
      <c r="AR1" s="122"/>
      <c r="AS1" s="122"/>
      <c r="AT1" s="122"/>
      <c r="AU1" s="122"/>
      <c r="AV1" s="122"/>
      <c r="AW1" s="122"/>
      <c r="AX1" s="122"/>
      <c r="AY1" s="122"/>
      <c r="AZ1" s="122"/>
      <c r="BA1" s="122"/>
      <c r="BB1" s="122"/>
      <c r="BC1" s="122"/>
      <c r="BD1" s="122"/>
      <c r="BE1" s="122"/>
      <c r="BF1" s="122"/>
      <c r="BG1" s="122"/>
      <c r="BH1" s="122"/>
      <c r="BI1" s="122"/>
      <c r="BJ1" s="122"/>
      <c r="BK1" s="122"/>
      <c r="BL1" s="122"/>
      <c r="BM1" s="122"/>
      <c r="BN1" s="122"/>
      <c r="BO1" s="122"/>
      <c r="BP1" s="122"/>
      <c r="BQ1" s="122"/>
      <c r="BR1" s="122"/>
      <c r="BS1" s="122"/>
      <c r="BT1" s="122"/>
      <c r="BU1" s="122"/>
      <c r="BV1" s="122"/>
      <c r="BW1" s="122"/>
      <c r="BX1" s="122"/>
      <c r="BY1" s="122"/>
      <c r="BZ1" s="122"/>
      <c r="CA1" s="122"/>
      <c r="CB1" s="122"/>
      <c r="CC1" s="122"/>
      <c r="CD1" s="122"/>
      <c r="CE1" s="122"/>
      <c r="CF1" s="122"/>
      <c r="CG1" s="122"/>
      <c r="CH1" s="122"/>
      <c r="CI1" s="122"/>
      <c r="CJ1" s="122"/>
      <c r="CK1" s="122"/>
      <c r="CL1" s="264"/>
      <c r="CM1" s="265"/>
      <c r="CN1" s="266"/>
      <c r="CO1" s="267"/>
      <c r="CP1" s="267"/>
      <c r="CQ1" s="268"/>
      <c r="CR1" s="268"/>
      <c r="CS1" s="268"/>
      <c r="CT1" s="268"/>
      <c r="CU1" s="268"/>
      <c r="CV1" s="268"/>
      <c r="CW1" s="268"/>
      <c r="CX1" s="268"/>
      <c r="CY1" s="268"/>
      <c r="CZ1" s="268"/>
      <c r="DA1" s="268"/>
      <c r="DB1" s="268"/>
      <c r="DC1" s="268"/>
      <c r="DD1" s="268"/>
      <c r="DE1" s="268"/>
      <c r="DF1" s="268"/>
      <c r="DG1" s="268"/>
      <c r="DH1" s="268"/>
      <c r="DI1" s="268"/>
      <c r="DJ1" s="268"/>
      <c r="DK1" s="268"/>
      <c r="DL1" s="268"/>
      <c r="DM1" s="268"/>
      <c r="DN1" s="268"/>
      <c r="DO1" s="268"/>
      <c r="DP1" s="268"/>
      <c r="DQ1" s="268"/>
      <c r="DR1" s="268"/>
      <c r="DS1" s="268"/>
      <c r="DT1" s="268"/>
      <c r="DU1" s="268"/>
      <c r="DV1" s="268"/>
      <c r="DW1" s="268"/>
      <c r="DX1" s="268"/>
      <c r="DY1" s="268"/>
      <c r="DZ1" s="285"/>
    </row>
    <row r="2" spans="1:130" ht="18" customHeight="1" thickTop="1" thickBot="1">
      <c r="A2" s="269"/>
      <c r="B2" s="3"/>
      <c r="C2" s="3"/>
      <c r="D2" s="340" t="s">
        <v>247</v>
      </c>
      <c r="E2" s="341"/>
      <c r="F2" s="341"/>
      <c r="G2" s="341"/>
      <c r="H2" s="342"/>
      <c r="I2" s="3"/>
      <c r="J2" s="3"/>
      <c r="K2" s="3"/>
      <c r="L2" s="3"/>
      <c r="M2" s="3"/>
      <c r="N2" s="3"/>
      <c r="O2" s="3"/>
      <c r="P2" s="3"/>
      <c r="Q2" s="3"/>
      <c r="R2" s="3"/>
      <c r="S2" s="3"/>
      <c r="T2" s="3"/>
      <c r="U2" s="3"/>
      <c r="V2" s="3"/>
      <c r="W2" s="3"/>
      <c r="X2" s="3"/>
      <c r="Y2" s="3"/>
      <c r="Z2" s="3"/>
      <c r="AA2" s="3"/>
      <c r="AB2" s="3"/>
      <c r="AC2" s="3"/>
      <c r="AD2" s="3"/>
      <c r="AE2" s="3"/>
      <c r="AF2" s="3"/>
      <c r="AG2" s="3"/>
      <c r="AH2" s="4"/>
      <c r="AI2" s="5"/>
      <c r="AJ2" s="5"/>
      <c r="AK2" s="5"/>
      <c r="AL2" s="5"/>
      <c r="AM2" s="5"/>
      <c r="AN2" s="5"/>
      <c r="AO2" s="5"/>
      <c r="AP2" s="5"/>
      <c r="AQ2" s="5"/>
      <c r="AR2" s="5"/>
      <c r="AS2" s="5"/>
      <c r="AT2" s="5"/>
      <c r="AU2" s="5"/>
      <c r="AV2" s="5"/>
      <c r="AW2" s="5"/>
      <c r="AX2" s="5"/>
      <c r="AY2" s="5"/>
      <c r="AZ2" s="5"/>
      <c r="BA2" s="5"/>
      <c r="BB2" s="5"/>
      <c r="BC2" s="5"/>
      <c r="BD2" s="5"/>
      <c r="BE2" s="5"/>
      <c r="BF2" s="6"/>
      <c r="BG2" s="7"/>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8"/>
      <c r="CM2" s="270"/>
      <c r="CN2" s="271"/>
      <c r="CO2" s="308" t="s">
        <v>243</v>
      </c>
      <c r="CP2" s="309"/>
      <c r="CQ2" s="309"/>
      <c r="CR2" s="309"/>
      <c r="CS2" s="309"/>
      <c r="CT2" s="309"/>
      <c r="CU2" s="309"/>
      <c r="CV2" s="309"/>
      <c r="CW2" s="309"/>
      <c r="CX2" s="309"/>
      <c r="CY2" s="309"/>
      <c r="CZ2" s="309"/>
      <c r="DA2" s="309"/>
      <c r="DB2" s="309"/>
      <c r="DC2" s="309"/>
      <c r="DD2" s="309"/>
      <c r="DE2" s="309"/>
      <c r="DF2" s="309"/>
      <c r="DG2" s="309"/>
      <c r="DH2" s="309"/>
      <c r="DI2" s="309"/>
      <c r="DJ2" s="309"/>
      <c r="DK2" s="309"/>
      <c r="DL2" s="309"/>
      <c r="DM2" s="309"/>
      <c r="DN2" s="309"/>
      <c r="DO2" s="309"/>
      <c r="DP2" s="309"/>
      <c r="DQ2" s="309"/>
      <c r="DR2" s="309"/>
      <c r="DS2" s="309"/>
      <c r="DT2" s="309"/>
      <c r="DU2" s="309"/>
      <c r="DV2" s="309"/>
      <c r="DW2" s="310"/>
      <c r="DX2" s="259"/>
      <c r="DY2" s="279"/>
      <c r="DZ2" s="285"/>
    </row>
    <row r="3" spans="1:130" ht="18" customHeight="1" thickBot="1">
      <c r="A3" s="269"/>
      <c r="B3" s="3"/>
      <c r="C3" s="3"/>
      <c r="D3" s="251"/>
      <c r="E3" s="252" t="str">
        <f>IF($CR$28="您破產了!","",IF(VLOOKUP("o",cal!$B:$G,3,FALSE)&lt;0,cal!$B$1,""))</f>
        <v/>
      </c>
      <c r="F3" s="253"/>
      <c r="G3" s="252" t="str">
        <f>IF($DM$28="您破產了!","",IF(VLOOKUP("o",cal!$L:$Q,3,FALSE)&lt;0,cal!$L$1,""))</f>
        <v/>
      </c>
      <c r="H3" s="254"/>
      <c r="I3" s="3"/>
      <c r="J3" s="3"/>
      <c r="K3" s="3"/>
      <c r="L3" s="3"/>
      <c r="M3" s="3"/>
      <c r="N3" s="3"/>
      <c r="O3" s="3"/>
      <c r="P3" s="3"/>
      <c r="Q3" s="3"/>
      <c r="R3" s="3"/>
      <c r="S3" s="3"/>
      <c r="T3" s="3"/>
      <c r="U3" s="3"/>
      <c r="V3" s="3"/>
      <c r="W3" s="3"/>
      <c r="X3" s="3"/>
      <c r="Y3" s="3"/>
      <c r="Z3" s="3"/>
      <c r="AA3" s="3"/>
      <c r="AB3" s="3"/>
      <c r="AC3" s="3"/>
      <c r="AD3" s="3"/>
      <c r="AE3" s="3"/>
      <c r="AF3" s="3"/>
      <c r="AG3" s="3"/>
      <c r="AH3" s="9"/>
      <c r="AI3" s="10"/>
      <c r="AJ3" s="10"/>
      <c r="AK3" s="10"/>
      <c r="AL3" s="10"/>
      <c r="AM3" s="300" t="s">
        <v>5</v>
      </c>
      <c r="AN3" s="301"/>
      <c r="AO3" s="301"/>
      <c r="AP3" s="301"/>
      <c r="AQ3" s="302"/>
      <c r="AR3" s="10"/>
      <c r="AS3" s="300" t="s">
        <v>6</v>
      </c>
      <c r="AT3" s="301"/>
      <c r="AU3" s="301"/>
      <c r="AV3" s="301"/>
      <c r="AW3" s="302"/>
      <c r="AX3" s="10"/>
      <c r="AY3" s="300" t="s">
        <v>7</v>
      </c>
      <c r="AZ3" s="301"/>
      <c r="BA3" s="301"/>
      <c r="BB3" s="301"/>
      <c r="BC3" s="302"/>
      <c r="BD3" s="10"/>
      <c r="BE3" s="10"/>
      <c r="BF3" s="11"/>
      <c r="BG3" s="3"/>
      <c r="BH3" s="4"/>
      <c r="BI3" s="6"/>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8"/>
      <c r="CM3" s="270"/>
      <c r="CN3" s="271"/>
      <c r="CO3" s="311"/>
      <c r="CP3" s="312"/>
      <c r="CQ3" s="312"/>
      <c r="CR3" s="312"/>
      <c r="CS3" s="312"/>
      <c r="CT3" s="312"/>
      <c r="CU3" s="312"/>
      <c r="CV3" s="312"/>
      <c r="CW3" s="312"/>
      <c r="CX3" s="312"/>
      <c r="CY3" s="312"/>
      <c r="CZ3" s="312"/>
      <c r="DA3" s="312"/>
      <c r="DB3" s="312"/>
      <c r="DC3" s="312"/>
      <c r="DD3" s="312"/>
      <c r="DE3" s="312"/>
      <c r="DF3" s="312"/>
      <c r="DG3" s="312"/>
      <c r="DH3" s="312"/>
      <c r="DI3" s="312"/>
      <c r="DJ3" s="312"/>
      <c r="DK3" s="312"/>
      <c r="DL3" s="312"/>
      <c r="DM3" s="312"/>
      <c r="DN3" s="312"/>
      <c r="DO3" s="312"/>
      <c r="DP3" s="312"/>
      <c r="DQ3" s="312"/>
      <c r="DR3" s="312"/>
      <c r="DS3" s="312"/>
      <c r="DT3" s="312"/>
      <c r="DU3" s="312"/>
      <c r="DV3" s="312"/>
      <c r="DW3" s="313"/>
      <c r="DX3" s="272"/>
      <c r="DY3" s="279"/>
      <c r="DZ3" s="285"/>
    </row>
    <row r="4" spans="1:130" ht="18" customHeight="1" thickBot="1">
      <c r="A4" s="269"/>
      <c r="B4" s="3"/>
      <c r="C4" s="3"/>
      <c r="D4" s="255"/>
      <c r="E4" s="343">
        <v>-6</v>
      </c>
      <c r="F4" s="343"/>
      <c r="G4" s="343"/>
      <c r="H4" s="256"/>
      <c r="I4" s="3"/>
      <c r="J4" s="3"/>
      <c r="K4" s="3"/>
      <c r="L4" s="3"/>
      <c r="M4" s="3"/>
      <c r="N4" s="3"/>
      <c r="O4" s="3"/>
      <c r="P4" s="3"/>
      <c r="Q4" s="3"/>
      <c r="R4" s="3"/>
      <c r="S4" s="3"/>
      <c r="T4" s="3"/>
      <c r="U4" s="3"/>
      <c r="V4" s="3"/>
      <c r="W4" s="3"/>
      <c r="X4" s="3"/>
      <c r="Y4" s="3"/>
      <c r="Z4" s="3"/>
      <c r="AA4" s="3"/>
      <c r="AB4" s="3"/>
      <c r="AC4" s="3"/>
      <c r="AD4" s="3"/>
      <c r="AE4" s="3"/>
      <c r="AF4" s="3"/>
      <c r="AG4" s="3"/>
      <c r="AH4" s="9"/>
      <c r="AI4" s="10"/>
      <c r="AJ4" s="10"/>
      <c r="AK4" s="10"/>
      <c r="AL4" s="10"/>
      <c r="AM4" s="306"/>
      <c r="AN4" s="214" t="str">
        <f>IF($CR$28="您破產了!","",IF(VLOOKUP("o",cal!$B:$G,3,FALSE)=AN5,cal!$B$1,""))</f>
        <v/>
      </c>
      <c r="AO4" s="260"/>
      <c r="AP4" s="214" t="str">
        <f>IF($DM$28="您破產了!","",IF(VLOOKUP("o",cal!$L:$Q,3,FALSE)=AN5,cal!$L$1,""))</f>
        <v/>
      </c>
      <c r="AQ4" s="307"/>
      <c r="AR4" s="10"/>
      <c r="AS4" s="306"/>
      <c r="AT4" s="214" t="str">
        <f>IF($CR$28="您破產了!","",IF(VLOOKUP("o",cal!$B:$G,3,FALSE)=AT5,cal!$B$1,""))</f>
        <v/>
      </c>
      <c r="AU4" s="260"/>
      <c r="AV4" s="214" t="str">
        <f>IF($DM$28="您破產了!","",IF(VLOOKUP("o",cal!$L:$Q,3,FALSE)=AT5,cal!$L$1,""))</f>
        <v/>
      </c>
      <c r="AW4" s="307"/>
      <c r="AX4" s="10"/>
      <c r="AY4" s="306"/>
      <c r="AZ4" s="214" t="str">
        <f>IF($CR$28="您破產了!","",IF(VLOOKUP("o",cal!$B:$G,3,FALSE)=AZ5,cal!$B$1,""))</f>
        <v/>
      </c>
      <c r="BA4" s="260"/>
      <c r="BB4" s="214" t="str">
        <f>IF($DM$28="您破產了!","",IF(VLOOKUP("o",cal!$L:$Q,3,FALSE)=AZ5,cal!$L$1,""))</f>
        <v/>
      </c>
      <c r="BC4" s="330"/>
      <c r="BD4" s="19"/>
      <c r="BE4" s="13"/>
      <c r="BF4" s="3"/>
      <c r="BG4" s="3"/>
      <c r="BH4" s="9"/>
      <c r="BI4" s="10"/>
      <c r="BJ4" s="5"/>
      <c r="BK4" s="5"/>
      <c r="BL4" s="6"/>
      <c r="BM4" s="3"/>
      <c r="BN4" s="3"/>
      <c r="BO4" s="3"/>
      <c r="BP4" s="3"/>
      <c r="BQ4" s="3"/>
      <c r="BR4" s="3"/>
      <c r="BS4" s="3"/>
      <c r="BT4" s="3"/>
      <c r="BU4" s="3"/>
      <c r="BV4" s="3"/>
      <c r="BW4" s="3"/>
      <c r="BX4" s="3"/>
      <c r="BY4" s="3"/>
      <c r="BZ4" s="3"/>
      <c r="CA4" s="3"/>
      <c r="CB4" s="3"/>
      <c r="CC4" s="3"/>
      <c r="CD4" s="3"/>
      <c r="CE4" s="3"/>
      <c r="CF4" s="3"/>
      <c r="CG4" s="3"/>
      <c r="CH4" s="3"/>
      <c r="CI4" s="3"/>
      <c r="CJ4" s="3"/>
      <c r="CK4" s="3"/>
      <c r="CL4" s="8"/>
      <c r="CM4" s="270"/>
      <c r="CN4" s="271"/>
      <c r="CO4" s="311"/>
      <c r="CP4" s="312"/>
      <c r="CQ4" s="312"/>
      <c r="CR4" s="312"/>
      <c r="CS4" s="312"/>
      <c r="CT4" s="312"/>
      <c r="CU4" s="312"/>
      <c r="CV4" s="312"/>
      <c r="CW4" s="312"/>
      <c r="CX4" s="312"/>
      <c r="CY4" s="312"/>
      <c r="CZ4" s="312"/>
      <c r="DA4" s="312"/>
      <c r="DB4" s="312"/>
      <c r="DC4" s="312"/>
      <c r="DD4" s="312"/>
      <c r="DE4" s="312"/>
      <c r="DF4" s="312"/>
      <c r="DG4" s="312"/>
      <c r="DH4" s="312"/>
      <c r="DI4" s="312"/>
      <c r="DJ4" s="312"/>
      <c r="DK4" s="312"/>
      <c r="DL4" s="312"/>
      <c r="DM4" s="312"/>
      <c r="DN4" s="312"/>
      <c r="DO4" s="312"/>
      <c r="DP4" s="312"/>
      <c r="DQ4" s="312"/>
      <c r="DR4" s="312"/>
      <c r="DS4" s="312"/>
      <c r="DT4" s="312"/>
      <c r="DU4" s="312"/>
      <c r="DV4" s="312"/>
      <c r="DW4" s="313"/>
      <c r="DX4" s="272"/>
      <c r="DY4" s="279"/>
      <c r="DZ4" s="285"/>
    </row>
    <row r="5" spans="1:130" ht="18" customHeight="1" thickBot="1">
      <c r="A5" s="269"/>
      <c r="B5" s="3"/>
      <c r="C5" s="3"/>
      <c r="D5" s="251"/>
      <c r="E5" s="252" t="str">
        <f>IF($CR$32="您破產了!","",IF(VLOOKUP("o",cal!$V:$AA,3,FALSE)&lt;0,cal!$V$1,""))</f>
        <v/>
      </c>
      <c r="F5" s="253"/>
      <c r="G5" s="252" t="str">
        <f>IF($DM$32="您破產了!","",IF(VLOOKUP("o",cal!$AF:$AK,3,FALSE)&lt;0,cal!$AF$1,""))</f>
        <v/>
      </c>
      <c r="H5" s="254"/>
      <c r="I5" s="3"/>
      <c r="J5" s="3"/>
      <c r="K5" s="3"/>
      <c r="L5" s="3"/>
      <c r="M5" s="3"/>
      <c r="N5" s="3"/>
      <c r="O5" s="3"/>
      <c r="P5" s="3"/>
      <c r="Q5" s="3"/>
      <c r="R5" s="3"/>
      <c r="S5" s="3"/>
      <c r="T5" s="3"/>
      <c r="U5" s="3"/>
      <c r="V5" s="3"/>
      <c r="W5" s="3"/>
      <c r="X5" s="3"/>
      <c r="Y5" s="3"/>
      <c r="Z5" s="3"/>
      <c r="AA5" s="3"/>
      <c r="AB5" s="4"/>
      <c r="AC5" s="5"/>
      <c r="AD5" s="5"/>
      <c r="AE5" s="5"/>
      <c r="AF5" s="5"/>
      <c r="AG5" s="5"/>
      <c r="AH5" s="10"/>
      <c r="AI5" s="10"/>
      <c r="AJ5" s="10"/>
      <c r="AK5" s="10"/>
      <c r="AL5" s="14"/>
      <c r="AM5" s="306"/>
      <c r="AN5" s="326">
        <v>4</v>
      </c>
      <c r="AO5" s="326"/>
      <c r="AP5" s="326"/>
      <c r="AQ5" s="307"/>
      <c r="AR5" s="15"/>
      <c r="AS5" s="306"/>
      <c r="AT5" s="326">
        <v>5</v>
      </c>
      <c r="AU5" s="326"/>
      <c r="AV5" s="326"/>
      <c r="AW5" s="307"/>
      <c r="AX5" s="15"/>
      <c r="AY5" s="306"/>
      <c r="AZ5" s="326">
        <v>6</v>
      </c>
      <c r="BA5" s="326"/>
      <c r="BB5" s="326"/>
      <c r="BC5" s="330"/>
      <c r="BD5" s="277"/>
      <c r="BE5" s="13"/>
      <c r="BF5" s="3"/>
      <c r="BG5" s="300" t="s">
        <v>8</v>
      </c>
      <c r="BH5" s="301"/>
      <c r="BI5" s="301"/>
      <c r="BJ5" s="301"/>
      <c r="BK5" s="302"/>
      <c r="BL5" s="10"/>
      <c r="BM5" s="6"/>
      <c r="BN5" s="3"/>
      <c r="BO5" s="3"/>
      <c r="BP5" s="3"/>
      <c r="BQ5" s="3"/>
      <c r="BR5" s="3"/>
      <c r="BS5" s="3"/>
      <c r="BT5" s="3"/>
      <c r="BU5" s="3"/>
      <c r="BV5" s="3"/>
      <c r="BW5" s="3"/>
      <c r="BX5" s="3"/>
      <c r="BY5" s="3"/>
      <c r="BZ5" s="3"/>
      <c r="CA5" s="3"/>
      <c r="CB5" s="3"/>
      <c r="CC5" s="3"/>
      <c r="CD5" s="3"/>
      <c r="CE5" s="3"/>
      <c r="CF5" s="3"/>
      <c r="CG5" s="3"/>
      <c r="CH5" s="3"/>
      <c r="CI5" s="3"/>
      <c r="CJ5" s="3"/>
      <c r="CK5" s="3"/>
      <c r="CL5" s="8"/>
      <c r="CM5" s="270"/>
      <c r="CN5" s="271"/>
      <c r="CO5" s="311"/>
      <c r="CP5" s="312"/>
      <c r="CQ5" s="312"/>
      <c r="CR5" s="312"/>
      <c r="CS5" s="312"/>
      <c r="CT5" s="312"/>
      <c r="CU5" s="312"/>
      <c r="CV5" s="312"/>
      <c r="CW5" s="312"/>
      <c r="CX5" s="312"/>
      <c r="CY5" s="312"/>
      <c r="CZ5" s="312"/>
      <c r="DA5" s="312"/>
      <c r="DB5" s="312"/>
      <c r="DC5" s="312"/>
      <c r="DD5" s="312"/>
      <c r="DE5" s="312"/>
      <c r="DF5" s="312"/>
      <c r="DG5" s="312"/>
      <c r="DH5" s="312"/>
      <c r="DI5" s="312"/>
      <c r="DJ5" s="312"/>
      <c r="DK5" s="312"/>
      <c r="DL5" s="312"/>
      <c r="DM5" s="312"/>
      <c r="DN5" s="312"/>
      <c r="DO5" s="312"/>
      <c r="DP5" s="312"/>
      <c r="DQ5" s="312"/>
      <c r="DR5" s="312"/>
      <c r="DS5" s="312"/>
      <c r="DT5" s="312"/>
      <c r="DU5" s="312"/>
      <c r="DV5" s="312"/>
      <c r="DW5" s="313"/>
      <c r="DX5" s="272"/>
      <c r="DY5" s="279"/>
      <c r="DZ5" s="285"/>
    </row>
    <row r="6" spans="1:130" ht="18" customHeight="1" thickBot="1">
      <c r="A6" s="269"/>
      <c r="B6" s="3"/>
      <c r="C6" s="3"/>
      <c r="D6" s="344"/>
      <c r="E6" s="345"/>
      <c r="F6" s="345"/>
      <c r="G6" s="345"/>
      <c r="H6" s="346"/>
      <c r="I6" s="3"/>
      <c r="J6" s="3"/>
      <c r="K6" s="3"/>
      <c r="L6" s="3"/>
      <c r="M6" s="3"/>
      <c r="N6" s="3"/>
      <c r="O6" s="3"/>
      <c r="P6" s="3"/>
      <c r="Q6" s="3"/>
      <c r="R6" s="3"/>
      <c r="S6" s="3"/>
      <c r="T6" s="3"/>
      <c r="U6" s="3"/>
      <c r="V6" s="3"/>
      <c r="W6" s="3"/>
      <c r="X6" s="3"/>
      <c r="Y6" s="3"/>
      <c r="Z6" s="3"/>
      <c r="AA6" s="3"/>
      <c r="AB6" s="9"/>
      <c r="AC6" s="10"/>
      <c r="AD6" s="10"/>
      <c r="AE6" s="10"/>
      <c r="AF6" s="10"/>
      <c r="AG6" s="10"/>
      <c r="AH6" s="10"/>
      <c r="AI6" s="10"/>
      <c r="AJ6" s="10"/>
      <c r="AK6" s="16"/>
      <c r="AL6" s="10"/>
      <c r="AM6" s="306"/>
      <c r="AN6" s="214" t="str">
        <f>IF($CR$32="您破產了!","",IF(VLOOKUP("o",cal!$V:$AA,3,FALSE)=AN5,cal!$V$1,""))</f>
        <v/>
      </c>
      <c r="AO6" s="213"/>
      <c r="AP6" s="214" t="str">
        <f>IF($DM$32="您破產了!","",IF(VLOOKUP("o",cal!$AF:$AK,3,FALSE)=AN5,cal!$AF$1,""))</f>
        <v/>
      </c>
      <c r="AQ6" s="307"/>
      <c r="AR6" s="10"/>
      <c r="AS6" s="306"/>
      <c r="AT6" s="214" t="str">
        <f>IF($CR$32="您破產了!","",IF(VLOOKUP("o",cal!$V:$AA,3,FALSE)=AT5,cal!$V$1,""))</f>
        <v/>
      </c>
      <c r="AU6" s="213"/>
      <c r="AV6" s="214" t="str">
        <f>IF($DM$32="您破產了!","",IF(VLOOKUP("o",cal!$AF:$AK,3,FALSE)=AT5,cal!$AF$1,""))</f>
        <v/>
      </c>
      <c r="AW6" s="307"/>
      <c r="AX6" s="10"/>
      <c r="AY6" s="306"/>
      <c r="AZ6" s="214" t="str">
        <f>IF($CR$32="您破產了!","",IF(VLOOKUP("o",cal!$V:$AA,3,FALSE)=AZ5,cal!$V$1,""))</f>
        <v/>
      </c>
      <c r="BA6" s="213"/>
      <c r="BB6" s="214" t="str">
        <f>IF($DM$32="您破產了!","",IF(VLOOKUP("o",cal!$AF:$AK,3,FALSE)=AZ5,cal!$AF$1,""))</f>
        <v/>
      </c>
      <c r="BC6" s="330"/>
      <c r="BD6" s="16"/>
      <c r="BE6" s="17"/>
      <c r="BF6" s="18"/>
      <c r="BG6" s="306"/>
      <c r="BH6" s="214" t="str">
        <f>IF($CR$28="您破產了!","",IF(VLOOKUP("o",cal!$B:$G,3,FALSE)=BH7,cal!$B$1,""))</f>
        <v/>
      </c>
      <c r="BI6" s="260"/>
      <c r="BJ6" s="214" t="str">
        <f>IF($DM$28="您破產了!","",IF(VLOOKUP("o",cal!$L:$Q,3,FALSE)=BH7,cal!$L$1,""))</f>
        <v/>
      </c>
      <c r="BK6" s="307"/>
      <c r="BL6" s="10"/>
      <c r="BM6" s="10"/>
      <c r="BN6" s="6"/>
      <c r="BO6" s="3"/>
      <c r="BP6" s="3"/>
      <c r="BQ6" s="3"/>
      <c r="BR6" s="3"/>
      <c r="BS6" s="3"/>
      <c r="BT6" s="3"/>
      <c r="BU6" s="3"/>
      <c r="BV6" s="3"/>
      <c r="BW6" s="3"/>
      <c r="BX6" s="3"/>
      <c r="BY6" s="3"/>
      <c r="BZ6" s="3"/>
      <c r="CA6" s="3"/>
      <c r="CB6" s="3"/>
      <c r="CC6" s="3"/>
      <c r="CD6" s="3"/>
      <c r="CE6" s="3"/>
      <c r="CF6" s="3"/>
      <c r="CG6" s="3"/>
      <c r="CH6" s="3"/>
      <c r="CI6" s="3"/>
      <c r="CJ6" s="3"/>
      <c r="CK6" s="3"/>
      <c r="CL6" s="8"/>
      <c r="CM6" s="270"/>
      <c r="CN6" s="271"/>
      <c r="CO6" s="311"/>
      <c r="CP6" s="312"/>
      <c r="CQ6" s="312"/>
      <c r="CR6" s="312"/>
      <c r="CS6" s="312"/>
      <c r="CT6" s="312"/>
      <c r="CU6" s="312"/>
      <c r="CV6" s="312"/>
      <c r="CW6" s="312"/>
      <c r="CX6" s="312"/>
      <c r="CY6" s="312"/>
      <c r="CZ6" s="312"/>
      <c r="DA6" s="312"/>
      <c r="DB6" s="312"/>
      <c r="DC6" s="312"/>
      <c r="DD6" s="312"/>
      <c r="DE6" s="312"/>
      <c r="DF6" s="312"/>
      <c r="DG6" s="312"/>
      <c r="DH6" s="312"/>
      <c r="DI6" s="312"/>
      <c r="DJ6" s="312"/>
      <c r="DK6" s="312"/>
      <c r="DL6" s="312"/>
      <c r="DM6" s="312"/>
      <c r="DN6" s="312"/>
      <c r="DO6" s="312"/>
      <c r="DP6" s="312"/>
      <c r="DQ6" s="312"/>
      <c r="DR6" s="312"/>
      <c r="DS6" s="312"/>
      <c r="DT6" s="312"/>
      <c r="DU6" s="312"/>
      <c r="DV6" s="312"/>
      <c r="DW6" s="313"/>
      <c r="DX6" s="272"/>
      <c r="DY6" s="279"/>
      <c r="DZ6" s="285"/>
    </row>
    <row r="7" spans="1:130" ht="18" customHeight="1" thickBot="1">
      <c r="A7" s="269"/>
      <c r="B7" s="3"/>
      <c r="C7" s="3"/>
      <c r="D7" s="3"/>
      <c r="E7" s="3"/>
      <c r="F7" s="3"/>
      <c r="G7" s="3"/>
      <c r="H7" s="3"/>
      <c r="I7" s="3"/>
      <c r="J7" s="3"/>
      <c r="K7" s="3"/>
      <c r="L7" s="3"/>
      <c r="M7" s="3"/>
      <c r="N7" s="3"/>
      <c r="O7" s="3"/>
      <c r="P7" s="3"/>
      <c r="Q7" s="3"/>
      <c r="R7" s="3"/>
      <c r="S7" s="3"/>
      <c r="T7" s="3"/>
      <c r="U7" s="3"/>
      <c r="V7" s="3"/>
      <c r="W7" s="4"/>
      <c r="X7" s="5"/>
      <c r="Y7" s="5"/>
      <c r="Z7" s="5"/>
      <c r="AA7" s="5"/>
      <c r="AB7" s="10"/>
      <c r="AC7" s="10"/>
      <c r="AD7" s="10"/>
      <c r="AE7" s="300" t="s">
        <v>4</v>
      </c>
      <c r="AF7" s="301"/>
      <c r="AG7" s="301"/>
      <c r="AH7" s="301"/>
      <c r="AI7" s="302"/>
      <c r="AJ7" s="10"/>
      <c r="AK7" s="16"/>
      <c r="AL7" s="10"/>
      <c r="AM7" s="303">
        <f>VLOOKUP(AN5,cal!$BE:$BJ,5,FALSE)</f>
        <v>600</v>
      </c>
      <c r="AN7" s="304"/>
      <c r="AO7" s="304"/>
      <c r="AP7" s="304"/>
      <c r="AQ7" s="305"/>
      <c r="AR7" s="10"/>
      <c r="AS7" s="303">
        <f>VLOOKUP(AT5,cal!$BE:$BJ,5,FALSE)</f>
        <v>1200</v>
      </c>
      <c r="AT7" s="304"/>
      <c r="AU7" s="304"/>
      <c r="AV7" s="304"/>
      <c r="AW7" s="305"/>
      <c r="AX7" s="10"/>
      <c r="AY7" s="303">
        <f>VLOOKUP(AZ5,cal!$BE:$BJ,5,FALSE)</f>
        <v>2100</v>
      </c>
      <c r="AZ7" s="304"/>
      <c r="BA7" s="304"/>
      <c r="BB7" s="304"/>
      <c r="BC7" s="305"/>
      <c r="BD7" s="10"/>
      <c r="BE7" s="13"/>
      <c r="BF7" s="3"/>
      <c r="BG7" s="306"/>
      <c r="BH7" s="326">
        <v>7</v>
      </c>
      <c r="BI7" s="326"/>
      <c r="BJ7" s="326"/>
      <c r="BK7" s="307"/>
      <c r="BL7" s="10"/>
      <c r="BM7" s="10"/>
      <c r="BN7" s="10"/>
      <c r="BO7" s="6"/>
      <c r="BP7" s="3"/>
      <c r="BQ7" s="3"/>
      <c r="BR7" s="3"/>
      <c r="BS7" s="3"/>
      <c r="BT7" s="4"/>
      <c r="BU7" s="5"/>
      <c r="BV7" s="6"/>
      <c r="BW7" s="3"/>
      <c r="BX7" s="300" t="s">
        <v>20</v>
      </c>
      <c r="BY7" s="301"/>
      <c r="BZ7" s="301"/>
      <c r="CA7" s="301"/>
      <c r="CB7" s="302"/>
      <c r="CC7" s="3"/>
      <c r="CD7" s="3"/>
      <c r="CE7" s="3"/>
      <c r="CF7" s="3"/>
      <c r="CG7" s="3"/>
      <c r="CH7" s="3"/>
      <c r="CI7" s="3"/>
      <c r="CJ7" s="3"/>
      <c r="CK7" s="3"/>
      <c r="CL7" s="8"/>
      <c r="CM7" s="270"/>
      <c r="CN7" s="271"/>
      <c r="CO7" s="311"/>
      <c r="CP7" s="312"/>
      <c r="CQ7" s="312"/>
      <c r="CR7" s="312"/>
      <c r="CS7" s="312"/>
      <c r="CT7" s="312"/>
      <c r="CU7" s="312"/>
      <c r="CV7" s="312"/>
      <c r="CW7" s="312"/>
      <c r="CX7" s="312"/>
      <c r="CY7" s="312"/>
      <c r="CZ7" s="312"/>
      <c r="DA7" s="312"/>
      <c r="DB7" s="312"/>
      <c r="DC7" s="312"/>
      <c r="DD7" s="312"/>
      <c r="DE7" s="312"/>
      <c r="DF7" s="312"/>
      <c r="DG7" s="312"/>
      <c r="DH7" s="312"/>
      <c r="DI7" s="312"/>
      <c r="DJ7" s="312"/>
      <c r="DK7" s="312"/>
      <c r="DL7" s="312"/>
      <c r="DM7" s="312"/>
      <c r="DN7" s="312"/>
      <c r="DO7" s="312"/>
      <c r="DP7" s="312"/>
      <c r="DQ7" s="312"/>
      <c r="DR7" s="312"/>
      <c r="DS7" s="312"/>
      <c r="DT7" s="312"/>
      <c r="DU7" s="312"/>
      <c r="DV7" s="312"/>
      <c r="DW7" s="313"/>
      <c r="DX7" s="272"/>
      <c r="DY7" s="279"/>
      <c r="DZ7" s="285"/>
    </row>
    <row r="8" spans="1:130" ht="18" customHeight="1" thickBot="1">
      <c r="A8" s="269"/>
      <c r="B8" s="3"/>
      <c r="C8" s="3"/>
      <c r="D8" s="3"/>
      <c r="E8" s="3"/>
      <c r="F8" s="3"/>
      <c r="G8" s="3"/>
      <c r="H8" s="3"/>
      <c r="I8" s="3"/>
      <c r="J8" s="3"/>
      <c r="K8" s="3"/>
      <c r="L8" s="3"/>
      <c r="M8" s="3"/>
      <c r="N8" s="3"/>
      <c r="O8" s="3"/>
      <c r="P8" s="3"/>
      <c r="Q8" s="3"/>
      <c r="R8" s="3"/>
      <c r="S8" s="3"/>
      <c r="T8" s="3"/>
      <c r="U8" s="3"/>
      <c r="V8" s="3"/>
      <c r="W8" s="9"/>
      <c r="X8" s="10"/>
      <c r="Y8" s="10"/>
      <c r="Z8" s="10"/>
      <c r="AA8" s="19"/>
      <c r="AB8" s="19"/>
      <c r="AC8" s="19"/>
      <c r="AD8" s="14"/>
      <c r="AE8" s="306"/>
      <c r="AF8" s="214" t="str">
        <f>IF($CR$28="您破產了!","",IF(VLOOKUP("o",cal!$B:$G,3,FALSE)=AF9,cal!$B$1,""))</f>
        <v/>
      </c>
      <c r="AG8" s="260"/>
      <c r="AH8" s="214" t="str">
        <f>IF($DM$28="您破產了!","",IF(VLOOKUP("o",cal!$L:$Q,3,FALSE)=AF9,cal!$L$1,""))</f>
        <v/>
      </c>
      <c r="AI8" s="307"/>
      <c r="AJ8" s="10"/>
      <c r="AK8" s="16"/>
      <c r="AL8" s="10"/>
      <c r="AM8" s="10"/>
      <c r="AN8" s="10"/>
      <c r="AO8" s="10"/>
      <c r="AP8" s="10"/>
      <c r="AQ8" s="10"/>
      <c r="AR8" s="10"/>
      <c r="AS8" s="10"/>
      <c r="AT8" s="10"/>
      <c r="AU8" s="10"/>
      <c r="AV8" s="10"/>
      <c r="AW8" s="10"/>
      <c r="AX8" s="10"/>
      <c r="AY8" s="10"/>
      <c r="AZ8" s="10"/>
      <c r="BA8" s="10"/>
      <c r="BB8" s="10"/>
      <c r="BC8" s="20"/>
      <c r="BD8" s="21"/>
      <c r="BE8" s="22"/>
      <c r="BF8" s="3"/>
      <c r="BG8" s="306"/>
      <c r="BH8" s="214" t="str">
        <f>IF($CR$32="您破產了!","",IF(VLOOKUP("o",cal!$V:$AA,3,FALSE)=BH7,cal!$V$1,""))</f>
        <v/>
      </c>
      <c r="BI8" s="213"/>
      <c r="BJ8" s="214" t="str">
        <f>IF($DM$32="您破產了!","",IF(VLOOKUP("o",cal!$AF:$AK,3,FALSE)=BH7,cal!$AF$1,""))</f>
        <v/>
      </c>
      <c r="BK8" s="307"/>
      <c r="BL8" s="10"/>
      <c r="BM8" s="23"/>
      <c r="BN8" s="24"/>
      <c r="BO8" s="13"/>
      <c r="BP8" s="3"/>
      <c r="BQ8" s="3"/>
      <c r="BR8" s="4"/>
      <c r="BS8" s="5"/>
      <c r="BT8" s="10"/>
      <c r="BU8" s="10"/>
      <c r="BV8" s="10"/>
      <c r="BW8" s="5"/>
      <c r="BX8" s="306"/>
      <c r="BY8" s="214" t="str">
        <f>IF($CR$28="您破產了!","",IF(VLOOKUP("o",cal!$B:$G,3,FALSE)=BY9,cal!$B$1,""))</f>
        <v/>
      </c>
      <c r="BZ8" s="260"/>
      <c r="CA8" s="214" t="str">
        <f>IF($DM$28="您破產了!","",IF(VLOOKUP("o",cal!$L:$Q,3,FALSE)=BY9,cal!$L$1,""))</f>
        <v/>
      </c>
      <c r="CB8" s="307"/>
      <c r="CC8" s="25"/>
      <c r="CD8" s="26"/>
      <c r="CE8" s="26"/>
      <c r="CF8" s="3"/>
      <c r="CG8" s="3"/>
      <c r="CH8" s="3"/>
      <c r="CI8" s="3"/>
      <c r="CJ8" s="3"/>
      <c r="CK8" s="3"/>
      <c r="CL8" s="8"/>
      <c r="CM8" s="270"/>
      <c r="CN8" s="271"/>
      <c r="CO8" s="314"/>
      <c r="CP8" s="315"/>
      <c r="CQ8" s="315"/>
      <c r="CR8" s="315"/>
      <c r="CS8" s="315"/>
      <c r="CT8" s="315"/>
      <c r="CU8" s="315"/>
      <c r="CV8" s="315"/>
      <c r="CW8" s="315"/>
      <c r="CX8" s="315"/>
      <c r="CY8" s="315"/>
      <c r="CZ8" s="315"/>
      <c r="DA8" s="315"/>
      <c r="DB8" s="315"/>
      <c r="DC8" s="315"/>
      <c r="DD8" s="315"/>
      <c r="DE8" s="315"/>
      <c r="DF8" s="315"/>
      <c r="DG8" s="315"/>
      <c r="DH8" s="315"/>
      <c r="DI8" s="315"/>
      <c r="DJ8" s="315"/>
      <c r="DK8" s="315"/>
      <c r="DL8" s="315"/>
      <c r="DM8" s="315"/>
      <c r="DN8" s="315"/>
      <c r="DO8" s="315"/>
      <c r="DP8" s="315"/>
      <c r="DQ8" s="315"/>
      <c r="DR8" s="315"/>
      <c r="DS8" s="315"/>
      <c r="DT8" s="315"/>
      <c r="DU8" s="315"/>
      <c r="DV8" s="315"/>
      <c r="DW8" s="316"/>
      <c r="DX8" s="272"/>
      <c r="DY8" s="279"/>
      <c r="DZ8" s="285"/>
    </row>
    <row r="9" spans="1:130" ht="18" customHeight="1" thickBot="1">
      <c r="A9" s="269"/>
      <c r="B9" s="3"/>
      <c r="C9" s="3"/>
      <c r="D9" s="3"/>
      <c r="E9" s="3"/>
      <c r="F9" s="3"/>
      <c r="G9" s="3"/>
      <c r="H9" s="3"/>
      <c r="I9" s="3"/>
      <c r="J9" s="3"/>
      <c r="K9" s="3"/>
      <c r="L9" s="3"/>
      <c r="M9" s="3"/>
      <c r="N9" s="3"/>
      <c r="O9" s="3"/>
      <c r="P9" s="3"/>
      <c r="Q9" s="3"/>
      <c r="R9" s="3"/>
      <c r="S9" s="3"/>
      <c r="T9" s="3"/>
      <c r="U9" s="3"/>
      <c r="V9" s="3"/>
      <c r="W9" s="9"/>
      <c r="X9" s="10"/>
      <c r="Y9" s="10"/>
      <c r="Z9" s="27"/>
      <c r="AA9" s="10"/>
      <c r="AB9" s="10"/>
      <c r="AC9" s="10"/>
      <c r="AD9" s="28"/>
      <c r="AE9" s="306"/>
      <c r="AF9" s="332">
        <v>3</v>
      </c>
      <c r="AG9" s="332"/>
      <c r="AH9" s="332"/>
      <c r="AI9" s="307"/>
      <c r="AJ9" s="12"/>
      <c r="AK9" s="29"/>
      <c r="AL9" s="10"/>
      <c r="AM9" s="23"/>
      <c r="AN9" s="30"/>
      <c r="AO9" s="30"/>
      <c r="AP9" s="30"/>
      <c r="AQ9" s="30"/>
      <c r="AR9" s="30"/>
      <c r="AS9" s="30"/>
      <c r="AT9" s="30"/>
      <c r="AU9" s="30"/>
      <c r="AV9" s="30"/>
      <c r="AW9" s="30"/>
      <c r="AX9" s="24"/>
      <c r="AY9" s="10"/>
      <c r="AZ9" s="10"/>
      <c r="BA9" s="300" t="s">
        <v>9</v>
      </c>
      <c r="BB9" s="301"/>
      <c r="BC9" s="301"/>
      <c r="BD9" s="301"/>
      <c r="BE9" s="302"/>
      <c r="BF9" s="3"/>
      <c r="BG9" s="303">
        <f>VLOOKUP(BH7,cal!$BE:$BJ,5,FALSE)</f>
        <v>1500</v>
      </c>
      <c r="BH9" s="304"/>
      <c r="BI9" s="304"/>
      <c r="BJ9" s="304"/>
      <c r="BK9" s="305"/>
      <c r="BL9" s="31"/>
      <c r="BM9" s="32"/>
      <c r="BN9" s="33"/>
      <c r="BO9" s="10"/>
      <c r="BP9" s="5"/>
      <c r="BQ9" s="5"/>
      <c r="BR9" s="10"/>
      <c r="BS9" s="10"/>
      <c r="BT9" s="19"/>
      <c r="BU9" s="19"/>
      <c r="BV9" s="19"/>
      <c r="BW9" s="14"/>
      <c r="BX9" s="306"/>
      <c r="BY9" s="326">
        <v>19</v>
      </c>
      <c r="BZ9" s="326"/>
      <c r="CA9" s="326"/>
      <c r="CB9" s="307"/>
      <c r="CC9" s="3"/>
      <c r="CD9" s="3"/>
      <c r="CE9" s="34"/>
      <c r="CF9" s="3"/>
      <c r="CG9" s="3"/>
      <c r="CH9" s="3"/>
      <c r="CI9" s="3"/>
      <c r="CJ9" s="3"/>
      <c r="CK9" s="3"/>
      <c r="CL9" s="8"/>
      <c r="CM9" s="270"/>
      <c r="CN9" s="271"/>
      <c r="CO9" s="1"/>
      <c r="CP9" s="272"/>
      <c r="CQ9" s="272"/>
      <c r="CR9" s="272"/>
      <c r="CS9" s="272"/>
      <c r="CT9" s="272"/>
      <c r="CU9" s="272"/>
      <c r="CV9" s="272"/>
      <c r="CW9" s="272"/>
      <c r="CX9" s="272"/>
      <c r="CY9" s="272"/>
      <c r="CZ9" s="272"/>
      <c r="DA9" s="272"/>
      <c r="DB9" s="272"/>
      <c r="DC9" s="272"/>
      <c r="DD9" s="272"/>
      <c r="DE9" s="272"/>
      <c r="DF9" s="272"/>
      <c r="DG9" s="272"/>
      <c r="DH9" s="272"/>
      <c r="DI9" s="272"/>
      <c r="DJ9" s="272"/>
      <c r="DK9" s="272"/>
      <c r="DL9" s="272"/>
      <c r="DM9" s="272"/>
      <c r="DN9" s="272"/>
      <c r="DO9" s="272"/>
      <c r="DP9" s="272"/>
      <c r="DQ9" s="272"/>
      <c r="DR9" s="272"/>
      <c r="DS9" s="272"/>
      <c r="DT9" s="272"/>
      <c r="DU9" s="272"/>
      <c r="DV9" s="272"/>
      <c r="DW9" s="272"/>
      <c r="DX9" s="272"/>
      <c r="DY9" s="279"/>
      <c r="DZ9" s="285"/>
    </row>
    <row r="10" spans="1:130" ht="18" customHeight="1" thickBot="1">
      <c r="A10" s="269"/>
      <c r="B10" s="3"/>
      <c r="C10" s="3"/>
      <c r="D10" s="3"/>
      <c r="E10" s="3"/>
      <c r="F10" s="3"/>
      <c r="G10" s="3"/>
      <c r="H10" s="3"/>
      <c r="I10" s="3"/>
      <c r="J10" s="3"/>
      <c r="K10" s="3"/>
      <c r="L10" s="3"/>
      <c r="M10" s="3"/>
      <c r="N10" s="3"/>
      <c r="O10" s="3"/>
      <c r="P10" s="3"/>
      <c r="Q10" s="3"/>
      <c r="R10" s="3"/>
      <c r="S10" s="3"/>
      <c r="T10" s="4"/>
      <c r="U10" s="5"/>
      <c r="V10" s="5"/>
      <c r="W10" s="10"/>
      <c r="X10" s="10"/>
      <c r="Y10" s="300" t="s">
        <v>3</v>
      </c>
      <c r="Z10" s="301"/>
      <c r="AA10" s="301"/>
      <c r="AB10" s="301"/>
      <c r="AC10" s="302"/>
      <c r="AD10" s="10"/>
      <c r="AE10" s="306"/>
      <c r="AF10" s="214" t="str">
        <f>IF($CR$32="您破產了!","",IF(VLOOKUP("o",cal!$V:$AA,3,FALSE)=AF9,cal!$V$1,""))</f>
        <v/>
      </c>
      <c r="AG10" s="213"/>
      <c r="AH10" s="214" t="str">
        <f>IF($DM$32="您破產了!","",IF(VLOOKUP("o",cal!$AF:$AK,3,FALSE)=AF9,cal!$AF$1,""))</f>
        <v/>
      </c>
      <c r="AI10" s="307"/>
      <c r="AJ10" s="10"/>
      <c r="AK10" s="10"/>
      <c r="AL10" s="23"/>
      <c r="AM10" s="32"/>
      <c r="AN10" s="32"/>
      <c r="AO10" s="32"/>
      <c r="AP10" s="32"/>
      <c r="AQ10" s="32"/>
      <c r="AR10" s="32"/>
      <c r="AS10" s="32"/>
      <c r="AT10" s="32"/>
      <c r="AU10" s="32"/>
      <c r="AV10" s="32"/>
      <c r="AW10" s="32"/>
      <c r="AX10" s="32"/>
      <c r="AY10" s="30"/>
      <c r="AZ10" s="35"/>
      <c r="BA10" s="306"/>
      <c r="BB10" s="214" t="str">
        <f>IF($CR$28="您破產了!","",IF(VLOOKUP("o",cal!$B:$G,3,FALSE)=BB11,cal!$B$1,""))</f>
        <v/>
      </c>
      <c r="BC10" s="260"/>
      <c r="BD10" s="214" t="str">
        <f>IF($DM$28="您破產了!","",IF(VLOOKUP("o",cal!$L:$Q,3,FALSE)=BB11,cal!$L$1,""))</f>
        <v/>
      </c>
      <c r="BE10" s="307"/>
      <c r="BF10" s="36"/>
      <c r="BG10" s="10"/>
      <c r="BH10" s="10"/>
      <c r="BI10" s="37"/>
      <c r="BJ10" s="10"/>
      <c r="BK10" s="10"/>
      <c r="BL10" s="38"/>
      <c r="BM10" s="32"/>
      <c r="BN10" s="32"/>
      <c r="BO10" s="30"/>
      <c r="BP10" s="30"/>
      <c r="BQ10" s="39"/>
      <c r="BR10" s="40"/>
      <c r="BS10" s="41"/>
      <c r="BT10" s="10"/>
      <c r="BU10" s="10"/>
      <c r="BV10" s="10"/>
      <c r="BW10" s="10"/>
      <c r="BX10" s="306"/>
      <c r="BY10" s="214" t="str">
        <f>IF($CR$32="您破產了!","",IF(VLOOKUP("o",cal!$V:$AA,3,FALSE)=BY9,cal!$V$1,""))</f>
        <v/>
      </c>
      <c r="BZ10" s="213"/>
      <c r="CA10" s="214" t="str">
        <f>IF($DM$32="您破產了!","",IF(VLOOKUP("o",cal!$AF:$AK,3,FALSE)=BY9,cal!$AF$1,""))</f>
        <v/>
      </c>
      <c r="CB10" s="307"/>
      <c r="CC10" s="42"/>
      <c r="CD10" s="6"/>
      <c r="CE10" s="43"/>
      <c r="CF10" s="3"/>
      <c r="CG10" s="3"/>
      <c r="CH10" s="3"/>
      <c r="CI10" s="3"/>
      <c r="CJ10" s="3"/>
      <c r="CK10" s="3"/>
      <c r="CL10" s="8"/>
      <c r="CM10" s="270"/>
      <c r="CN10" s="271"/>
      <c r="CO10" s="1"/>
      <c r="CP10" s="1"/>
      <c r="CQ10" s="259"/>
      <c r="CR10" s="259"/>
      <c r="CS10" s="259"/>
      <c r="CT10" s="259"/>
      <c r="CU10" s="259"/>
      <c r="CV10" s="259"/>
      <c r="CW10" s="259"/>
      <c r="CX10" s="259"/>
      <c r="CY10" s="259"/>
      <c r="CZ10" s="259"/>
      <c r="DA10" s="259"/>
      <c r="DB10" s="259"/>
      <c r="DC10" s="259"/>
      <c r="DD10" s="259"/>
      <c r="DE10" s="259"/>
      <c r="DF10" s="259"/>
      <c r="DG10" s="259"/>
      <c r="DH10" s="259"/>
      <c r="DI10" s="259"/>
      <c r="DJ10" s="259"/>
      <c r="DK10" s="259"/>
      <c r="DL10" s="259"/>
      <c r="DM10" s="259"/>
      <c r="DN10" s="259"/>
      <c r="DO10" s="259"/>
      <c r="DP10" s="259"/>
      <c r="DQ10" s="259"/>
      <c r="DR10" s="259"/>
      <c r="DS10" s="259"/>
      <c r="DT10" s="259"/>
      <c r="DU10" s="259"/>
      <c r="DV10" s="259"/>
      <c r="DW10" s="259"/>
      <c r="DX10" s="259"/>
      <c r="DY10" s="279"/>
      <c r="DZ10" s="285"/>
    </row>
    <row r="11" spans="1:130" ht="18" customHeight="1" thickBot="1">
      <c r="A11" s="269"/>
      <c r="B11" s="3"/>
      <c r="C11" s="3"/>
      <c r="D11" s="3"/>
      <c r="E11" s="3"/>
      <c r="F11" s="3"/>
      <c r="G11" s="3"/>
      <c r="H11" s="3"/>
      <c r="I11" s="3"/>
      <c r="J11" s="3"/>
      <c r="K11" s="3"/>
      <c r="L11" s="3"/>
      <c r="M11" s="3"/>
      <c r="N11" s="3"/>
      <c r="O11" s="3"/>
      <c r="P11" s="3"/>
      <c r="Q11" s="3"/>
      <c r="R11" s="3"/>
      <c r="S11" s="3"/>
      <c r="T11" s="9"/>
      <c r="U11" s="10"/>
      <c r="V11" s="10"/>
      <c r="W11" s="10"/>
      <c r="X11" s="10"/>
      <c r="Y11" s="306"/>
      <c r="Z11" s="214" t="str">
        <f>IF($CR$28="您破產了!","",IF(VLOOKUP("o",cal!$B:$G,3,FALSE)=Z12,cal!$B$1,""))</f>
        <v/>
      </c>
      <c r="AA11" s="260"/>
      <c r="AB11" s="214" t="str">
        <f>IF($DM$28="您破產了!","",IF(VLOOKUP("o",cal!$L:$Q,3,FALSE)=Z12,cal!$L$1,""))</f>
        <v/>
      </c>
      <c r="AC11" s="307"/>
      <c r="AD11" s="10"/>
      <c r="AE11" s="303">
        <f>VLOOKUP(AF9,cal!$BE:$BJ,5,FALSE)</f>
        <v>1500</v>
      </c>
      <c r="AF11" s="304"/>
      <c r="AG11" s="304"/>
      <c r="AH11" s="304"/>
      <c r="AI11" s="331"/>
      <c r="AJ11" s="31"/>
      <c r="AK11" s="30"/>
      <c r="AL11" s="32"/>
      <c r="AM11" s="32"/>
      <c r="AN11" s="32"/>
      <c r="AO11" s="32"/>
      <c r="AP11" s="32"/>
      <c r="AQ11" s="32"/>
      <c r="AR11" s="32"/>
      <c r="AS11" s="32"/>
      <c r="AT11" s="32"/>
      <c r="AU11" s="32"/>
      <c r="AV11" s="32"/>
      <c r="AW11" s="32"/>
      <c r="AX11" s="32"/>
      <c r="AY11" s="44"/>
      <c r="AZ11" s="45"/>
      <c r="BA11" s="306"/>
      <c r="BB11" s="326">
        <v>8</v>
      </c>
      <c r="BC11" s="326"/>
      <c r="BD11" s="326"/>
      <c r="BE11" s="307"/>
      <c r="BF11" s="46"/>
      <c r="BG11" s="47"/>
      <c r="BH11" s="47"/>
      <c r="BI11" s="48"/>
      <c r="BJ11" s="30"/>
      <c r="BK11" s="30"/>
      <c r="BL11" s="32"/>
      <c r="BM11" s="32"/>
      <c r="BN11" s="32"/>
      <c r="BO11" s="32"/>
      <c r="BP11" s="32"/>
      <c r="BQ11" s="44"/>
      <c r="BR11" s="32"/>
      <c r="BS11" s="32"/>
      <c r="BT11" s="30"/>
      <c r="BU11" s="24"/>
      <c r="BV11" s="10"/>
      <c r="BW11" s="10"/>
      <c r="BX11" s="303">
        <f>VLOOKUP(BY9,cal!$BE:$BJ,5,FALSE)</f>
        <v>2700</v>
      </c>
      <c r="BY11" s="304"/>
      <c r="BZ11" s="304"/>
      <c r="CA11" s="304"/>
      <c r="CB11" s="305"/>
      <c r="CC11" s="10"/>
      <c r="CD11" s="13"/>
      <c r="CE11" s="43"/>
      <c r="CF11" s="3"/>
      <c r="CG11" s="3"/>
      <c r="CH11" s="3"/>
      <c r="CI11" s="3"/>
      <c r="CJ11" s="3"/>
      <c r="CK11" s="3"/>
      <c r="CL11" s="8"/>
      <c r="CM11" s="270"/>
      <c r="CN11" s="271"/>
      <c r="CO11" s="1"/>
      <c r="CP11" s="1"/>
      <c r="CQ11" s="259"/>
      <c r="CR11" s="259"/>
      <c r="CS11" s="259"/>
      <c r="CT11" s="259"/>
      <c r="CU11" s="259"/>
      <c r="CV11" s="259"/>
      <c r="CW11" s="259"/>
      <c r="CX11" s="259"/>
      <c r="CY11" s="259"/>
      <c r="CZ11" s="259"/>
      <c r="DA11" s="259"/>
      <c r="DB11" s="259"/>
      <c r="DC11" s="259"/>
      <c r="DD11" s="259"/>
      <c r="DE11" s="259"/>
      <c r="DF11" s="259"/>
      <c r="DG11" s="259"/>
      <c r="DH11" s="259"/>
      <c r="DI11" s="259"/>
      <c r="DJ11" s="259"/>
      <c r="DK11" s="259"/>
      <c r="DL11" s="259"/>
      <c r="DM11" s="259"/>
      <c r="DN11" s="259"/>
      <c r="DO11" s="259"/>
      <c r="DP11" s="259"/>
      <c r="DQ11" s="259"/>
      <c r="DR11" s="259"/>
      <c r="DS11" s="259"/>
      <c r="DT11" s="259"/>
      <c r="DU11" s="259"/>
      <c r="DV11" s="259"/>
      <c r="DW11" s="259"/>
      <c r="DX11" s="259"/>
      <c r="DY11" s="279"/>
      <c r="DZ11" s="285"/>
    </row>
    <row r="12" spans="1:130" ht="18" customHeight="1" thickBot="1">
      <c r="A12" s="269"/>
      <c r="B12" s="3"/>
      <c r="C12" s="3"/>
      <c r="D12" s="3"/>
      <c r="E12" s="3"/>
      <c r="F12" s="3"/>
      <c r="G12" s="3"/>
      <c r="H12" s="3"/>
      <c r="I12" s="3"/>
      <c r="J12" s="3"/>
      <c r="K12" s="3"/>
      <c r="L12" s="3"/>
      <c r="M12" s="3"/>
      <c r="N12" s="3"/>
      <c r="O12" s="3"/>
      <c r="P12" s="4"/>
      <c r="Q12" s="5"/>
      <c r="R12" s="5"/>
      <c r="S12" s="5"/>
      <c r="T12" s="10"/>
      <c r="U12" s="49"/>
      <c r="V12" s="50"/>
      <c r="W12" s="50"/>
      <c r="X12" s="50"/>
      <c r="Y12" s="306"/>
      <c r="Z12" s="326">
        <v>2</v>
      </c>
      <c r="AA12" s="326"/>
      <c r="AB12" s="326"/>
      <c r="AC12" s="307"/>
      <c r="AD12" s="10"/>
      <c r="AE12" s="10"/>
      <c r="AF12" s="10"/>
      <c r="AG12" s="10"/>
      <c r="AH12" s="10"/>
      <c r="AI12" s="10"/>
      <c r="AJ12" s="38"/>
      <c r="AK12" s="32"/>
      <c r="AL12" s="32"/>
      <c r="AM12" s="32"/>
      <c r="AN12" s="32"/>
      <c r="AO12" s="32"/>
      <c r="AP12" s="32"/>
      <c r="AQ12" s="32"/>
      <c r="AR12" s="32"/>
      <c r="AS12" s="32"/>
      <c r="AT12" s="32"/>
      <c r="AU12" s="32"/>
      <c r="AV12" s="32"/>
      <c r="AW12" s="32"/>
      <c r="AX12" s="32"/>
      <c r="AY12" s="44"/>
      <c r="AZ12" s="32"/>
      <c r="BA12" s="306"/>
      <c r="BB12" s="214" t="str">
        <f>IF($CR$32="您破產了!","",IF(VLOOKUP("o",cal!$V:$AA,3,FALSE)=BB11,cal!$V$1,""))</f>
        <v/>
      </c>
      <c r="BC12" s="213"/>
      <c r="BD12" s="214" t="str">
        <f>IF($DM$32="您破產了!","",IF(VLOOKUP("o",cal!$AF:$AK,3,FALSE)=BB11,cal!$AF$1,""))</f>
        <v/>
      </c>
      <c r="BE12" s="307"/>
      <c r="BF12" s="32"/>
      <c r="BG12" s="32"/>
      <c r="BH12" s="32"/>
      <c r="BI12" s="32"/>
      <c r="BJ12" s="32"/>
      <c r="BK12" s="32"/>
      <c r="BL12" s="32"/>
      <c r="BM12" s="32"/>
      <c r="BN12" s="32"/>
      <c r="BO12" s="32"/>
      <c r="BP12" s="32"/>
      <c r="BQ12" s="51"/>
      <c r="BR12" s="32"/>
      <c r="BS12" s="32"/>
      <c r="BT12" s="32"/>
      <c r="BU12" s="32"/>
      <c r="BV12" s="30"/>
      <c r="BW12" s="24"/>
      <c r="BX12" s="10"/>
      <c r="BY12" s="10"/>
      <c r="BZ12" s="10"/>
      <c r="CA12" s="10"/>
      <c r="CB12" s="10"/>
      <c r="CC12" s="52"/>
      <c r="CD12" s="52"/>
      <c r="CE12" s="53"/>
      <c r="CF12" s="54"/>
      <c r="CG12" s="3"/>
      <c r="CH12" s="3"/>
      <c r="CI12" s="3"/>
      <c r="CJ12" s="3"/>
      <c r="CK12" s="3"/>
      <c r="CL12" s="8"/>
      <c r="CM12" s="270"/>
      <c r="CN12" s="271"/>
      <c r="CO12" s="1"/>
      <c r="CP12" s="1"/>
      <c r="CQ12" s="259"/>
      <c r="CR12" s="259"/>
      <c r="CS12" s="259"/>
      <c r="CT12" s="259"/>
      <c r="CU12" s="259"/>
      <c r="CV12" s="259"/>
      <c r="CW12" s="259"/>
      <c r="CX12" s="259"/>
      <c r="CY12" s="259"/>
      <c r="CZ12" s="259"/>
      <c r="DA12" s="259"/>
      <c r="DB12" s="259"/>
      <c r="DC12" s="259"/>
      <c r="DD12" s="259"/>
      <c r="DE12" s="259"/>
      <c r="DF12" s="259"/>
      <c r="DG12" s="259"/>
      <c r="DH12" s="259"/>
      <c r="DI12" s="259"/>
      <c r="DJ12" s="259"/>
      <c r="DK12" s="259"/>
      <c r="DL12" s="259"/>
      <c r="DM12" s="259"/>
      <c r="DN12" s="259"/>
      <c r="DO12" s="259"/>
      <c r="DP12" s="259"/>
      <c r="DQ12" s="259"/>
      <c r="DR12" s="259"/>
      <c r="DS12" s="259"/>
      <c r="DT12" s="259"/>
      <c r="DU12" s="259"/>
      <c r="DV12" s="259"/>
      <c r="DW12" s="259"/>
      <c r="DX12" s="259"/>
      <c r="DY12" s="279"/>
      <c r="DZ12" s="285"/>
    </row>
    <row r="13" spans="1:130" ht="18" customHeight="1" thickBot="1">
      <c r="A13" s="269"/>
      <c r="B13" s="3"/>
      <c r="C13" s="3"/>
      <c r="D13" s="3"/>
      <c r="E13" s="3"/>
      <c r="F13" s="3"/>
      <c r="G13" s="3"/>
      <c r="H13" s="3"/>
      <c r="I13" s="3"/>
      <c r="J13" s="3"/>
      <c r="K13" s="3"/>
      <c r="L13" s="3"/>
      <c r="M13" s="3"/>
      <c r="N13" s="3"/>
      <c r="O13" s="3"/>
      <c r="P13" s="9"/>
      <c r="Q13" s="10"/>
      <c r="R13" s="10"/>
      <c r="S13" s="10"/>
      <c r="T13" s="10"/>
      <c r="U13" s="55"/>
      <c r="V13" s="10"/>
      <c r="W13" s="10"/>
      <c r="X13" s="10"/>
      <c r="Y13" s="306"/>
      <c r="Z13" s="214" t="str">
        <f>IF($CR$32="您破產了!","",IF(VLOOKUP("o",cal!$V:$AA,3,FALSE)=Z12,cal!$V$1,""))</f>
        <v/>
      </c>
      <c r="AA13" s="213"/>
      <c r="AB13" s="214" t="str">
        <f>IF($DM$32="您破產了!","",IF(VLOOKUP("o",cal!$AF:$AK,3,FALSE)=Z12,cal!$AF$1,""))</f>
        <v/>
      </c>
      <c r="AC13" s="307"/>
      <c r="AD13" s="10"/>
      <c r="AE13" s="23"/>
      <c r="AF13" s="30"/>
      <c r="AG13" s="30"/>
      <c r="AH13" s="30"/>
      <c r="AI13" s="30"/>
      <c r="AJ13" s="32"/>
      <c r="AK13" s="32"/>
      <c r="AL13" s="56"/>
      <c r="AM13" s="300" t="s">
        <v>37</v>
      </c>
      <c r="AN13" s="301"/>
      <c r="AO13" s="301"/>
      <c r="AP13" s="301"/>
      <c r="AQ13" s="302"/>
      <c r="AR13" s="57"/>
      <c r="AS13" s="57"/>
      <c r="AT13" s="57"/>
      <c r="AU13" s="57"/>
      <c r="AV13" s="57"/>
      <c r="AW13" s="32"/>
      <c r="AX13" s="32"/>
      <c r="AY13" s="44"/>
      <c r="AZ13" s="32"/>
      <c r="BA13" s="303">
        <f>VLOOKUP(BB11,cal!$BE:$BJ,5,FALSE)</f>
        <v>1800</v>
      </c>
      <c r="BB13" s="304"/>
      <c r="BC13" s="304"/>
      <c r="BD13" s="304"/>
      <c r="BE13" s="305"/>
      <c r="BF13" s="32"/>
      <c r="BG13" s="32"/>
      <c r="BH13" s="32"/>
      <c r="BI13" s="32"/>
      <c r="BJ13" s="32"/>
      <c r="BK13" s="32"/>
      <c r="BL13" s="57"/>
      <c r="BM13" s="57"/>
      <c r="BN13" s="57"/>
      <c r="BO13" s="300" t="s">
        <v>19</v>
      </c>
      <c r="BP13" s="301"/>
      <c r="BQ13" s="301"/>
      <c r="BR13" s="301"/>
      <c r="BS13" s="302"/>
      <c r="BT13" s="32"/>
      <c r="BU13" s="32"/>
      <c r="BV13" s="32"/>
      <c r="BW13" s="33"/>
      <c r="BX13" s="10"/>
      <c r="BY13" s="10"/>
      <c r="BZ13" s="10"/>
      <c r="CA13" s="10"/>
      <c r="CB13" s="10"/>
      <c r="CC13" s="300" t="s">
        <v>21</v>
      </c>
      <c r="CD13" s="301"/>
      <c r="CE13" s="301"/>
      <c r="CF13" s="301"/>
      <c r="CG13" s="302"/>
      <c r="CH13" s="3"/>
      <c r="CI13" s="3"/>
      <c r="CJ13" s="3"/>
      <c r="CK13" s="3"/>
      <c r="CL13" s="8"/>
      <c r="CM13" s="270"/>
      <c r="CN13" s="271"/>
      <c r="CO13" s="1"/>
      <c r="CP13" s="1"/>
      <c r="CQ13" s="259"/>
      <c r="CR13" s="259"/>
      <c r="CS13" s="259"/>
      <c r="CT13" s="259"/>
      <c r="CU13" s="259"/>
      <c r="CV13" s="259"/>
      <c r="CW13" s="259"/>
      <c r="CX13" s="259"/>
      <c r="CY13" s="259"/>
      <c r="CZ13" s="259"/>
      <c r="DA13" s="259"/>
      <c r="DB13" s="259"/>
      <c r="DC13" s="259"/>
      <c r="DD13" s="259"/>
      <c r="DE13" s="317" t="e">
        <f>IF(VLOOKUP(cal!$BC$1,cal!$AQ:$AY,9,FALSE)&gt;2,"l","")</f>
        <v>#N/A</v>
      </c>
      <c r="DF13" s="318"/>
      <c r="DG13" s="318" t="e">
        <f>IF(VLOOKUP(cal!$BC$1,cal!$AQ:$AY,9,FALSE)=2,"l","")</f>
        <v>#N/A</v>
      </c>
      <c r="DH13" s="318"/>
      <c r="DI13" s="318" t="e">
        <f>IF(VLOOKUP(cal!$BC$1,cal!$AQ:$AY,9,FALSE)&gt;3,"l","")</f>
        <v>#N/A</v>
      </c>
      <c r="DJ13" s="321"/>
      <c r="DK13" s="259"/>
      <c r="DL13" s="259"/>
      <c r="DM13" s="259"/>
      <c r="DN13" s="259"/>
      <c r="DO13" s="259"/>
      <c r="DP13" s="259"/>
      <c r="DQ13" s="259"/>
      <c r="DR13" s="259"/>
      <c r="DS13" s="259"/>
      <c r="DT13" s="259"/>
      <c r="DU13" s="259"/>
      <c r="DV13" s="259"/>
      <c r="DW13" s="259"/>
      <c r="DX13" s="259"/>
      <c r="DY13" s="279"/>
      <c r="DZ13" s="285"/>
    </row>
    <row r="14" spans="1:130" ht="18" customHeight="1" thickBot="1">
      <c r="A14" s="269"/>
      <c r="B14" s="3"/>
      <c r="C14" s="3"/>
      <c r="D14" s="3"/>
      <c r="E14" s="3"/>
      <c r="F14" s="3"/>
      <c r="G14" s="3"/>
      <c r="H14" s="3"/>
      <c r="I14" s="3"/>
      <c r="J14" s="3"/>
      <c r="K14" s="3"/>
      <c r="L14" s="3"/>
      <c r="M14" s="327" t="s">
        <v>244</v>
      </c>
      <c r="N14" s="328"/>
      <c r="O14" s="328"/>
      <c r="P14" s="328"/>
      <c r="Q14" s="329"/>
      <c r="R14" s="10"/>
      <c r="S14" s="10"/>
      <c r="T14" s="10"/>
      <c r="U14" s="55"/>
      <c r="V14" s="10"/>
      <c r="W14" s="10"/>
      <c r="X14" s="10"/>
      <c r="Y14" s="303">
        <f>VLOOKUP(Z12,cal!$BE:$BJ,5,FALSE)</f>
        <v>900</v>
      </c>
      <c r="Z14" s="304"/>
      <c r="AA14" s="304"/>
      <c r="AB14" s="304"/>
      <c r="AC14" s="305"/>
      <c r="AD14" s="58"/>
      <c r="AE14" s="32"/>
      <c r="AF14" s="32"/>
      <c r="AG14" s="32"/>
      <c r="AH14" s="32"/>
      <c r="AI14" s="32"/>
      <c r="AJ14" s="56"/>
      <c r="AK14" s="59"/>
      <c r="AL14" s="10"/>
      <c r="AM14" s="306"/>
      <c r="AN14" s="214" t="str">
        <f>IF($CR$28="您破產了!","",IF(VLOOKUP("o",cal!$B:$G,3,FALSE)=AN15,cal!$B$1,""))</f>
        <v/>
      </c>
      <c r="AO14" s="260"/>
      <c r="AP14" s="214" t="str">
        <f>IF($DM$28="您破產了!","",IF(VLOOKUP("o",cal!$L:$Q,3,FALSE)=AN15,cal!$L$1,""))</f>
        <v/>
      </c>
      <c r="AQ14" s="307"/>
      <c r="AR14" s="60"/>
      <c r="AS14" s="60"/>
      <c r="AT14" s="60"/>
      <c r="AU14" s="60"/>
      <c r="AV14" s="60"/>
      <c r="AW14" s="61"/>
      <c r="AX14" s="32"/>
      <c r="AY14" s="51"/>
      <c r="AZ14" s="62"/>
      <c r="BA14" s="32"/>
      <c r="BB14" s="32"/>
      <c r="BC14" s="32"/>
      <c r="BD14" s="32"/>
      <c r="BE14" s="32"/>
      <c r="BF14" s="32"/>
      <c r="BG14" s="300" t="s">
        <v>17</v>
      </c>
      <c r="BH14" s="301"/>
      <c r="BI14" s="301"/>
      <c r="BJ14" s="301"/>
      <c r="BK14" s="302"/>
      <c r="BL14" s="60"/>
      <c r="BM14" s="60"/>
      <c r="BN14" s="60"/>
      <c r="BO14" s="306"/>
      <c r="BP14" s="214" t="str">
        <f>IF($CR$28="您破產了!","",IF(VLOOKUP("o",cal!$B:$G,3,FALSE)=BP15,cal!$B$1,""))</f>
        <v/>
      </c>
      <c r="BQ14" s="260"/>
      <c r="BR14" s="214" t="str">
        <f>IF($DM$28="您破產了!","",IF(VLOOKUP("o",cal!$L:$Q,3,FALSE)=BP15,cal!$L$1,""))</f>
        <v/>
      </c>
      <c r="BS14" s="307"/>
      <c r="BT14" s="63"/>
      <c r="BU14" s="57"/>
      <c r="BV14" s="57"/>
      <c r="BW14" s="64"/>
      <c r="BX14" s="47"/>
      <c r="BY14" s="47"/>
      <c r="BZ14" s="47"/>
      <c r="CA14" s="65"/>
      <c r="CB14" s="14"/>
      <c r="CC14" s="306"/>
      <c r="CD14" s="214" t="str">
        <f>IF($CR$28="您破產了!","",IF(VLOOKUP("o",cal!$B:$G,3,FALSE)=CD15,cal!$B$1,""))</f>
        <v/>
      </c>
      <c r="CE14" s="260"/>
      <c r="CF14" s="214" t="str">
        <f>IF($DM$28="您破產了!","",IF(VLOOKUP("o",cal!$L:$Q,3,FALSE)=CD15,cal!$L$1,""))</f>
        <v/>
      </c>
      <c r="CG14" s="307"/>
      <c r="CH14" s="3"/>
      <c r="CI14" s="3"/>
      <c r="CJ14" s="3"/>
      <c r="CK14" s="3"/>
      <c r="CL14" s="8"/>
      <c r="CM14" s="270"/>
      <c r="CN14" s="271"/>
      <c r="CO14" s="1"/>
      <c r="CP14" s="1"/>
      <c r="CQ14" s="259"/>
      <c r="CR14" s="259"/>
      <c r="CS14" s="259"/>
      <c r="CT14" s="259"/>
      <c r="CU14" s="259"/>
      <c r="CV14" s="259"/>
      <c r="CW14" s="259"/>
      <c r="CX14" s="259"/>
      <c r="CY14" s="259"/>
      <c r="CZ14" s="259"/>
      <c r="DA14" s="259"/>
      <c r="DB14" s="259"/>
      <c r="DC14" s="259"/>
      <c r="DD14" s="259"/>
      <c r="DE14" s="319"/>
      <c r="DF14" s="320"/>
      <c r="DG14" s="320"/>
      <c r="DH14" s="320"/>
      <c r="DI14" s="320"/>
      <c r="DJ14" s="322"/>
      <c r="DK14" s="259"/>
      <c r="DL14" s="259"/>
      <c r="DM14" s="259"/>
      <c r="DN14" s="259"/>
      <c r="DO14" s="259"/>
      <c r="DP14" s="259"/>
      <c r="DQ14" s="259"/>
      <c r="DR14" s="259"/>
      <c r="DS14" s="259"/>
      <c r="DT14" s="259"/>
      <c r="DU14" s="259"/>
      <c r="DV14" s="259"/>
      <c r="DW14" s="259"/>
      <c r="DX14" s="259"/>
      <c r="DY14" s="279"/>
      <c r="DZ14" s="285"/>
    </row>
    <row r="15" spans="1:130" ht="18" customHeight="1" thickBot="1">
      <c r="A15" s="269"/>
      <c r="B15" s="3"/>
      <c r="C15" s="3"/>
      <c r="D15" s="3"/>
      <c r="E15" s="3"/>
      <c r="F15" s="3"/>
      <c r="G15" s="3"/>
      <c r="H15" s="3"/>
      <c r="I15" s="3"/>
      <c r="J15" s="3"/>
      <c r="K15" s="3"/>
      <c r="L15" s="3"/>
      <c r="M15" s="66"/>
      <c r="N15" s="210" t="str">
        <f>IF($CR$28="您破產了!","",IF(VLOOKUP("o",cal!$B:$G,3,FALSE)=N16,cal!$B$1,""))</f>
        <v>P</v>
      </c>
      <c r="O15" s="261"/>
      <c r="P15" s="210" t="str">
        <f>IF($DM$28="您破產了!","",IF(VLOOKUP("o",cal!$L:$Q,3,FALSE)=N16,cal!$L$1,""))</f>
        <v>Q</v>
      </c>
      <c r="Q15" s="67"/>
      <c r="R15" s="10"/>
      <c r="S15" s="10"/>
      <c r="T15" s="10"/>
      <c r="U15" s="55"/>
      <c r="V15" s="10"/>
      <c r="W15" s="10"/>
      <c r="X15" s="10"/>
      <c r="Y15" s="10"/>
      <c r="Z15" s="10"/>
      <c r="AA15" s="10"/>
      <c r="AB15" s="10"/>
      <c r="AC15" s="10"/>
      <c r="AD15" s="38"/>
      <c r="AE15" s="56"/>
      <c r="AF15" s="56"/>
      <c r="AG15" s="56"/>
      <c r="AH15" s="56"/>
      <c r="AI15" s="59"/>
      <c r="AJ15" s="10"/>
      <c r="AK15" s="19"/>
      <c r="AL15" s="14"/>
      <c r="AM15" s="306"/>
      <c r="AN15" s="326">
        <v>39</v>
      </c>
      <c r="AO15" s="326"/>
      <c r="AP15" s="326"/>
      <c r="AQ15" s="307"/>
      <c r="AR15" s="60"/>
      <c r="AS15" s="300" t="s">
        <v>11</v>
      </c>
      <c r="AT15" s="301"/>
      <c r="AU15" s="301"/>
      <c r="AV15" s="301"/>
      <c r="AW15" s="302"/>
      <c r="AX15" s="68"/>
      <c r="AY15" s="300" t="s">
        <v>10</v>
      </c>
      <c r="AZ15" s="301"/>
      <c r="BA15" s="301"/>
      <c r="BB15" s="301"/>
      <c r="BC15" s="302"/>
      <c r="BD15" s="32"/>
      <c r="BE15" s="32"/>
      <c r="BF15" s="69"/>
      <c r="BG15" s="306"/>
      <c r="BH15" s="214" t="str">
        <f>IF($CR$28="您破產了!","",IF(VLOOKUP("o",cal!$B:$G,3,FALSE)=BH16,cal!$B$1,""))</f>
        <v/>
      </c>
      <c r="BI15" s="260"/>
      <c r="BJ15" s="214" t="str">
        <f>IF($DM$28="您破產了!","",IF(VLOOKUP("o",cal!$L:$Q,3,FALSE)=BH16,cal!$L$1,""))</f>
        <v/>
      </c>
      <c r="BK15" s="307"/>
      <c r="BL15" s="70"/>
      <c r="BM15" s="71"/>
      <c r="BN15" s="60"/>
      <c r="BO15" s="306"/>
      <c r="BP15" s="326">
        <v>18</v>
      </c>
      <c r="BQ15" s="326"/>
      <c r="BR15" s="326"/>
      <c r="BS15" s="307"/>
      <c r="BT15" s="60"/>
      <c r="BU15" s="60"/>
      <c r="BV15" s="72"/>
      <c r="BW15" s="60"/>
      <c r="BX15" s="73"/>
      <c r="BY15" s="57"/>
      <c r="BZ15" s="74"/>
      <c r="CA15" s="75"/>
      <c r="CB15" s="28"/>
      <c r="CC15" s="306"/>
      <c r="CD15" s="326">
        <v>20</v>
      </c>
      <c r="CE15" s="326"/>
      <c r="CF15" s="326"/>
      <c r="CG15" s="307"/>
      <c r="CH15" s="76"/>
      <c r="CI15" s="3"/>
      <c r="CJ15" s="3"/>
      <c r="CK15" s="3"/>
      <c r="CL15" s="8"/>
      <c r="CM15" s="270"/>
      <c r="CN15" s="271"/>
      <c r="CO15" s="1"/>
      <c r="CP15" s="1"/>
      <c r="CQ15" s="259"/>
      <c r="CR15" s="259"/>
      <c r="CS15" s="259"/>
      <c r="CT15" s="259"/>
      <c r="CU15" s="259"/>
      <c r="CV15" s="259"/>
      <c r="CW15" s="211"/>
      <c r="CX15" s="211"/>
      <c r="CY15" s="259"/>
      <c r="CZ15" s="259"/>
      <c r="DA15" s="259"/>
      <c r="DB15" s="259"/>
      <c r="DC15" s="259"/>
      <c r="DD15" s="259"/>
      <c r="DE15" s="319" t="e">
        <f>IF(VLOOKUP(cal!$BC$1,cal!$AQ:$AY,9,FALSE)=6,"l","")</f>
        <v>#N/A</v>
      </c>
      <c r="DF15" s="320"/>
      <c r="DG15" s="320" t="e">
        <f>IF(MOD(VLOOKUP(cal!$BC$1,cal!$AQ:$AY,9,FALSE),2)=0,"","l")</f>
        <v>#N/A</v>
      </c>
      <c r="DH15" s="320"/>
      <c r="DI15" s="320" t="e">
        <f>IF(VLOOKUP(cal!$BC$1,cal!$AQ:$AY,9,FALSE)=6,"l","")</f>
        <v>#N/A</v>
      </c>
      <c r="DJ15" s="322"/>
      <c r="DK15" s="259"/>
      <c r="DL15" s="259"/>
      <c r="DM15" s="259"/>
      <c r="DN15" s="259"/>
      <c r="DO15" s="259"/>
      <c r="DP15" s="259"/>
      <c r="DQ15" s="259"/>
      <c r="DR15" s="259"/>
      <c r="DS15" s="211"/>
      <c r="DT15" s="259"/>
      <c r="DU15" s="259"/>
      <c r="DV15" s="259"/>
      <c r="DW15" s="259"/>
      <c r="DX15" s="259"/>
      <c r="DY15" s="279"/>
      <c r="DZ15" s="285"/>
    </row>
    <row r="16" spans="1:130" ht="18" customHeight="1" thickBot="1">
      <c r="A16" s="269"/>
      <c r="B16" s="3"/>
      <c r="C16" s="3"/>
      <c r="D16" s="3"/>
      <c r="E16" s="3"/>
      <c r="F16" s="3"/>
      <c r="G16" s="3"/>
      <c r="H16" s="3"/>
      <c r="I16" s="3"/>
      <c r="J16" s="3"/>
      <c r="K16" s="4"/>
      <c r="L16" s="5"/>
      <c r="M16" s="66"/>
      <c r="N16" s="333">
        <v>0</v>
      </c>
      <c r="O16" s="333"/>
      <c r="P16" s="333"/>
      <c r="Q16" s="67" t="s">
        <v>230</v>
      </c>
      <c r="R16" s="10"/>
      <c r="S16" s="300" t="s">
        <v>2</v>
      </c>
      <c r="T16" s="301"/>
      <c r="U16" s="301"/>
      <c r="V16" s="301"/>
      <c r="W16" s="302"/>
      <c r="X16" s="10"/>
      <c r="Y16" s="10"/>
      <c r="Z16" s="10"/>
      <c r="AA16" s="10"/>
      <c r="AB16" s="23"/>
      <c r="AC16" s="30"/>
      <c r="AD16" s="33"/>
      <c r="AE16" s="10"/>
      <c r="AF16" s="10"/>
      <c r="AG16" s="10"/>
      <c r="AH16" s="10"/>
      <c r="AI16" s="10"/>
      <c r="AJ16" s="16"/>
      <c r="AK16" s="10"/>
      <c r="AL16" s="10"/>
      <c r="AM16" s="306"/>
      <c r="AN16" s="214" t="str">
        <f>IF($CR$32="您破產了!","",IF(VLOOKUP("o",cal!$V:$AA,3,FALSE)=AN15,cal!$V$1,""))</f>
        <v/>
      </c>
      <c r="AO16" s="213"/>
      <c r="AP16" s="214" t="str">
        <f>IF($DM$32="您破產了!","",IF(VLOOKUP("o",cal!$AF:$AK,3,FALSE)=AN15,cal!$AF$1,""))</f>
        <v/>
      </c>
      <c r="AQ16" s="307"/>
      <c r="AR16" s="60"/>
      <c r="AS16" s="306"/>
      <c r="AT16" s="214" t="str">
        <f>IF($CR$28="您破產了!","",IF(VLOOKUP("o",cal!$B:$G,3,FALSE)=AT17,cal!$B$1,""))</f>
        <v/>
      </c>
      <c r="AU16" s="260"/>
      <c r="AV16" s="214" t="str">
        <f>IF($DM$28="您破產了!","",IF(VLOOKUP("o",cal!$L:$Q,3,FALSE)=AT17,cal!$L$1,""))</f>
        <v/>
      </c>
      <c r="AW16" s="307"/>
      <c r="AX16" s="60"/>
      <c r="AY16" s="306"/>
      <c r="AZ16" s="214" t="str">
        <f>IF($CR$28="您破產了!","",IF(VLOOKUP("o",cal!$B:$G,3,FALSE)=AZ17,cal!$B$1,""))</f>
        <v/>
      </c>
      <c r="BA16" s="260"/>
      <c r="BB16" s="214" t="str">
        <f>IF($DM$28="您破產了!","",IF(VLOOKUP("o",cal!$L:$Q,3,FALSE)=AZ17,cal!$L$1,""))</f>
        <v/>
      </c>
      <c r="BC16" s="307"/>
      <c r="BD16" s="57"/>
      <c r="BE16" s="77"/>
      <c r="BF16" s="60"/>
      <c r="BG16" s="306"/>
      <c r="BH16" s="326">
        <v>16</v>
      </c>
      <c r="BI16" s="326"/>
      <c r="BJ16" s="326"/>
      <c r="BK16" s="307"/>
      <c r="BL16" s="78"/>
      <c r="BM16" s="79"/>
      <c r="BN16" s="60"/>
      <c r="BO16" s="306"/>
      <c r="BP16" s="214" t="str">
        <f>IF($CR$32="您破產了!","",IF(VLOOKUP("o",cal!$V:$AA,3,FALSE)=BP15,cal!$V$1,""))</f>
        <v/>
      </c>
      <c r="BQ16" s="213"/>
      <c r="BR16" s="214" t="str">
        <f>IF($DM$32="您破產了!","",IF(VLOOKUP("o",cal!$AF:$AK,3,FALSE)=BP15,cal!$AF$1,""))</f>
        <v/>
      </c>
      <c r="BS16" s="307"/>
      <c r="BT16" s="60"/>
      <c r="BU16" s="300" t="s">
        <v>22</v>
      </c>
      <c r="BV16" s="301"/>
      <c r="BW16" s="301"/>
      <c r="BX16" s="301"/>
      <c r="BY16" s="302"/>
      <c r="BZ16" s="80"/>
      <c r="CA16" s="81"/>
      <c r="CB16" s="10"/>
      <c r="CC16" s="306"/>
      <c r="CD16" s="214" t="str">
        <f>IF($CR$32="您破產了!","",IF(VLOOKUP("o",cal!$V:$AA,3,FALSE)=CD15,cal!$V$1,""))</f>
        <v/>
      </c>
      <c r="CE16" s="213"/>
      <c r="CF16" s="214" t="str">
        <f>IF($DM$32="您破產了!","",IF(VLOOKUP("o",cal!$AF:$AK,3,FALSE)=CD15,cal!$AF$1,""))</f>
        <v/>
      </c>
      <c r="CG16" s="307"/>
      <c r="CH16" s="13"/>
      <c r="CI16" s="3"/>
      <c r="CJ16" s="3"/>
      <c r="CK16" s="3"/>
      <c r="CL16" s="8"/>
      <c r="CM16" s="270"/>
      <c r="CN16" s="271"/>
      <c r="CO16" s="1"/>
      <c r="CP16" s="1"/>
      <c r="CQ16" s="259"/>
      <c r="CR16" s="259"/>
      <c r="CS16" s="259"/>
      <c r="CT16" s="259"/>
      <c r="CU16" s="259"/>
      <c r="CV16" s="259"/>
      <c r="CW16" s="211"/>
      <c r="CX16" s="211"/>
      <c r="CY16" s="259"/>
      <c r="CZ16" s="259"/>
      <c r="DA16" s="259"/>
      <c r="DB16" s="259"/>
      <c r="DC16" s="259"/>
      <c r="DD16" s="259"/>
      <c r="DE16" s="319"/>
      <c r="DF16" s="320"/>
      <c r="DG16" s="320"/>
      <c r="DH16" s="320"/>
      <c r="DI16" s="320"/>
      <c r="DJ16" s="322"/>
      <c r="DK16" s="259"/>
      <c r="DL16" s="259"/>
      <c r="DM16" s="259"/>
      <c r="DN16" s="259"/>
      <c r="DO16" s="259"/>
      <c r="DP16" s="259"/>
      <c r="DQ16" s="259"/>
      <c r="DR16" s="259"/>
      <c r="DS16" s="211"/>
      <c r="DT16" s="211"/>
      <c r="DU16" s="259"/>
      <c r="DV16" s="259"/>
      <c r="DW16" s="259"/>
      <c r="DX16" s="259"/>
      <c r="DY16" s="279"/>
      <c r="DZ16" s="285"/>
    </row>
    <row r="17" spans="1:147" ht="18" customHeight="1" thickBot="1">
      <c r="A17" s="269"/>
      <c r="B17" s="3"/>
      <c r="C17" s="3"/>
      <c r="D17" s="3"/>
      <c r="E17" s="3"/>
      <c r="F17" s="3"/>
      <c r="G17" s="3"/>
      <c r="H17" s="3"/>
      <c r="I17" s="3"/>
      <c r="J17" s="3"/>
      <c r="K17" s="9"/>
      <c r="L17" s="10"/>
      <c r="M17" s="66"/>
      <c r="N17" s="210" t="str">
        <f>IF($CR$32="您破產了!","",IF(VLOOKUP("o",cal!$V:$AA,3,FALSE)=N16,cal!$V$1,""))</f>
        <v>d</v>
      </c>
      <c r="O17" s="261"/>
      <c r="P17" s="210" t="str">
        <f>IF($DM$32="您破產了!","",IF(VLOOKUP("o",cal!$AF:$AK,3,FALSE)=N16,cal!$AF$1,""))</f>
        <v>N</v>
      </c>
      <c r="Q17" s="67"/>
      <c r="R17" s="10"/>
      <c r="S17" s="306"/>
      <c r="T17" s="214" t="str">
        <f>IF($CR$28="您破產了!","",IF(VLOOKUP("o",cal!$B:$G,3,FALSE)=T18,cal!$B$1,""))</f>
        <v/>
      </c>
      <c r="U17" s="260"/>
      <c r="V17" s="214" t="str">
        <f>IF($DM$28="您破產了!","",IF(VLOOKUP("o",cal!$L:$Q,3,FALSE)=T18,cal!$L$1,""))</f>
        <v/>
      </c>
      <c r="W17" s="307"/>
      <c r="X17" s="10"/>
      <c r="Y17" s="10"/>
      <c r="Z17" s="10"/>
      <c r="AA17" s="23"/>
      <c r="AB17" s="32"/>
      <c r="AC17" s="32"/>
      <c r="AD17" s="32"/>
      <c r="AE17" s="300" t="s">
        <v>38</v>
      </c>
      <c r="AF17" s="301"/>
      <c r="AG17" s="301"/>
      <c r="AH17" s="301"/>
      <c r="AI17" s="302"/>
      <c r="AJ17" s="16"/>
      <c r="AK17" s="10"/>
      <c r="AL17" s="10"/>
      <c r="AM17" s="303">
        <f>VLOOKUP(AN15,cal!$BE:$BJ,5,FALSE)</f>
        <v>1800</v>
      </c>
      <c r="AN17" s="304"/>
      <c r="AO17" s="304"/>
      <c r="AP17" s="304"/>
      <c r="AQ17" s="305"/>
      <c r="AR17" s="60"/>
      <c r="AS17" s="306"/>
      <c r="AT17" s="326">
        <v>10</v>
      </c>
      <c r="AU17" s="326"/>
      <c r="AV17" s="326"/>
      <c r="AW17" s="307"/>
      <c r="AX17" s="82"/>
      <c r="AY17" s="306"/>
      <c r="AZ17" s="326">
        <v>9</v>
      </c>
      <c r="BA17" s="326"/>
      <c r="BB17" s="326"/>
      <c r="BC17" s="307"/>
      <c r="BD17" s="60"/>
      <c r="BE17" s="60"/>
      <c r="BF17" s="60"/>
      <c r="BG17" s="306"/>
      <c r="BH17" s="214" t="str">
        <f>IF($CR$32="您破產了!","",IF(VLOOKUP("o",cal!$V:$AA,3,FALSE)=BH16,cal!$V$1,""))</f>
        <v/>
      </c>
      <c r="BI17" s="278"/>
      <c r="BJ17" s="214" t="str">
        <f>IF($DM$32="您破產了!","",IF(VLOOKUP("o",cal!$AF:$AK,3,FALSE)=BH16,cal!$AF$1,""))</f>
        <v/>
      </c>
      <c r="BK17" s="307"/>
      <c r="BL17" s="78"/>
      <c r="BM17" s="83"/>
      <c r="BN17" s="60"/>
      <c r="BO17" s="303">
        <f>VLOOKUP(BP15,cal!$BE:$BJ,5,FALSE)</f>
        <v>1500</v>
      </c>
      <c r="BP17" s="304"/>
      <c r="BQ17" s="304"/>
      <c r="BR17" s="304"/>
      <c r="BS17" s="305"/>
      <c r="BT17" s="60"/>
      <c r="BU17" s="306"/>
      <c r="BV17" s="214" t="str">
        <f>IF($CR$28="您破產了!","",IF(VLOOKUP("o",cal!$B:$G,3,FALSE)=BV18,cal!$B$1,""))</f>
        <v/>
      </c>
      <c r="BW17" s="260"/>
      <c r="BX17" s="214" t="str">
        <f>IF($DM$28="您破產了!","",IF(VLOOKUP("o",cal!$L:$Q,3,FALSE)=BV18,cal!$L$1,""))</f>
        <v/>
      </c>
      <c r="BY17" s="307"/>
      <c r="BZ17" s="84"/>
      <c r="CA17" s="85"/>
      <c r="CB17" s="10"/>
      <c r="CC17" s="303">
        <f>VLOOKUP(CD15,cal!$BE:$BJ,5,FALSE)</f>
        <v>1500</v>
      </c>
      <c r="CD17" s="304"/>
      <c r="CE17" s="304"/>
      <c r="CF17" s="304"/>
      <c r="CG17" s="305"/>
      <c r="CH17" s="13"/>
      <c r="CI17" s="3"/>
      <c r="CJ17" s="3"/>
      <c r="CK17" s="3"/>
      <c r="CL17" s="8"/>
      <c r="CM17" s="270"/>
      <c r="CN17" s="271"/>
      <c r="CO17" s="1"/>
      <c r="CP17" s="1"/>
      <c r="CQ17" s="259"/>
      <c r="CR17" s="259"/>
      <c r="CS17" s="259"/>
      <c r="CT17" s="259"/>
      <c r="CU17" s="259"/>
      <c r="CV17" s="259"/>
      <c r="CW17" s="259"/>
      <c r="CX17" s="259"/>
      <c r="CY17" s="259"/>
      <c r="CZ17" s="259"/>
      <c r="DA17" s="259"/>
      <c r="DB17" s="259"/>
      <c r="DC17" s="259"/>
      <c r="DD17" s="259"/>
      <c r="DE17" s="319" t="e">
        <f>IF(VLOOKUP(cal!$BC$1,cal!$AQ:$AY,9,FALSE)&gt;3,"l","")</f>
        <v>#N/A</v>
      </c>
      <c r="DF17" s="320"/>
      <c r="DG17" s="320" t="e">
        <f>IF(VLOOKUP(cal!$BC$1,cal!$AQ:$AY,9,FALSE)=2,"l","")</f>
        <v>#N/A</v>
      </c>
      <c r="DH17" s="320"/>
      <c r="DI17" s="320" t="e">
        <f>IF(VLOOKUP(cal!$BC$1,cal!$AQ:$AY,9,FALSE)&gt;2,"l","")</f>
        <v>#N/A</v>
      </c>
      <c r="DJ17" s="322"/>
      <c r="DK17" s="259"/>
      <c r="DL17" s="259"/>
      <c r="DM17" s="259"/>
      <c r="DN17" s="259"/>
      <c r="DO17" s="259"/>
      <c r="DP17" s="259"/>
      <c r="DQ17" s="259"/>
      <c r="DR17" s="259"/>
      <c r="DS17" s="259"/>
      <c r="DT17" s="259"/>
      <c r="DU17" s="259"/>
      <c r="DV17" s="259"/>
      <c r="DW17" s="259"/>
      <c r="DX17" s="259"/>
      <c r="DY17" s="279"/>
      <c r="DZ17" s="285"/>
    </row>
    <row r="18" spans="1:147" ht="18" customHeight="1" thickBot="1">
      <c r="A18" s="269"/>
      <c r="B18" s="3"/>
      <c r="C18" s="3"/>
      <c r="D18" s="3"/>
      <c r="E18" s="3"/>
      <c r="F18" s="3"/>
      <c r="G18" s="3"/>
      <c r="H18" s="3"/>
      <c r="I18" s="3"/>
      <c r="J18" s="86"/>
      <c r="K18" s="87"/>
      <c r="L18" s="10"/>
      <c r="M18" s="334"/>
      <c r="N18" s="335"/>
      <c r="O18" s="335"/>
      <c r="P18" s="335"/>
      <c r="Q18" s="336"/>
      <c r="R18" s="10"/>
      <c r="S18" s="306"/>
      <c r="T18" s="326">
        <v>1</v>
      </c>
      <c r="U18" s="326"/>
      <c r="V18" s="326"/>
      <c r="W18" s="307"/>
      <c r="X18" s="10"/>
      <c r="Y18" s="23"/>
      <c r="Z18" s="30"/>
      <c r="AA18" s="32"/>
      <c r="AB18" s="32"/>
      <c r="AC18" s="64"/>
      <c r="AD18" s="64"/>
      <c r="AE18" s="306"/>
      <c r="AF18" s="214" t="str">
        <f>IF($CR$28="您破產了!","",IF(VLOOKUP("o",cal!$B:$G,3,FALSE)=AF19,cal!$B$1,""))</f>
        <v/>
      </c>
      <c r="AG18" s="260"/>
      <c r="AH18" s="214" t="str">
        <f>IF($DM$28="您破產了!","",IF(VLOOKUP("o",cal!$L:$Q,3,FALSE)=AF19,cal!$L$1,""))</f>
        <v/>
      </c>
      <c r="AI18" s="307"/>
      <c r="AJ18" s="88"/>
      <c r="AK18" s="10"/>
      <c r="AL18" s="10"/>
      <c r="AM18" s="37"/>
      <c r="AN18" s="89"/>
      <c r="AO18" s="10"/>
      <c r="AP18" s="10"/>
      <c r="AQ18" s="90"/>
      <c r="AR18" s="91"/>
      <c r="AS18" s="306"/>
      <c r="AT18" s="214" t="str">
        <f>IF($CR$32="您破產了!","",IF(VLOOKUP("o",cal!$V:$AA,3,FALSE)=AT17,cal!$V$1,""))</f>
        <v/>
      </c>
      <c r="AU18" s="213"/>
      <c r="AV18" s="214" t="str">
        <f>IF($DM$32="您破產了!","",IF(VLOOKUP("o",cal!$AF:$AK,3,FALSE)=AT17,cal!$AF$1,""))</f>
        <v/>
      </c>
      <c r="AW18" s="307"/>
      <c r="AX18" s="92"/>
      <c r="AY18" s="306"/>
      <c r="AZ18" s="214" t="str">
        <f>IF($CR$32="您破產了!","",IF(VLOOKUP("o",cal!$V:$AA,3,FALSE)=AZ17,cal!$V$1,""))</f>
        <v/>
      </c>
      <c r="BA18" s="213"/>
      <c r="BB18" s="214" t="str">
        <f>IF($DM$32="您破產了!","",IF(VLOOKUP("o",cal!$AF:$AK,3,FALSE)=AZ17,cal!$AF$1,""))</f>
        <v/>
      </c>
      <c r="BC18" s="307"/>
      <c r="BD18" s="60"/>
      <c r="BE18" s="60"/>
      <c r="BF18" s="60"/>
      <c r="BG18" s="303">
        <f>VLOOKUP(BH16,cal!$BE:$BJ,5,FALSE)</f>
        <v>1200</v>
      </c>
      <c r="BH18" s="304"/>
      <c r="BI18" s="304"/>
      <c r="BJ18" s="304"/>
      <c r="BK18" s="305"/>
      <c r="BL18" s="78"/>
      <c r="BM18" s="72"/>
      <c r="BN18" s="60"/>
      <c r="BO18" s="93"/>
      <c r="BP18" s="94"/>
      <c r="BQ18" s="60"/>
      <c r="BR18" s="60"/>
      <c r="BS18" s="60"/>
      <c r="BT18" s="60"/>
      <c r="BU18" s="306"/>
      <c r="BV18" s="326">
        <v>21</v>
      </c>
      <c r="BW18" s="326"/>
      <c r="BX18" s="326"/>
      <c r="BY18" s="307"/>
      <c r="BZ18" s="60"/>
      <c r="CA18" s="60"/>
      <c r="CB18" s="95"/>
      <c r="CC18" s="60"/>
      <c r="CD18" s="85"/>
      <c r="CE18" s="10"/>
      <c r="CF18" s="10"/>
      <c r="CG18" s="10"/>
      <c r="CH18" s="11"/>
      <c r="CI18" s="3"/>
      <c r="CJ18" s="3"/>
      <c r="CK18" s="3"/>
      <c r="CL18" s="8"/>
      <c r="CM18" s="270"/>
      <c r="CN18" s="271"/>
      <c r="CO18" s="1"/>
      <c r="CP18" s="1"/>
      <c r="CQ18" s="259"/>
      <c r="CR18" s="259"/>
      <c r="CS18" s="259"/>
      <c r="CT18" s="259"/>
      <c r="CU18" s="259"/>
      <c r="CV18" s="259"/>
      <c r="CW18" s="259"/>
      <c r="CX18" s="228"/>
      <c r="CY18" s="228"/>
      <c r="CZ18" s="228"/>
      <c r="DA18" s="228"/>
      <c r="DB18" s="228"/>
      <c r="DC18" s="259"/>
      <c r="DD18" s="259"/>
      <c r="DE18" s="323"/>
      <c r="DF18" s="324"/>
      <c r="DG18" s="324"/>
      <c r="DH18" s="324"/>
      <c r="DI18" s="324"/>
      <c r="DJ18" s="325"/>
      <c r="DK18" s="259"/>
      <c r="DL18" s="259"/>
      <c r="DM18" s="259"/>
      <c r="DN18" s="259"/>
      <c r="DO18" s="259"/>
      <c r="DP18" s="259"/>
      <c r="DQ18" s="259"/>
      <c r="DR18" s="259"/>
      <c r="DS18" s="228"/>
      <c r="DT18" s="228"/>
      <c r="DU18" s="228"/>
      <c r="DV18" s="228"/>
      <c r="DW18" s="228"/>
      <c r="DX18" s="259"/>
      <c r="DY18" s="279"/>
      <c r="DZ18" s="285"/>
    </row>
    <row r="19" spans="1:147" ht="18" customHeight="1" thickBot="1">
      <c r="A19" s="269"/>
      <c r="B19" s="3"/>
      <c r="C19" s="3"/>
      <c r="D19" s="3"/>
      <c r="E19" s="3"/>
      <c r="F19" s="3"/>
      <c r="G19" s="3"/>
      <c r="H19" s="3"/>
      <c r="I19" s="3"/>
      <c r="J19" s="3"/>
      <c r="K19" s="3"/>
      <c r="L19" s="96"/>
      <c r="M19" s="87"/>
      <c r="N19" s="10"/>
      <c r="O19" s="16"/>
      <c r="P19" s="19"/>
      <c r="Q19" s="19"/>
      <c r="R19" s="14"/>
      <c r="S19" s="306"/>
      <c r="T19" s="214" t="str">
        <f>IF($CR$32="您破產了!","",IF(VLOOKUP("o",cal!$V:$AA,3,FALSE)=T18,cal!$V$1,""))</f>
        <v/>
      </c>
      <c r="U19" s="213"/>
      <c r="V19" s="214" t="str">
        <f>IF($DM$32="您破產了!","",IF(VLOOKUP("o",cal!$AF:$AK,3,FALSE)=T18,cal!$AF$1,""))</f>
        <v/>
      </c>
      <c r="W19" s="307"/>
      <c r="X19" s="10"/>
      <c r="Y19" s="38"/>
      <c r="Z19" s="32"/>
      <c r="AA19" s="32"/>
      <c r="AB19" s="97"/>
      <c r="AC19" s="56"/>
      <c r="AD19" s="56"/>
      <c r="AE19" s="306"/>
      <c r="AF19" s="326">
        <v>40</v>
      </c>
      <c r="AG19" s="326"/>
      <c r="AH19" s="326"/>
      <c r="AI19" s="307"/>
      <c r="AJ19" s="10"/>
      <c r="AK19" s="10"/>
      <c r="AL19" s="10"/>
      <c r="AM19" s="27"/>
      <c r="AN19" s="52"/>
      <c r="AO19" s="10"/>
      <c r="AP19" s="10"/>
      <c r="AQ19" s="98"/>
      <c r="AR19" s="91"/>
      <c r="AS19" s="303">
        <f>VLOOKUP(AT17,cal!$BE:$BJ,5,FALSE)</f>
        <v>1200</v>
      </c>
      <c r="AT19" s="304"/>
      <c r="AU19" s="304"/>
      <c r="AV19" s="304"/>
      <c r="AW19" s="305"/>
      <c r="AX19" s="60"/>
      <c r="AY19" s="303">
        <f>VLOOKUP(AZ17,cal!$BE:$BJ,5,FALSE)</f>
        <v>3000</v>
      </c>
      <c r="AZ19" s="304"/>
      <c r="BA19" s="304"/>
      <c r="BB19" s="304"/>
      <c r="BC19" s="305"/>
      <c r="BD19" s="60"/>
      <c r="BE19" s="60"/>
      <c r="BF19" s="60"/>
      <c r="BG19" s="60"/>
      <c r="BH19" s="93"/>
      <c r="BI19" s="60"/>
      <c r="BJ19" s="60"/>
      <c r="BK19" s="60"/>
      <c r="BL19" s="60"/>
      <c r="BM19" s="327" t="s">
        <v>231</v>
      </c>
      <c r="BN19" s="328"/>
      <c r="BO19" s="328"/>
      <c r="BP19" s="328"/>
      <c r="BQ19" s="329"/>
      <c r="BR19" s="60"/>
      <c r="BS19" s="60"/>
      <c r="BT19" s="60"/>
      <c r="BU19" s="306"/>
      <c r="BV19" s="214" t="str">
        <f>IF($CR$32="您破產了!","",IF(VLOOKUP("o",cal!$V:$AA,3,FALSE)=BV18,cal!$V$1,""))</f>
        <v/>
      </c>
      <c r="BW19" s="213"/>
      <c r="BX19" s="214" t="str">
        <f>IF($DM$32="您破產了!","",IF(VLOOKUP("o",cal!$AF:$AK,3,FALSE)=BV18,cal!$AF$1,""))</f>
        <v/>
      </c>
      <c r="BY19" s="307"/>
      <c r="BZ19" s="60"/>
      <c r="CA19" s="300" t="s">
        <v>23</v>
      </c>
      <c r="CB19" s="301"/>
      <c r="CC19" s="301"/>
      <c r="CD19" s="301"/>
      <c r="CE19" s="302"/>
      <c r="CF19" s="10"/>
      <c r="CG19" s="13"/>
      <c r="CH19" s="3"/>
      <c r="CI19" s="3"/>
      <c r="CJ19" s="3"/>
      <c r="CK19" s="3"/>
      <c r="CL19" s="8"/>
      <c r="CM19" s="270"/>
      <c r="CN19" s="271"/>
      <c r="CO19" s="1"/>
      <c r="CP19" s="1"/>
      <c r="CQ19" s="212"/>
      <c r="CR19" s="287">
        <v>1</v>
      </c>
      <c r="CS19" s="288" t="str">
        <f>IFERROR(VLOOKUP(CR19,lok!Q2:R5,2,FALSE),"")</f>
        <v>P</v>
      </c>
      <c r="CT19" s="288"/>
      <c r="CU19" s="288"/>
      <c r="CV19" s="288"/>
      <c r="CW19" s="288"/>
      <c r="CX19" s="286"/>
      <c r="CY19" s="286"/>
      <c r="CZ19" s="286"/>
      <c r="DA19" s="286"/>
      <c r="DB19" s="286"/>
      <c r="DC19" s="259"/>
      <c r="DD19" s="259"/>
      <c r="DE19" s="273"/>
      <c r="DF19" s="273"/>
      <c r="DG19" s="273"/>
      <c r="DH19" s="273"/>
      <c r="DI19" s="273"/>
      <c r="DJ19" s="273"/>
      <c r="DK19" s="259"/>
      <c r="DL19" s="259"/>
      <c r="DM19" s="287">
        <v>4</v>
      </c>
      <c r="DN19" s="288" t="str">
        <f>IFERROR(VLOOKUP(DM19,lok!Q8:R11,2,FALSE),"")</f>
        <v>Q</v>
      </c>
      <c r="DO19" s="288"/>
      <c r="DP19" s="288"/>
      <c r="DQ19" s="288"/>
      <c r="DR19" s="288"/>
      <c r="DS19" s="287"/>
      <c r="DT19" s="287"/>
      <c r="DU19" s="287"/>
      <c r="DV19" s="287"/>
      <c r="DW19" s="287"/>
      <c r="DX19" s="259"/>
      <c r="DY19" s="279"/>
      <c r="DZ19" s="285"/>
    </row>
    <row r="20" spans="1:147" ht="18" customHeight="1" thickBot="1">
      <c r="A20" s="269"/>
      <c r="B20" s="3"/>
      <c r="C20" s="3"/>
      <c r="D20" s="3"/>
      <c r="E20" s="3"/>
      <c r="F20" s="3"/>
      <c r="G20" s="3"/>
      <c r="H20" s="3"/>
      <c r="I20" s="3"/>
      <c r="J20" s="3"/>
      <c r="K20" s="3"/>
      <c r="L20" s="3"/>
      <c r="M20" s="3"/>
      <c r="N20" s="96"/>
      <c r="O20" s="87"/>
      <c r="P20" s="10"/>
      <c r="Q20" s="10"/>
      <c r="R20" s="10"/>
      <c r="S20" s="303">
        <f>VLOOKUP(T18,cal!$BE:$BJ,5,FALSE)</f>
        <v>1200</v>
      </c>
      <c r="T20" s="304"/>
      <c r="U20" s="304"/>
      <c r="V20" s="304"/>
      <c r="W20" s="305"/>
      <c r="X20" s="10"/>
      <c r="Y20" s="99"/>
      <c r="Z20" s="56"/>
      <c r="AA20" s="59"/>
      <c r="AB20" s="16"/>
      <c r="AC20" s="10"/>
      <c r="AD20" s="28"/>
      <c r="AE20" s="306"/>
      <c r="AF20" s="214" t="str">
        <f>IF($CR$32="您破產了!","",IF(VLOOKUP("o",cal!$V:$AA,3,FALSE)=AF19,cal!$V$1,""))</f>
        <v/>
      </c>
      <c r="AG20" s="213"/>
      <c r="AH20" s="214" t="str">
        <f>IF($DM$32="您破產了!","",IF(VLOOKUP("o",cal!$AF:$AK,3,FALSE)=AF19,cal!$AF$1,""))</f>
        <v/>
      </c>
      <c r="AI20" s="307"/>
      <c r="AJ20" s="10"/>
      <c r="AK20" s="327" t="s">
        <v>232</v>
      </c>
      <c r="AL20" s="328"/>
      <c r="AM20" s="328"/>
      <c r="AN20" s="328"/>
      <c r="AO20" s="329"/>
      <c r="AP20" s="10"/>
      <c r="AQ20" s="100"/>
      <c r="AR20" s="91"/>
      <c r="AS20" s="101"/>
      <c r="AT20" s="102"/>
      <c r="AU20" s="60"/>
      <c r="AV20" s="60"/>
      <c r="AW20" s="60"/>
      <c r="AX20" s="60"/>
      <c r="AY20" s="60"/>
      <c r="AZ20" s="60"/>
      <c r="BA20" s="60"/>
      <c r="BB20" s="60"/>
      <c r="BC20" s="60"/>
      <c r="BD20" s="60"/>
      <c r="BE20" s="300" t="s">
        <v>16</v>
      </c>
      <c r="BF20" s="301"/>
      <c r="BG20" s="301"/>
      <c r="BH20" s="301"/>
      <c r="BI20" s="302"/>
      <c r="BJ20" s="60"/>
      <c r="BK20" s="60"/>
      <c r="BL20" s="60"/>
      <c r="BM20" s="66"/>
      <c r="BN20" s="210" t="str">
        <f>IF($CR$28="您破產了!","",IF(VLOOKUP("o",cal!$B:$G,3,FALSE)=BN21,cal!$B$1,""))</f>
        <v/>
      </c>
      <c r="BO20" s="261"/>
      <c r="BP20" s="210" t="str">
        <f>IF($DM$28="您破產了!","",IF(VLOOKUP("o",cal!$L:$Q,3,FALSE)=BN21,cal!$L$1,""))</f>
        <v/>
      </c>
      <c r="BQ20" s="67"/>
      <c r="BR20" s="60"/>
      <c r="BS20" s="60"/>
      <c r="BT20" s="60"/>
      <c r="BU20" s="303">
        <f>VLOOKUP(BV18,cal!$BE:$BJ,5,FALSE)</f>
        <v>1800</v>
      </c>
      <c r="BV20" s="304"/>
      <c r="BW20" s="304"/>
      <c r="BX20" s="304"/>
      <c r="BY20" s="305"/>
      <c r="BZ20" s="60"/>
      <c r="CA20" s="306"/>
      <c r="CB20" s="214" t="str">
        <f>IF($CR$28="您破產了!","",IF(VLOOKUP("o",cal!$B:$G,3,FALSE)=CB21,cal!$B$1,""))</f>
        <v/>
      </c>
      <c r="CC20" s="260"/>
      <c r="CD20" s="214" t="str">
        <f>IF($DM$28="您破產了!","",IF(VLOOKUP("o",cal!$L:$Q,3,FALSE)=CB21,cal!$L$1,""))</f>
        <v/>
      </c>
      <c r="CE20" s="307"/>
      <c r="CF20" s="10"/>
      <c r="CG20" s="13"/>
      <c r="CH20" s="3"/>
      <c r="CI20" s="3"/>
      <c r="CJ20" s="3"/>
      <c r="CK20" s="3"/>
      <c r="CL20" s="8"/>
      <c r="CM20" s="270"/>
      <c r="CN20" s="271"/>
      <c r="CO20" s="1"/>
      <c r="CP20" s="1"/>
      <c r="CQ20" s="212"/>
      <c r="CR20" s="287"/>
      <c r="CS20" s="288"/>
      <c r="CT20" s="288"/>
      <c r="CU20" s="288"/>
      <c r="CV20" s="288"/>
      <c r="CW20" s="288"/>
      <c r="CX20" s="286"/>
      <c r="CY20" s="286"/>
      <c r="CZ20" s="286"/>
      <c r="DA20" s="286"/>
      <c r="DB20" s="286"/>
      <c r="DC20" s="259"/>
      <c r="DD20" s="259"/>
      <c r="DE20" s="273"/>
      <c r="DF20" s="273"/>
      <c r="DG20" s="273"/>
      <c r="DH20" s="273"/>
      <c r="DI20" s="273"/>
      <c r="DJ20" s="273"/>
      <c r="DK20" s="259"/>
      <c r="DL20" s="259"/>
      <c r="DM20" s="287"/>
      <c r="DN20" s="288"/>
      <c r="DO20" s="288"/>
      <c r="DP20" s="288"/>
      <c r="DQ20" s="288"/>
      <c r="DR20" s="288"/>
      <c r="DS20" s="287"/>
      <c r="DT20" s="287"/>
      <c r="DU20" s="287"/>
      <c r="DV20" s="287"/>
      <c r="DW20" s="287"/>
      <c r="DX20" s="259"/>
      <c r="DY20" s="279"/>
      <c r="DZ20" s="285"/>
    </row>
    <row r="21" spans="1:147" ht="18" customHeight="1" thickBot="1">
      <c r="A21" s="269"/>
      <c r="B21" s="3"/>
      <c r="C21" s="3"/>
      <c r="D21" s="3"/>
      <c r="E21" s="3"/>
      <c r="F21" s="3"/>
      <c r="G21" s="3"/>
      <c r="H21" s="3"/>
      <c r="I21" s="3"/>
      <c r="J21" s="3"/>
      <c r="K21" s="3"/>
      <c r="L21" s="3"/>
      <c r="M21" s="3"/>
      <c r="N21" s="3"/>
      <c r="O21" s="3"/>
      <c r="P21" s="96"/>
      <c r="Q21" s="87"/>
      <c r="R21" s="87"/>
      <c r="S21" s="103"/>
      <c r="T21" s="104"/>
      <c r="U21" s="105"/>
      <c r="V21" s="106"/>
      <c r="W21" s="19"/>
      <c r="X21" s="19"/>
      <c r="Y21" s="19"/>
      <c r="Z21" s="19"/>
      <c r="AA21" s="19"/>
      <c r="AB21" s="29"/>
      <c r="AC21" s="10"/>
      <c r="AD21" s="107"/>
      <c r="AE21" s="303">
        <f>VLOOKUP(AF19,cal!$BE:$BJ,5,FALSE)</f>
        <v>1800</v>
      </c>
      <c r="AF21" s="304"/>
      <c r="AG21" s="304"/>
      <c r="AH21" s="304"/>
      <c r="AI21" s="305"/>
      <c r="AJ21" s="10"/>
      <c r="AK21" s="66"/>
      <c r="AL21" s="210" t="str">
        <f>IF($CR$28="您破產了!","",IF(VLOOKUP("o",cal!$B:$G,3,FALSE)=AL22,cal!$B$1,""))</f>
        <v/>
      </c>
      <c r="AM21" s="261"/>
      <c r="AN21" s="210" t="str">
        <f>IF($DM$28="您破產了!","",IF(VLOOKUP("o",cal!$L:$Q,3,FALSE)=AL22,cal!$L$1,""))</f>
        <v/>
      </c>
      <c r="AO21" s="67"/>
      <c r="AP21" s="80"/>
      <c r="AQ21" s="108"/>
      <c r="AR21" s="60"/>
      <c r="AS21" s="83"/>
      <c r="AT21" s="60"/>
      <c r="AU21" s="60"/>
      <c r="AV21" s="60"/>
      <c r="AW21" s="300" t="s">
        <v>13</v>
      </c>
      <c r="AX21" s="301"/>
      <c r="AY21" s="301"/>
      <c r="AZ21" s="301"/>
      <c r="BA21" s="302"/>
      <c r="BB21" s="60"/>
      <c r="BC21" s="60"/>
      <c r="BD21" s="60"/>
      <c r="BE21" s="306"/>
      <c r="BF21" s="214" t="str">
        <f>IF($CR$28="您破產了!","",IF(VLOOKUP("o",cal!$B:$G,3,FALSE)=BF22,cal!$B$1,""))</f>
        <v/>
      </c>
      <c r="BG21" s="260"/>
      <c r="BH21" s="214" t="str">
        <f>IF($DM$28="您破產了!","",IF(VLOOKUP("o",cal!$L:$Q,3,FALSE)=BF22,cal!$L$1,""))</f>
        <v/>
      </c>
      <c r="BI21" s="307"/>
      <c r="BJ21" s="60"/>
      <c r="BK21" s="60"/>
      <c r="BL21" s="60"/>
      <c r="BM21" s="66"/>
      <c r="BN21" s="333">
        <v>17</v>
      </c>
      <c r="BO21" s="333"/>
      <c r="BP21" s="333"/>
      <c r="BQ21" s="67"/>
      <c r="BR21" s="60"/>
      <c r="BS21" s="60"/>
      <c r="BT21" s="60"/>
      <c r="BU21" s="109"/>
      <c r="BV21" s="110"/>
      <c r="BW21" s="111"/>
      <c r="BX21" s="71"/>
      <c r="BY21" s="71"/>
      <c r="BZ21" s="112"/>
      <c r="CA21" s="306"/>
      <c r="CB21" s="326">
        <v>22</v>
      </c>
      <c r="CC21" s="326"/>
      <c r="CD21" s="326"/>
      <c r="CE21" s="307"/>
      <c r="CF21" s="87"/>
      <c r="CG21" s="11"/>
      <c r="CH21" s="3"/>
      <c r="CI21" s="3"/>
      <c r="CJ21" s="3"/>
      <c r="CK21" s="3"/>
      <c r="CL21" s="8"/>
      <c r="CM21" s="270"/>
      <c r="CN21" s="271"/>
      <c r="CO21" s="1"/>
      <c r="CP21" s="1"/>
      <c r="CQ21" s="212"/>
      <c r="CR21" s="287"/>
      <c r="CS21" s="288"/>
      <c r="CT21" s="288"/>
      <c r="CU21" s="288"/>
      <c r="CV21" s="288"/>
      <c r="CW21" s="288"/>
      <c r="CX21" s="286"/>
      <c r="CY21" s="286"/>
      <c r="CZ21" s="286"/>
      <c r="DA21" s="286"/>
      <c r="DB21" s="286"/>
      <c r="DC21" s="259"/>
      <c r="DD21" s="259"/>
      <c r="DE21" s="273"/>
      <c r="DF21" s="273"/>
      <c r="DG21" s="273"/>
      <c r="DH21" s="273"/>
      <c r="DI21" s="273"/>
      <c r="DJ21" s="273"/>
      <c r="DK21" s="259"/>
      <c r="DL21" s="259"/>
      <c r="DM21" s="287"/>
      <c r="DN21" s="288"/>
      <c r="DO21" s="288"/>
      <c r="DP21" s="288"/>
      <c r="DQ21" s="288"/>
      <c r="DR21" s="288"/>
      <c r="DS21" s="287"/>
      <c r="DT21" s="287"/>
      <c r="DU21" s="287"/>
      <c r="DV21" s="287"/>
      <c r="DW21" s="287"/>
      <c r="DX21" s="259"/>
      <c r="DY21" s="279"/>
      <c r="DZ21" s="285"/>
    </row>
    <row r="22" spans="1:147" ht="18" customHeight="1" thickBot="1">
      <c r="A22" s="269"/>
      <c r="B22" s="3"/>
      <c r="C22" s="3"/>
      <c r="D22" s="3"/>
      <c r="E22" s="3"/>
      <c r="F22" s="3"/>
      <c r="G22" s="3"/>
      <c r="H22" s="3"/>
      <c r="I22" s="3"/>
      <c r="J22" s="3"/>
      <c r="K22" s="3"/>
      <c r="L22" s="3"/>
      <c r="M22" s="3"/>
      <c r="N22" s="3"/>
      <c r="O22" s="3"/>
      <c r="P22" s="3"/>
      <c r="Q22" s="3"/>
      <c r="R22" s="3"/>
      <c r="S22" s="3"/>
      <c r="T22" s="3"/>
      <c r="U22" s="3"/>
      <c r="V22" s="96"/>
      <c r="W22" s="87"/>
      <c r="X22" s="87"/>
      <c r="Y22" s="87"/>
      <c r="Z22" s="87"/>
      <c r="AA22" s="87"/>
      <c r="AB22" s="87"/>
      <c r="AC22" s="11"/>
      <c r="AD22" s="3"/>
      <c r="AE22" s="3"/>
      <c r="AF22" s="3"/>
      <c r="AG22" s="3"/>
      <c r="AH22" s="3"/>
      <c r="AI22" s="113"/>
      <c r="AJ22" s="107"/>
      <c r="AK22" s="66"/>
      <c r="AL22" s="333">
        <v>38</v>
      </c>
      <c r="AM22" s="333"/>
      <c r="AN22" s="333"/>
      <c r="AO22" s="67"/>
      <c r="AP22" s="60"/>
      <c r="AQ22" s="300" t="s">
        <v>12</v>
      </c>
      <c r="AR22" s="301"/>
      <c r="AS22" s="301"/>
      <c r="AT22" s="301"/>
      <c r="AU22" s="302"/>
      <c r="AV22" s="60"/>
      <c r="AW22" s="306"/>
      <c r="AX22" s="214" t="str">
        <f>IF($CR$28="您破產了!","",IF(VLOOKUP("o",cal!$B:$G,3,FALSE)=AX23,cal!$B$1,""))</f>
        <v/>
      </c>
      <c r="AY22" s="260"/>
      <c r="AZ22" s="214" t="str">
        <f>IF($DM$28="您破產了!","",IF(VLOOKUP("o",cal!$L:$Q,3,FALSE)=AX23,cal!$L$1,""))</f>
        <v/>
      </c>
      <c r="BA22" s="307"/>
      <c r="BB22" s="60"/>
      <c r="BC22" s="60"/>
      <c r="BD22" s="112"/>
      <c r="BE22" s="306"/>
      <c r="BF22" s="326">
        <v>15</v>
      </c>
      <c r="BG22" s="326"/>
      <c r="BH22" s="326"/>
      <c r="BI22" s="307"/>
      <c r="BJ22" s="114"/>
      <c r="BK22" s="60"/>
      <c r="BL22" s="60"/>
      <c r="BM22" s="66"/>
      <c r="BN22" s="210" t="str">
        <f>IF($CR$32="您破產了!","",IF(VLOOKUP("o",cal!$V:$AA,3,FALSE)=BN21,cal!$V$1,""))</f>
        <v/>
      </c>
      <c r="BO22" s="261"/>
      <c r="BP22" s="210" t="str">
        <f>IF($DM$32="您破產了!","",IF(VLOOKUP("o",cal!$AF:$AK,3,FALSE)=BN21,cal!$AF$1,""))</f>
        <v/>
      </c>
      <c r="BQ22" s="67"/>
      <c r="BR22" s="60"/>
      <c r="BS22" s="60"/>
      <c r="BT22" s="60"/>
      <c r="BU22" s="3"/>
      <c r="BV22" s="3"/>
      <c r="BW22" s="3"/>
      <c r="BX22" s="3"/>
      <c r="BY22" s="3"/>
      <c r="BZ22" s="60"/>
      <c r="CA22" s="306"/>
      <c r="CB22" s="214" t="str">
        <f>IF($CR$32="您破產了!","",IF(VLOOKUP("o",cal!$V:$AA,3,FALSE)=CB21,cal!$V$1,""))</f>
        <v/>
      </c>
      <c r="CC22" s="213"/>
      <c r="CD22" s="214" t="str">
        <f>IF($DM$32="您破產了!","",IF(VLOOKUP("o",cal!$AF:$AK,3,FALSE)=CB21,cal!$AF$1,""))</f>
        <v/>
      </c>
      <c r="CE22" s="307"/>
      <c r="CF22" s="3"/>
      <c r="CG22" s="3"/>
      <c r="CH22" s="3"/>
      <c r="CI22" s="3"/>
      <c r="CJ22" s="3"/>
      <c r="CK22" s="3"/>
      <c r="CL22" s="8"/>
      <c r="CM22" s="270"/>
      <c r="CN22" s="271"/>
      <c r="CO22" s="1"/>
      <c r="CP22" s="2"/>
      <c r="CQ22" s="212"/>
      <c r="CR22" s="287"/>
      <c r="CS22" s="288"/>
      <c r="CT22" s="288"/>
      <c r="CU22" s="288"/>
      <c r="CV22" s="288"/>
      <c r="CW22" s="288"/>
      <c r="CX22" s="289" t="str">
        <f>VLOOKUP(VLOOKUP("o",cal!$B:$J,3,FALSE),lok!$T:$U,2,FALSE)</f>
        <v>青山</v>
      </c>
      <c r="CY22" s="289"/>
      <c r="CZ22" s="289"/>
      <c r="DA22" s="289"/>
      <c r="DB22" s="289"/>
      <c r="DC22" s="274"/>
      <c r="DD22" s="274"/>
      <c r="DE22" s="274"/>
      <c r="DF22" s="274"/>
      <c r="DG22" s="259"/>
      <c r="DH22" s="259"/>
      <c r="DI22" s="259"/>
      <c r="DJ22" s="259"/>
      <c r="DK22" s="259"/>
      <c r="DL22" s="259"/>
      <c r="DM22" s="287"/>
      <c r="DN22" s="288"/>
      <c r="DO22" s="288"/>
      <c r="DP22" s="288"/>
      <c r="DQ22" s="288"/>
      <c r="DR22" s="288"/>
      <c r="DS22" s="289" t="str">
        <f>VLOOKUP(VLOOKUP("o",cal!$L:$T,3,FALSE),lok!$T:$U,2,FALSE)</f>
        <v>青山</v>
      </c>
      <c r="DT22" s="289"/>
      <c r="DU22" s="289"/>
      <c r="DV22" s="289"/>
      <c r="DW22" s="289"/>
      <c r="DX22" s="259"/>
      <c r="DY22" s="279"/>
      <c r="DZ22" s="285"/>
    </row>
    <row r="23" spans="1:147" ht="18" customHeight="1" thickBot="1">
      <c r="A23" s="269"/>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115"/>
      <c r="AL23" s="210" t="str">
        <f>IF($CR$32="您破產了!","",IF(VLOOKUP("o",cal!$V:$AA,3,FALSE)=AL22,cal!$V$1,""))</f>
        <v/>
      </c>
      <c r="AM23" s="261"/>
      <c r="AN23" s="210" t="str">
        <f>IF($DM$32="您破產了!","",IF(VLOOKUP("o",cal!$AF:$AK,3,FALSE)=AL22,cal!$AF$1,""))</f>
        <v/>
      </c>
      <c r="AO23" s="67"/>
      <c r="AP23" s="60"/>
      <c r="AQ23" s="306"/>
      <c r="AR23" s="214" t="str">
        <f>IF($CR$28="您破產了!","",IF(VLOOKUP("o",cal!$B:$G,3,FALSE)=AR24,cal!$B$1,""))</f>
        <v/>
      </c>
      <c r="AS23" s="260"/>
      <c r="AT23" s="214" t="str">
        <f>IF($DM$28="您破產了!","",IF(VLOOKUP("o",cal!$L:$Q,3,FALSE)=AR24,cal!$L$1,""))</f>
        <v/>
      </c>
      <c r="AU23" s="307"/>
      <c r="AV23" s="116"/>
      <c r="AW23" s="306"/>
      <c r="AX23" s="326">
        <v>12</v>
      </c>
      <c r="AY23" s="326"/>
      <c r="AZ23" s="326"/>
      <c r="BA23" s="307"/>
      <c r="BB23" s="60"/>
      <c r="BC23" s="83"/>
      <c r="BD23" s="60"/>
      <c r="BE23" s="306"/>
      <c r="BF23" s="214" t="str">
        <f>IF($CR$32="您破產了!","",IF(VLOOKUP("o",cal!$V:$AA,3,FALSE)=BF22,cal!$V$1,""))</f>
        <v/>
      </c>
      <c r="BG23" s="213"/>
      <c r="BH23" s="214" t="str">
        <f>IF($DM$32="您破產了!","",IF(VLOOKUP("o",cal!$AF:$AK,3,FALSE)=BF22,cal!$AF$1,""))</f>
        <v/>
      </c>
      <c r="BI23" s="307"/>
      <c r="BJ23" s="3"/>
      <c r="BK23" s="117"/>
      <c r="BL23" s="60"/>
      <c r="BM23" s="334"/>
      <c r="BN23" s="335"/>
      <c r="BO23" s="335"/>
      <c r="BP23" s="335"/>
      <c r="BQ23" s="336"/>
      <c r="BR23" s="60"/>
      <c r="BS23" s="60"/>
      <c r="BT23" s="60"/>
      <c r="BU23" s="118"/>
      <c r="BV23" s="118"/>
      <c r="BW23" s="119"/>
      <c r="BX23" s="3"/>
      <c r="BY23" s="3"/>
      <c r="BZ23" s="3"/>
      <c r="CA23" s="303">
        <f>VLOOKUP(CB21,cal!$BE:$BJ,5,FALSE)</f>
        <v>1200</v>
      </c>
      <c r="CB23" s="304"/>
      <c r="CC23" s="304"/>
      <c r="CD23" s="304"/>
      <c r="CE23" s="305"/>
      <c r="CF23" s="3"/>
      <c r="CG23" s="3"/>
      <c r="CH23" s="3"/>
      <c r="CI23" s="3"/>
      <c r="CJ23" s="3"/>
      <c r="CK23" s="3"/>
      <c r="CL23" s="8"/>
      <c r="CM23" s="270"/>
      <c r="CN23" s="271"/>
      <c r="CO23" s="1"/>
      <c r="CP23" s="2"/>
      <c r="CQ23" s="212"/>
      <c r="CR23" s="287"/>
      <c r="CS23" s="288"/>
      <c r="CT23" s="288"/>
      <c r="CU23" s="288"/>
      <c r="CV23" s="288"/>
      <c r="CW23" s="288"/>
      <c r="CX23" s="289"/>
      <c r="CY23" s="289"/>
      <c r="CZ23" s="289"/>
      <c r="DA23" s="289"/>
      <c r="DB23" s="289"/>
      <c r="DC23" s="274"/>
      <c r="DD23" s="274"/>
      <c r="DE23" s="274"/>
      <c r="DF23" s="274"/>
      <c r="DG23" s="259"/>
      <c r="DH23" s="259"/>
      <c r="DI23" s="259"/>
      <c r="DJ23" s="259"/>
      <c r="DK23" s="259"/>
      <c r="DL23" s="259"/>
      <c r="DM23" s="287"/>
      <c r="DN23" s="288"/>
      <c r="DO23" s="288"/>
      <c r="DP23" s="288"/>
      <c r="DQ23" s="288"/>
      <c r="DR23" s="288"/>
      <c r="DS23" s="289"/>
      <c r="DT23" s="289"/>
      <c r="DU23" s="289"/>
      <c r="DV23" s="289"/>
      <c r="DW23" s="289"/>
      <c r="DX23" s="259"/>
      <c r="DY23" s="279"/>
      <c r="DZ23" s="285"/>
      <c r="EA23" s="262"/>
      <c r="EB23" s="262"/>
      <c r="EC23" s="262"/>
      <c r="ED23" s="262"/>
      <c r="EE23" s="262"/>
      <c r="EF23" s="262"/>
      <c r="EG23" s="262"/>
      <c r="EH23" s="262"/>
      <c r="EI23" s="262"/>
      <c r="EJ23" s="262"/>
      <c r="EK23" s="262"/>
      <c r="EL23" s="262"/>
      <c r="EM23" s="262"/>
      <c r="EN23" s="262"/>
      <c r="EO23" s="262"/>
      <c r="EP23" s="262"/>
      <c r="EQ23" s="262"/>
    </row>
    <row r="24" spans="1:147" ht="18" customHeight="1" thickBot="1">
      <c r="A24" s="269"/>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34"/>
      <c r="AL24" s="335"/>
      <c r="AM24" s="335"/>
      <c r="AN24" s="335"/>
      <c r="AO24" s="336"/>
      <c r="AP24" s="60"/>
      <c r="AQ24" s="306"/>
      <c r="AR24" s="326">
        <v>11</v>
      </c>
      <c r="AS24" s="326"/>
      <c r="AT24" s="326"/>
      <c r="AU24" s="307"/>
      <c r="AV24" s="60"/>
      <c r="AW24" s="306"/>
      <c r="AX24" s="214" t="str">
        <f>IF($CR$32="您破產了!","",IF(VLOOKUP("o",cal!$V:$AA,3,FALSE)=AX23,cal!$V$1,""))</f>
        <v/>
      </c>
      <c r="AY24" s="213"/>
      <c r="AZ24" s="214" t="str">
        <f>IF($DM$32="您破產了!","",IF(VLOOKUP("o",cal!$AF:$AK,3,FALSE)=AX23,cal!$AF$1,""))</f>
        <v/>
      </c>
      <c r="BA24" s="307"/>
      <c r="BB24" s="60"/>
      <c r="BC24" s="83"/>
      <c r="BD24" s="60"/>
      <c r="BE24" s="303">
        <f>VLOOKUP(BF22,cal!$BE:$BJ,5,FALSE)</f>
        <v>900</v>
      </c>
      <c r="BF24" s="304"/>
      <c r="BG24" s="304"/>
      <c r="BH24" s="304"/>
      <c r="BI24" s="305"/>
      <c r="BJ24" s="3"/>
      <c r="BK24" s="120"/>
      <c r="BL24" s="109"/>
      <c r="BM24" s="109"/>
      <c r="BN24" s="109"/>
      <c r="BO24" s="109"/>
      <c r="BP24" s="109"/>
      <c r="BQ24" s="109"/>
      <c r="BR24" s="109"/>
      <c r="BS24" s="109"/>
      <c r="BT24" s="109"/>
      <c r="BU24" s="109"/>
      <c r="BV24" s="109"/>
      <c r="BW24" s="121"/>
      <c r="BX24" s="3"/>
      <c r="BY24" s="3"/>
      <c r="BZ24" s="3"/>
      <c r="CA24" s="3"/>
      <c r="CB24" s="104"/>
      <c r="CC24" s="3"/>
      <c r="CD24" s="3"/>
      <c r="CE24" s="3"/>
      <c r="CF24" s="3"/>
      <c r="CG24" s="3"/>
      <c r="CH24" s="3"/>
      <c r="CI24" s="3"/>
      <c r="CJ24" s="3"/>
      <c r="CK24" s="3"/>
      <c r="CL24" s="8"/>
      <c r="CM24" s="270"/>
      <c r="CN24" s="271"/>
      <c r="CO24" s="2"/>
      <c r="CP24" s="2"/>
      <c r="CQ24" s="212"/>
      <c r="CR24" s="295" t="s">
        <v>228</v>
      </c>
      <c r="CS24" s="295"/>
      <c r="CT24" s="295"/>
      <c r="CU24" s="295"/>
      <c r="CV24" s="295"/>
      <c r="CW24" s="295"/>
      <c r="CX24" s="295"/>
      <c r="CY24" s="290">
        <f>cal!AV2</f>
        <v>20000</v>
      </c>
      <c r="CZ24" s="290"/>
      <c r="DA24" s="290"/>
      <c r="DB24" s="290"/>
      <c r="DC24" s="290"/>
      <c r="DD24" s="290"/>
      <c r="DE24" s="273"/>
      <c r="DF24" s="273"/>
      <c r="DG24" s="259"/>
      <c r="DH24" s="259"/>
      <c r="DI24" s="273"/>
      <c r="DJ24" s="273"/>
      <c r="DK24" s="273"/>
      <c r="DL24" s="273"/>
      <c r="DM24" s="295" t="s">
        <v>229</v>
      </c>
      <c r="DN24" s="295"/>
      <c r="DO24" s="295"/>
      <c r="DP24" s="295"/>
      <c r="DQ24" s="295"/>
      <c r="DR24" s="295"/>
      <c r="DS24" s="295"/>
      <c r="DT24" s="290">
        <f>cal!AV3</f>
        <v>20000</v>
      </c>
      <c r="DU24" s="290"/>
      <c r="DV24" s="290"/>
      <c r="DW24" s="290"/>
      <c r="DX24" s="290"/>
      <c r="DY24" s="291"/>
      <c r="DZ24" s="285"/>
      <c r="EA24" s="262"/>
      <c r="EB24" s="262"/>
      <c r="EC24" s="262"/>
      <c r="ED24" s="262"/>
      <c r="EE24" s="262"/>
      <c r="EF24" s="262"/>
      <c r="EG24" s="262"/>
      <c r="EH24" s="262"/>
      <c r="EI24" s="262"/>
      <c r="EJ24" s="262"/>
      <c r="EK24" s="262"/>
      <c r="EL24" s="262"/>
      <c r="EM24" s="262"/>
      <c r="EN24" s="262"/>
      <c r="EO24" s="262"/>
      <c r="EP24" s="262"/>
      <c r="EQ24" s="262"/>
    </row>
    <row r="25" spans="1:147" ht="18" customHeight="1" thickBot="1">
      <c r="A25" s="269"/>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104"/>
      <c r="AL25" s="122"/>
      <c r="AM25" s="3"/>
      <c r="AN25" s="113"/>
      <c r="AO25" s="87"/>
      <c r="AP25" s="123"/>
      <c r="AQ25" s="306"/>
      <c r="AR25" s="214" t="str">
        <f>IF($CR$32="您破產了!","",IF(VLOOKUP("o",cal!$V:$AA,3,FALSE)=AR24,cal!$V$1,""))</f>
        <v/>
      </c>
      <c r="AS25" s="213"/>
      <c r="AT25" s="214" t="str">
        <f>IF($DM$32="您破產了!","",IF(VLOOKUP("o",cal!$AF:$AK,3,FALSE)=AR24,cal!$AF$1,""))</f>
        <v/>
      </c>
      <c r="AU25" s="307"/>
      <c r="AV25" s="60"/>
      <c r="AW25" s="303">
        <f>VLOOKUP(AX23,cal!$BE:$BJ,5,FALSE)</f>
        <v>1500</v>
      </c>
      <c r="AX25" s="304"/>
      <c r="AY25" s="304"/>
      <c r="AZ25" s="304"/>
      <c r="BA25" s="305"/>
      <c r="BB25" s="60"/>
      <c r="BC25" s="72"/>
      <c r="BD25" s="124"/>
      <c r="BE25" s="60"/>
      <c r="BF25" s="60"/>
      <c r="BG25" s="60"/>
      <c r="BH25" s="125"/>
      <c r="BI25" s="3"/>
      <c r="BJ25" s="3"/>
      <c r="BK25" s="3"/>
      <c r="BL25" s="3"/>
      <c r="BM25" s="3"/>
      <c r="BN25" s="3"/>
      <c r="BO25" s="3"/>
      <c r="BP25" s="3"/>
      <c r="BQ25" s="3"/>
      <c r="BR25" s="3"/>
      <c r="BS25" s="3"/>
      <c r="BT25" s="3"/>
      <c r="BU25" s="3"/>
      <c r="BV25" s="3"/>
      <c r="BW25" s="3"/>
      <c r="BX25" s="3"/>
      <c r="BY25" s="26"/>
      <c r="BZ25" s="26"/>
      <c r="CA25" s="26"/>
      <c r="CB25" s="126"/>
      <c r="CC25" s="3"/>
      <c r="CD25" s="3"/>
      <c r="CE25" s="3"/>
      <c r="CF25" s="3"/>
      <c r="CG25" s="3"/>
      <c r="CH25" s="3"/>
      <c r="CI25" s="3"/>
      <c r="CJ25" s="3"/>
      <c r="CK25" s="3"/>
      <c r="CL25" s="8"/>
      <c r="CM25" s="270"/>
      <c r="CN25" s="271"/>
      <c r="CO25" s="2"/>
      <c r="CP25" s="2"/>
      <c r="CQ25" s="212"/>
      <c r="CR25" s="295"/>
      <c r="CS25" s="295"/>
      <c r="CT25" s="295"/>
      <c r="CU25" s="295"/>
      <c r="CV25" s="295"/>
      <c r="CW25" s="295"/>
      <c r="CX25" s="295"/>
      <c r="CY25" s="290"/>
      <c r="CZ25" s="290"/>
      <c r="DA25" s="290"/>
      <c r="DB25" s="290"/>
      <c r="DC25" s="290"/>
      <c r="DD25" s="290"/>
      <c r="DE25" s="273"/>
      <c r="DF25" s="273"/>
      <c r="DG25" s="259"/>
      <c r="DH25" s="259"/>
      <c r="DI25" s="273"/>
      <c r="DJ25" s="273"/>
      <c r="DK25" s="273"/>
      <c r="DL25" s="273"/>
      <c r="DM25" s="295"/>
      <c r="DN25" s="295"/>
      <c r="DO25" s="295"/>
      <c r="DP25" s="295"/>
      <c r="DQ25" s="295"/>
      <c r="DR25" s="295"/>
      <c r="DS25" s="295"/>
      <c r="DT25" s="290"/>
      <c r="DU25" s="290"/>
      <c r="DV25" s="290"/>
      <c r="DW25" s="290"/>
      <c r="DX25" s="290"/>
      <c r="DY25" s="291"/>
      <c r="DZ25" s="285"/>
      <c r="EA25" s="262"/>
      <c r="EB25" s="262"/>
      <c r="EC25" s="262"/>
      <c r="ED25" s="262"/>
      <c r="EE25" s="262"/>
      <c r="EF25" s="262"/>
      <c r="EG25" s="262"/>
      <c r="EH25" s="262"/>
      <c r="EI25" s="262"/>
      <c r="EJ25" s="262"/>
      <c r="EK25" s="262"/>
      <c r="EL25" s="262"/>
      <c r="EM25" s="262"/>
      <c r="EN25" s="262"/>
      <c r="EO25" s="262"/>
      <c r="EP25" s="262"/>
      <c r="EQ25" s="262"/>
    </row>
    <row r="26" spans="1:147" ht="18" customHeight="1" thickBot="1">
      <c r="A26" s="269"/>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43"/>
      <c r="AL26" s="3"/>
      <c r="AM26" s="3"/>
      <c r="AN26" s="3"/>
      <c r="AO26" s="3"/>
      <c r="AP26" s="3"/>
      <c r="AQ26" s="303">
        <f>VLOOKUP(AR24,cal!$BE:$BJ,5,FALSE)</f>
        <v>900</v>
      </c>
      <c r="AR26" s="304"/>
      <c r="AS26" s="304"/>
      <c r="AT26" s="304"/>
      <c r="AU26" s="305"/>
      <c r="AV26" s="60"/>
      <c r="AW26" s="60"/>
      <c r="AX26" s="93"/>
      <c r="AY26" s="94"/>
      <c r="AZ26" s="60"/>
      <c r="BA26" s="60"/>
      <c r="BB26" s="60"/>
      <c r="BC26" s="327" t="s">
        <v>233</v>
      </c>
      <c r="BD26" s="328"/>
      <c r="BE26" s="328"/>
      <c r="BF26" s="328"/>
      <c r="BG26" s="329"/>
      <c r="BH26" s="127"/>
      <c r="BI26" s="3"/>
      <c r="BJ26" s="3"/>
      <c r="BK26" s="3"/>
      <c r="BL26" s="3"/>
      <c r="BM26" s="3"/>
      <c r="BN26" s="3"/>
      <c r="BO26" s="3"/>
      <c r="BP26" s="3"/>
      <c r="BQ26" s="3"/>
      <c r="BR26" s="3"/>
      <c r="BS26" s="3"/>
      <c r="BT26" s="3"/>
      <c r="BU26" s="3"/>
      <c r="BV26" s="3"/>
      <c r="BW26" s="3"/>
      <c r="BX26" s="43"/>
      <c r="BY26" s="3"/>
      <c r="BZ26" s="3"/>
      <c r="CA26" s="3"/>
      <c r="CB26" s="3"/>
      <c r="CC26" s="3"/>
      <c r="CD26" s="3"/>
      <c r="CE26" s="3"/>
      <c r="CF26" s="3"/>
      <c r="CG26" s="3"/>
      <c r="CH26" s="3"/>
      <c r="CI26" s="3"/>
      <c r="CJ26" s="3"/>
      <c r="CK26" s="3"/>
      <c r="CL26" s="8"/>
      <c r="CM26" s="270"/>
      <c r="CN26" s="271"/>
      <c r="CO26" s="2"/>
      <c r="CP26" s="2"/>
      <c r="CQ26" s="212"/>
      <c r="CR26" s="294" t="s">
        <v>251</v>
      </c>
      <c r="CS26" s="294"/>
      <c r="CT26" s="294"/>
      <c r="CU26" s="294"/>
      <c r="CV26" s="294"/>
      <c r="CW26" s="294"/>
      <c r="CX26" s="294"/>
      <c r="CY26" s="292" t="str">
        <f>cal!AX2 &amp; " ("&amp;cal!AW2&amp;")"</f>
        <v>0 (0)</v>
      </c>
      <c r="CZ26" s="292"/>
      <c r="DA26" s="292"/>
      <c r="DB26" s="292"/>
      <c r="DC26" s="292"/>
      <c r="DD26" s="292"/>
      <c r="DE26" s="275"/>
      <c r="DF26" s="275"/>
      <c r="DG26" s="259"/>
      <c r="DH26" s="259"/>
      <c r="DI26" s="275"/>
      <c r="DJ26" s="275"/>
      <c r="DK26" s="275"/>
      <c r="DL26" s="275"/>
      <c r="DM26" s="294" t="s">
        <v>251</v>
      </c>
      <c r="DN26" s="294"/>
      <c r="DO26" s="294"/>
      <c r="DP26" s="294"/>
      <c r="DQ26" s="294"/>
      <c r="DR26" s="294"/>
      <c r="DS26" s="294"/>
      <c r="DT26" s="292" t="str">
        <f>cal!AX3 &amp; " ("&amp;cal!AW3&amp;")"</f>
        <v>0 (0)</v>
      </c>
      <c r="DU26" s="292"/>
      <c r="DV26" s="292"/>
      <c r="DW26" s="292"/>
      <c r="DX26" s="292"/>
      <c r="DY26" s="293"/>
      <c r="DZ26" s="285"/>
      <c r="EA26" s="262"/>
      <c r="EB26" s="262"/>
      <c r="EC26" s="262"/>
      <c r="ED26" s="262"/>
      <c r="EE26" s="262"/>
      <c r="EF26" s="262"/>
      <c r="EG26" s="262"/>
      <c r="EH26" s="262"/>
      <c r="EI26" s="262"/>
      <c r="EJ26" s="262"/>
      <c r="EK26" s="262"/>
      <c r="EL26" s="262"/>
      <c r="EM26" s="262"/>
      <c r="EN26" s="262"/>
      <c r="EO26" s="262"/>
      <c r="EP26" s="262"/>
      <c r="EQ26" s="262"/>
    </row>
    <row r="27" spans="1:147" ht="18" customHeight="1" thickBot="1">
      <c r="A27" s="269"/>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128"/>
      <c r="AL27" s="54"/>
      <c r="AM27" s="3"/>
      <c r="AN27" s="3"/>
      <c r="AO27" s="3"/>
      <c r="AP27" s="3"/>
      <c r="AQ27" s="3"/>
      <c r="AR27" s="120"/>
      <c r="AS27" s="109"/>
      <c r="AT27" s="109"/>
      <c r="AU27" s="60"/>
      <c r="AV27" s="60"/>
      <c r="AW27" s="300" t="s">
        <v>14</v>
      </c>
      <c r="AX27" s="301"/>
      <c r="AY27" s="301"/>
      <c r="AZ27" s="301"/>
      <c r="BA27" s="302"/>
      <c r="BB27" s="60"/>
      <c r="BC27" s="66"/>
      <c r="BD27" s="210" t="str">
        <f>IF($CR$28="您破產了!","",IF(VLOOKUP("o",cal!$B:$G,3,FALSE)=BD28,cal!$B$1,""))</f>
        <v/>
      </c>
      <c r="BE27" s="261"/>
      <c r="BF27" s="210" t="str">
        <f>IF($DM$28="您破產了!","",IF(VLOOKUP("o",cal!$L:$Q,3,FALSE)=BD28,cal!$L$1,""))</f>
        <v/>
      </c>
      <c r="BG27" s="67"/>
      <c r="BH27" s="127"/>
      <c r="BI27" s="3"/>
      <c r="BJ27" s="3"/>
      <c r="BK27" s="3"/>
      <c r="BL27" s="3"/>
      <c r="BM27" s="3"/>
      <c r="BN27" s="3"/>
      <c r="BO27" s="3"/>
      <c r="BP27" s="3"/>
      <c r="BQ27" s="3"/>
      <c r="BR27" s="3"/>
      <c r="BS27" s="3"/>
      <c r="BT27" s="3"/>
      <c r="BU27" s="3"/>
      <c r="BV27" s="3"/>
      <c r="BW27" s="3"/>
      <c r="BX27" s="43"/>
      <c r="BY27" s="3"/>
      <c r="BZ27" s="3"/>
      <c r="CA27" s="3"/>
      <c r="CB27" s="3"/>
      <c r="CC27" s="3"/>
      <c r="CD27" s="3"/>
      <c r="CE27" s="3"/>
      <c r="CF27" s="3"/>
      <c r="CG27" s="3"/>
      <c r="CH27" s="3"/>
      <c r="CI27" s="3"/>
      <c r="CJ27" s="3"/>
      <c r="CK27" s="3"/>
      <c r="CL27" s="8"/>
      <c r="CM27" s="270"/>
      <c r="CN27" s="271"/>
      <c r="CO27" s="2"/>
      <c r="CP27" s="2"/>
      <c r="CQ27" s="212"/>
      <c r="CR27" s="294"/>
      <c r="CS27" s="294"/>
      <c r="CT27" s="294"/>
      <c r="CU27" s="294"/>
      <c r="CV27" s="294"/>
      <c r="CW27" s="294"/>
      <c r="CX27" s="294"/>
      <c r="CY27" s="292"/>
      <c r="CZ27" s="292"/>
      <c r="DA27" s="292"/>
      <c r="DB27" s="292"/>
      <c r="DC27" s="292"/>
      <c r="DD27" s="292"/>
      <c r="DE27" s="275"/>
      <c r="DF27" s="275"/>
      <c r="DG27" s="259"/>
      <c r="DH27" s="259"/>
      <c r="DI27" s="275"/>
      <c r="DJ27" s="275"/>
      <c r="DK27" s="275"/>
      <c r="DL27" s="275"/>
      <c r="DM27" s="294"/>
      <c r="DN27" s="294"/>
      <c r="DO27" s="294"/>
      <c r="DP27" s="294"/>
      <c r="DQ27" s="294"/>
      <c r="DR27" s="294"/>
      <c r="DS27" s="294"/>
      <c r="DT27" s="292"/>
      <c r="DU27" s="292"/>
      <c r="DV27" s="292"/>
      <c r="DW27" s="292"/>
      <c r="DX27" s="292"/>
      <c r="DY27" s="293"/>
      <c r="EA27" s="262"/>
      <c r="EB27" s="262"/>
      <c r="EC27" s="262"/>
      <c r="ED27" s="262"/>
      <c r="EE27" s="262"/>
      <c r="EF27" s="262"/>
      <c r="EG27" s="262"/>
      <c r="EH27" s="262"/>
      <c r="EI27" s="262"/>
      <c r="EJ27" s="262"/>
      <c r="EK27" s="262"/>
      <c r="EL27" s="262"/>
      <c r="EM27" s="262"/>
      <c r="EN27" s="262"/>
      <c r="EO27" s="262"/>
      <c r="EP27" s="262"/>
      <c r="EQ27" s="262"/>
    </row>
    <row r="28" spans="1:147" ht="18" customHeight="1" thickBot="1">
      <c r="A28" s="269"/>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00" t="s">
        <v>35</v>
      </c>
      <c r="AJ28" s="301"/>
      <c r="AK28" s="301"/>
      <c r="AL28" s="301"/>
      <c r="AM28" s="302"/>
      <c r="AN28" s="3"/>
      <c r="AO28" s="3"/>
      <c r="AP28" s="3"/>
      <c r="AQ28" s="3"/>
      <c r="AR28" s="3"/>
      <c r="AS28" s="3"/>
      <c r="AT28" s="3"/>
      <c r="AU28" s="117"/>
      <c r="AV28" s="60"/>
      <c r="AW28" s="306"/>
      <c r="AX28" s="214" t="str">
        <f>IF($CR$28="您破產了!","",IF(VLOOKUP("o",cal!$B:$G,3,FALSE)=AX29,cal!$B$1,""))</f>
        <v/>
      </c>
      <c r="AY28" s="260"/>
      <c r="AZ28" s="214" t="str">
        <f>IF($DM$28="您破產了!","",IF(VLOOKUP("o",cal!$L:$Q,3,FALSE)=AX29,cal!$L$1,""))</f>
        <v/>
      </c>
      <c r="BA28" s="307"/>
      <c r="BB28" s="116"/>
      <c r="BC28" s="66"/>
      <c r="BD28" s="333">
        <v>14</v>
      </c>
      <c r="BE28" s="333"/>
      <c r="BF28" s="333"/>
      <c r="BG28" s="67"/>
      <c r="BH28" s="121"/>
      <c r="BI28" s="3"/>
      <c r="BJ28" s="3"/>
      <c r="BK28" s="3"/>
      <c r="BL28" s="3"/>
      <c r="BM28" s="3"/>
      <c r="BN28" s="3"/>
      <c r="BO28" s="3"/>
      <c r="BP28" s="3"/>
      <c r="BQ28" s="3"/>
      <c r="BR28" s="3"/>
      <c r="BS28" s="3"/>
      <c r="BT28" s="3"/>
      <c r="BU28" s="3"/>
      <c r="BV28" s="3"/>
      <c r="BW28" s="3"/>
      <c r="BX28" s="43"/>
      <c r="BY28" s="3"/>
      <c r="BZ28" s="3"/>
      <c r="CA28" s="3"/>
      <c r="CB28" s="3"/>
      <c r="CC28" s="3"/>
      <c r="CD28" s="3"/>
      <c r="CE28" s="3"/>
      <c r="CF28" s="3"/>
      <c r="CG28" s="3"/>
      <c r="CH28" s="3"/>
      <c r="CI28" s="3"/>
      <c r="CJ28" s="3"/>
      <c r="CK28" s="3"/>
      <c r="CL28" s="8"/>
      <c r="CM28" s="270"/>
      <c r="CN28" s="271"/>
      <c r="CO28" s="2"/>
      <c r="CP28" s="2"/>
      <c r="CQ28" s="212"/>
      <c r="CR28" s="299" t="str">
        <f>IF(AND(cal!AW2=0,CY24+cal!AX2&lt;0),"您破產了!",IF(AND(DT24+cal!AX3&lt;0,CY40+cal!AX4&lt;0,DT40+cal!AX5&lt;0),"勝利!",IF(CY24&lt;0,"錢不夠!","")))</f>
        <v/>
      </c>
      <c r="CS28" s="299"/>
      <c r="CT28" s="299"/>
      <c r="CU28" s="299"/>
      <c r="CV28" s="299"/>
      <c r="CW28" s="299"/>
      <c r="CX28" s="299"/>
      <c r="CY28" s="299"/>
      <c r="CZ28" s="299"/>
      <c r="DA28" s="299"/>
      <c r="DB28" s="299"/>
      <c r="DC28" s="273"/>
      <c r="DD28" s="212"/>
      <c r="DE28" s="212"/>
      <c r="DF28" s="259"/>
      <c r="DG28" s="212"/>
      <c r="DH28" s="212"/>
      <c r="DI28" s="259"/>
      <c r="DJ28" s="259"/>
      <c r="DK28" s="273"/>
      <c r="DL28" s="273"/>
      <c r="DM28" s="299" t="str">
        <f>IF(AND(cal!AW3=0,DT24+cal!AX3&lt;0),"您破產了!",IF(AND(CY24+cal!AX2&lt;0,CY40+cal!AX4&lt;0,DT40+cal!AX5&lt;0),"勝利!",IF(DT24&lt;0,"錢不夠!","")))</f>
        <v/>
      </c>
      <c r="DN28" s="299"/>
      <c r="DO28" s="299"/>
      <c r="DP28" s="299"/>
      <c r="DQ28" s="299"/>
      <c r="DR28" s="299"/>
      <c r="DS28" s="299"/>
      <c r="DT28" s="299"/>
      <c r="DU28" s="299"/>
      <c r="DV28" s="299"/>
      <c r="DW28" s="299"/>
      <c r="DX28" s="259"/>
      <c r="DY28" s="279"/>
      <c r="DZ28" s="285"/>
      <c r="EA28" s="262"/>
      <c r="EB28" s="262"/>
      <c r="EC28" s="262"/>
      <c r="ED28" s="262"/>
      <c r="EE28" s="262"/>
      <c r="EF28" s="262"/>
      <c r="EG28" s="262"/>
      <c r="EH28" s="262"/>
      <c r="EI28" s="262"/>
      <c r="EJ28" s="262"/>
      <c r="EK28" s="262"/>
      <c r="EL28" s="262"/>
      <c r="EM28" s="262"/>
      <c r="EN28" s="262"/>
      <c r="EO28" s="262"/>
      <c r="EP28" s="262"/>
      <c r="EQ28" s="262"/>
    </row>
    <row r="29" spans="1:147" ht="18" customHeight="1" thickBot="1">
      <c r="A29" s="269"/>
      <c r="B29" s="3"/>
      <c r="C29" s="3"/>
      <c r="D29" s="3"/>
      <c r="E29" s="3"/>
      <c r="F29" s="3"/>
      <c r="G29" s="3"/>
      <c r="H29" s="3"/>
      <c r="I29" s="3"/>
      <c r="J29" s="129"/>
      <c r="K29" s="130"/>
      <c r="L29" s="3"/>
      <c r="M29" s="3"/>
      <c r="N29" s="3"/>
      <c r="O29" s="3"/>
      <c r="P29" s="3"/>
      <c r="Q29" s="3"/>
      <c r="R29" s="3"/>
      <c r="S29" s="3"/>
      <c r="T29" s="3"/>
      <c r="U29" s="3"/>
      <c r="V29" s="3"/>
      <c r="W29" s="3"/>
      <c r="X29" s="3"/>
      <c r="Y29" s="3"/>
      <c r="Z29" s="9"/>
      <c r="AA29" s="13"/>
      <c r="AB29" s="3"/>
      <c r="AC29" s="3"/>
      <c r="AD29" s="3"/>
      <c r="AE29" s="3"/>
      <c r="AF29" s="26"/>
      <c r="AG29" s="26"/>
      <c r="AH29" s="131"/>
      <c r="AI29" s="306"/>
      <c r="AJ29" s="214" t="str">
        <f>IF($CR$28="您破產了!","",IF(VLOOKUP("o",cal!$B:$G,3,FALSE)=AJ30,cal!$B$1,""))</f>
        <v/>
      </c>
      <c r="AK29" s="260"/>
      <c r="AL29" s="214" t="str">
        <f>IF($DM$28="您破產了!","",IF(VLOOKUP("o",cal!$L:$Q,3,FALSE)=AJ30,cal!$L$1,""))</f>
        <v/>
      </c>
      <c r="AM29" s="307"/>
      <c r="AN29" s="3"/>
      <c r="AO29" s="3"/>
      <c r="AP29" s="3"/>
      <c r="AQ29" s="3"/>
      <c r="AR29" s="3"/>
      <c r="AS29" s="3"/>
      <c r="AT29" s="3"/>
      <c r="AU29" s="120"/>
      <c r="AV29" s="60"/>
      <c r="AW29" s="306"/>
      <c r="AX29" s="326">
        <v>13</v>
      </c>
      <c r="AY29" s="326"/>
      <c r="AZ29" s="326"/>
      <c r="BA29" s="307"/>
      <c r="BB29" s="60"/>
      <c r="BC29" s="66"/>
      <c r="BD29" s="210" t="str">
        <f>IF($CR$32="您破產了!","",IF(VLOOKUP("o",cal!$V:$AA,3,FALSE)=BD28,cal!$V$1,""))</f>
        <v/>
      </c>
      <c r="BE29" s="261"/>
      <c r="BF29" s="210" t="str">
        <f>IF($DM$32="您破產了!","",IF(VLOOKUP("o",cal!$AF:$AK,3,FALSE)=BD28,cal!$AF$1,""))</f>
        <v/>
      </c>
      <c r="BG29" s="67"/>
      <c r="BH29" s="3"/>
      <c r="BI29" s="3"/>
      <c r="BJ29" s="3"/>
      <c r="BK29" s="3"/>
      <c r="BL29" s="3"/>
      <c r="BM29" s="3"/>
      <c r="BN29" s="3"/>
      <c r="BO29" s="3"/>
      <c r="BP29" s="3"/>
      <c r="BQ29" s="3"/>
      <c r="BR29" s="3"/>
      <c r="BS29" s="3"/>
      <c r="BT29" s="3"/>
      <c r="BU29" s="3"/>
      <c r="BV29" s="3"/>
      <c r="BW29" s="3"/>
      <c r="BX29" s="43"/>
      <c r="BY29" s="3"/>
      <c r="BZ29" s="3"/>
      <c r="CA29" s="3"/>
      <c r="CB29" s="3"/>
      <c r="CC29" s="3"/>
      <c r="CD29" s="3"/>
      <c r="CE29" s="3"/>
      <c r="CF29" s="3"/>
      <c r="CG29" s="3"/>
      <c r="CH29" s="3"/>
      <c r="CI29" s="3"/>
      <c r="CJ29" s="3"/>
      <c r="CK29" s="3"/>
      <c r="CL29" s="8"/>
      <c r="CM29" s="270"/>
      <c r="CN29" s="271"/>
      <c r="CO29" s="2"/>
      <c r="CP29" s="2"/>
      <c r="CQ29" s="212"/>
      <c r="CR29" s="299"/>
      <c r="CS29" s="299"/>
      <c r="CT29" s="299"/>
      <c r="CU29" s="299"/>
      <c r="CV29" s="299"/>
      <c r="CW29" s="299"/>
      <c r="CX29" s="299"/>
      <c r="CY29" s="299"/>
      <c r="CZ29" s="299"/>
      <c r="DA29" s="299"/>
      <c r="DB29" s="299"/>
      <c r="DC29" s="287"/>
      <c r="DD29" s="287"/>
      <c r="DE29" s="287"/>
      <c r="DF29" s="287"/>
      <c r="DG29" s="287"/>
      <c r="DH29" s="287"/>
      <c r="DI29" s="287"/>
      <c r="DJ29" s="287"/>
      <c r="DK29" s="287"/>
      <c r="DL29" s="287"/>
      <c r="DM29" s="299"/>
      <c r="DN29" s="299"/>
      <c r="DO29" s="299"/>
      <c r="DP29" s="299"/>
      <c r="DQ29" s="299"/>
      <c r="DR29" s="299"/>
      <c r="DS29" s="299"/>
      <c r="DT29" s="299"/>
      <c r="DU29" s="299"/>
      <c r="DV29" s="299"/>
      <c r="DW29" s="299"/>
      <c r="DX29" s="259"/>
      <c r="DY29" s="279"/>
      <c r="EA29" s="262"/>
      <c r="EI29" s="262"/>
      <c r="EJ29" s="262"/>
      <c r="EK29" s="262"/>
      <c r="EL29" s="262"/>
      <c r="EM29" s="262"/>
      <c r="EN29" s="262"/>
      <c r="EO29" s="262"/>
      <c r="EP29" s="262"/>
      <c r="EQ29" s="262"/>
    </row>
    <row r="30" spans="1:147" ht="18" customHeight="1" thickBot="1">
      <c r="A30" s="269"/>
      <c r="B30" s="3"/>
      <c r="C30" s="3"/>
      <c r="D30" s="3"/>
      <c r="E30" s="3"/>
      <c r="F30" s="3"/>
      <c r="G30" s="3"/>
      <c r="H30" s="327" t="s">
        <v>235</v>
      </c>
      <c r="I30" s="328"/>
      <c r="J30" s="328"/>
      <c r="K30" s="328"/>
      <c r="L30" s="329"/>
      <c r="M30" s="42"/>
      <c r="N30" s="5"/>
      <c r="O30" s="6"/>
      <c r="P30" s="3"/>
      <c r="Q30" s="3"/>
      <c r="R30" s="3"/>
      <c r="S30" s="3"/>
      <c r="T30" s="132"/>
      <c r="U30" s="133"/>
      <c r="V30" s="133"/>
      <c r="W30" s="134"/>
      <c r="X30" s="50"/>
      <c r="Y30" s="50"/>
      <c r="Z30" s="50"/>
      <c r="AA30" s="135"/>
      <c r="AB30" s="133"/>
      <c r="AC30" s="133"/>
      <c r="AD30" s="133"/>
      <c r="AE30" s="133"/>
      <c r="AF30" s="3"/>
      <c r="AG30" s="3"/>
      <c r="AH30" s="136"/>
      <c r="AI30" s="306"/>
      <c r="AJ30" s="326">
        <v>37</v>
      </c>
      <c r="AK30" s="326"/>
      <c r="AL30" s="326"/>
      <c r="AM30" s="307"/>
      <c r="AN30" s="3"/>
      <c r="AO30" s="3"/>
      <c r="AP30" s="3"/>
      <c r="AQ30" s="3"/>
      <c r="AR30" s="3"/>
      <c r="AS30" s="3"/>
      <c r="AT30" s="3"/>
      <c r="AU30" s="3"/>
      <c r="AV30" s="120"/>
      <c r="AW30" s="306"/>
      <c r="AX30" s="214" t="str">
        <f>IF($CR$32="您破產了!","",IF(VLOOKUP("o",cal!$V:$AA,3,FALSE)=AX29,cal!$V$1,""))</f>
        <v/>
      </c>
      <c r="AY30" s="213"/>
      <c r="AZ30" s="214" t="str">
        <f>IF($DM$32="您破產了!","",IF(VLOOKUP("o",cal!$AF:$AK,3,FALSE)=AX29,cal!$AF$1,""))</f>
        <v/>
      </c>
      <c r="BA30" s="307"/>
      <c r="BB30" s="137"/>
      <c r="BC30" s="334"/>
      <c r="BD30" s="335"/>
      <c r="BE30" s="335"/>
      <c r="BF30" s="335"/>
      <c r="BG30" s="336"/>
      <c r="BH30" s="3"/>
      <c r="BI30" s="3"/>
      <c r="BJ30" s="3"/>
      <c r="BK30" s="3"/>
      <c r="BL30" s="3"/>
      <c r="BM30" s="3"/>
      <c r="BN30" s="3"/>
      <c r="BO30" s="3"/>
      <c r="BP30" s="3"/>
      <c r="BQ30" s="3"/>
      <c r="BR30" s="3"/>
      <c r="BS30" s="3"/>
      <c r="BT30" s="3"/>
      <c r="BU30" s="3"/>
      <c r="BV30" s="3"/>
      <c r="BW30" s="3"/>
      <c r="BX30" s="43"/>
      <c r="BY30" s="3"/>
      <c r="BZ30" s="3"/>
      <c r="CA30" s="3"/>
      <c r="CB30" s="3"/>
      <c r="CC30" s="3"/>
      <c r="CD30" s="3"/>
      <c r="CE30" s="3"/>
      <c r="CF30" s="3"/>
      <c r="CG30" s="3"/>
      <c r="CH30" s="3"/>
      <c r="CI30" s="3"/>
      <c r="CJ30" s="3"/>
      <c r="CK30" s="3"/>
      <c r="CL30" s="8"/>
      <c r="CM30" s="270"/>
      <c r="CN30" s="271"/>
      <c r="CO30" s="2"/>
      <c r="CP30" s="2"/>
      <c r="CQ30" s="212"/>
      <c r="CR30" s="299"/>
      <c r="CS30" s="299"/>
      <c r="CT30" s="299"/>
      <c r="CU30" s="299"/>
      <c r="CV30" s="299"/>
      <c r="CW30" s="299"/>
      <c r="CX30" s="299"/>
      <c r="CY30" s="299"/>
      <c r="CZ30" s="299"/>
      <c r="DA30" s="299"/>
      <c r="DB30" s="299"/>
      <c r="DC30" s="287"/>
      <c r="DD30" s="287"/>
      <c r="DE30" s="287"/>
      <c r="DF30" s="287"/>
      <c r="DG30" s="287"/>
      <c r="DH30" s="287"/>
      <c r="DI30" s="287"/>
      <c r="DJ30" s="287"/>
      <c r="DK30" s="287"/>
      <c r="DL30" s="287"/>
      <c r="DM30" s="299"/>
      <c r="DN30" s="299"/>
      <c r="DO30" s="299"/>
      <c r="DP30" s="299"/>
      <c r="DQ30" s="299"/>
      <c r="DR30" s="299"/>
      <c r="DS30" s="299"/>
      <c r="DT30" s="299"/>
      <c r="DU30" s="299"/>
      <c r="DV30" s="299"/>
      <c r="DW30" s="299"/>
      <c r="DX30" s="259"/>
      <c r="DY30" s="279"/>
      <c r="EA30" s="262"/>
      <c r="EI30" s="262"/>
      <c r="EJ30" s="262"/>
      <c r="EK30" s="262"/>
      <c r="EL30" s="262"/>
      <c r="EM30" s="262"/>
      <c r="EN30" s="262"/>
      <c r="EO30" s="262"/>
      <c r="EP30" s="262"/>
      <c r="EQ30" s="262"/>
    </row>
    <row r="31" spans="1:147" ht="18" customHeight="1" thickBot="1">
      <c r="A31" s="269"/>
      <c r="B31" s="3"/>
      <c r="C31" s="3"/>
      <c r="D31" s="3"/>
      <c r="E31" s="3"/>
      <c r="F31" s="4"/>
      <c r="G31" s="138"/>
      <c r="H31" s="66"/>
      <c r="I31" s="210" t="str">
        <f>IF($CR$28="您破產了!","",IF(VLOOKUP("o",cal!$B:$G,3,FALSE)=I32,cal!$B$1,""))</f>
        <v/>
      </c>
      <c r="J31" s="261"/>
      <c r="K31" s="210" t="str">
        <f>IF($DM$28="您破產了!","",IF(VLOOKUP("o",cal!$L:$Q,3,FALSE)=I32,cal!$L$1,""))</f>
        <v/>
      </c>
      <c r="L31" s="67"/>
      <c r="M31" s="139"/>
      <c r="N31" s="19"/>
      <c r="O31" s="140"/>
      <c r="P31" s="26"/>
      <c r="Q31" s="26"/>
      <c r="R31" s="26"/>
      <c r="S31" s="26"/>
      <c r="T31" s="141"/>
      <c r="U31" s="3"/>
      <c r="V31" s="3"/>
      <c r="W31" s="9"/>
      <c r="X31" s="10"/>
      <c r="Y31" s="23"/>
      <c r="Z31" s="24"/>
      <c r="AA31" s="10"/>
      <c r="AB31" s="6"/>
      <c r="AC31" s="3"/>
      <c r="AD31" s="3"/>
      <c r="AE31" s="3"/>
      <c r="AF31" s="3"/>
      <c r="AG31" s="86"/>
      <c r="AH31" s="28"/>
      <c r="AI31" s="306"/>
      <c r="AJ31" s="214" t="str">
        <f>IF($CR$32="您破產了!","",IF(VLOOKUP("o",cal!$V:$AA,3,FALSE)=AJ30,cal!$V$1,""))</f>
        <v/>
      </c>
      <c r="AK31" s="213"/>
      <c r="AL31" s="214" t="str">
        <f>IF($DM$32="您破產了!","",IF(VLOOKUP("o",cal!$AF:$AK,3,FALSE)=AJ30,cal!$AF$1,""))</f>
        <v/>
      </c>
      <c r="AM31" s="307"/>
      <c r="AN31" s="3"/>
      <c r="AO31" s="3"/>
      <c r="AP31" s="3"/>
      <c r="AQ31" s="3"/>
      <c r="AR31" s="3"/>
      <c r="AS31" s="3"/>
      <c r="AT31" s="3"/>
      <c r="AU31" s="3"/>
      <c r="AV31" s="3"/>
      <c r="AW31" s="303">
        <f>VLOOKUP(AX29,cal!$BE:$BJ,5,FALSE)</f>
        <v>2400</v>
      </c>
      <c r="AX31" s="304"/>
      <c r="AY31" s="304"/>
      <c r="AZ31" s="304"/>
      <c r="BA31" s="305"/>
      <c r="BB31" s="3"/>
      <c r="BC31" s="3"/>
      <c r="BD31" s="3"/>
      <c r="BE31" s="3"/>
      <c r="BF31" s="3"/>
      <c r="BG31" s="3"/>
      <c r="BH31" s="3"/>
      <c r="BI31" s="3"/>
      <c r="BJ31" s="3"/>
      <c r="BK31" s="3"/>
      <c r="BL31" s="3"/>
      <c r="BM31" s="3"/>
      <c r="BN31" s="3"/>
      <c r="BO31" s="3"/>
      <c r="BP31" s="3"/>
      <c r="BQ31" s="142"/>
      <c r="BR31" s="143"/>
      <c r="BS31" s="143"/>
      <c r="BT31" s="143"/>
      <c r="BU31" s="143"/>
      <c r="BV31" s="143"/>
      <c r="BW31" s="144"/>
      <c r="BX31" s="145"/>
      <c r="BY31" s="129"/>
      <c r="BZ31" s="129"/>
      <c r="CA31" s="3"/>
      <c r="CB31" s="3"/>
      <c r="CC31" s="3"/>
      <c r="CD31" s="3"/>
      <c r="CE31" s="3"/>
      <c r="CF31" s="3"/>
      <c r="CG31" s="3"/>
      <c r="CH31" s="3"/>
      <c r="CI31" s="3"/>
      <c r="CJ31" s="3"/>
      <c r="CK31" s="3"/>
      <c r="CL31" s="8"/>
      <c r="CM31" s="270"/>
      <c r="CN31" s="271"/>
      <c r="CO31" s="2"/>
      <c r="CP31" s="2"/>
      <c r="CQ31" s="212"/>
      <c r="CR31" s="276"/>
      <c r="CS31" s="276"/>
      <c r="CT31" s="276"/>
      <c r="CU31" s="276"/>
      <c r="CV31" s="276"/>
      <c r="CW31" s="276"/>
      <c r="CX31" s="276"/>
      <c r="CY31" s="276"/>
      <c r="CZ31" s="276"/>
      <c r="DA31" s="276"/>
      <c r="DB31" s="276"/>
      <c r="DC31" s="287"/>
      <c r="DD31" s="287"/>
      <c r="DE31" s="287"/>
      <c r="DF31" s="287"/>
      <c r="DG31" s="287"/>
      <c r="DH31" s="287"/>
      <c r="DI31" s="287"/>
      <c r="DJ31" s="287"/>
      <c r="DK31" s="287"/>
      <c r="DL31" s="287"/>
      <c r="DM31" s="276"/>
      <c r="DN31" s="276"/>
      <c r="DO31" s="276"/>
      <c r="DP31" s="276"/>
      <c r="DQ31" s="276"/>
      <c r="DR31" s="276"/>
      <c r="DS31" s="276"/>
      <c r="DT31" s="276"/>
      <c r="DU31" s="276"/>
      <c r="DV31" s="276"/>
      <c r="DW31" s="212"/>
      <c r="DX31" s="259"/>
      <c r="DY31" s="279"/>
      <c r="DZ31" s="285"/>
      <c r="EA31" s="262"/>
      <c r="EB31" s="262"/>
      <c r="EC31" s="262"/>
      <c r="ED31" s="262"/>
      <c r="EE31" s="262"/>
      <c r="EF31" s="262"/>
      <c r="EG31" s="262"/>
      <c r="EH31" s="262"/>
      <c r="EI31" s="262"/>
      <c r="EJ31" s="262"/>
      <c r="EK31" s="262"/>
      <c r="EL31" s="262"/>
      <c r="EM31" s="262"/>
      <c r="EN31" s="262"/>
      <c r="EO31" s="262"/>
      <c r="EP31" s="262"/>
      <c r="EQ31" s="262"/>
    </row>
    <row r="32" spans="1:147" ht="18" customHeight="1" thickBot="1">
      <c r="A32" s="269"/>
      <c r="B32" s="3"/>
      <c r="C32" s="3"/>
      <c r="D32" s="3"/>
      <c r="E32" s="3"/>
      <c r="F32" s="9"/>
      <c r="G32" s="146"/>
      <c r="H32" s="66"/>
      <c r="I32" s="333">
        <v>36</v>
      </c>
      <c r="J32" s="333"/>
      <c r="K32" s="333"/>
      <c r="L32" s="67"/>
      <c r="M32" s="147"/>
      <c r="N32" s="3"/>
      <c r="O32" s="3"/>
      <c r="P32" s="3"/>
      <c r="Q32" s="3"/>
      <c r="R32" s="3"/>
      <c r="S32" s="3"/>
      <c r="T32" s="3"/>
      <c r="U32" s="9"/>
      <c r="V32" s="10"/>
      <c r="W32" s="10"/>
      <c r="X32" s="10"/>
      <c r="Y32" s="38"/>
      <c r="Z32" s="33"/>
      <c r="AA32" s="10"/>
      <c r="AB32" s="13"/>
      <c r="AC32" s="3"/>
      <c r="AD32" s="3"/>
      <c r="AE32" s="3"/>
      <c r="AF32" s="3"/>
      <c r="AG32" s="3"/>
      <c r="AH32" s="9"/>
      <c r="AI32" s="337">
        <f>VLOOKUP(AJ30,cal!$BE:$BJ,5,FALSE)</f>
        <v>1500</v>
      </c>
      <c r="AJ32" s="338"/>
      <c r="AK32" s="338"/>
      <c r="AL32" s="338"/>
      <c r="AM32" s="339"/>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142"/>
      <c r="BP32" s="143"/>
      <c r="BQ32" s="148"/>
      <c r="BR32" s="148"/>
      <c r="BS32" s="148"/>
      <c r="BT32" s="148"/>
      <c r="BU32" s="148"/>
      <c r="BV32" s="148"/>
      <c r="BW32" s="300" t="s">
        <v>24</v>
      </c>
      <c r="BX32" s="301"/>
      <c r="BY32" s="301"/>
      <c r="BZ32" s="301"/>
      <c r="CA32" s="302"/>
      <c r="CB32" s="3"/>
      <c r="CC32" s="3"/>
      <c r="CD32" s="3"/>
      <c r="CE32" s="3"/>
      <c r="CF32" s="3"/>
      <c r="CG32" s="3"/>
      <c r="CH32" s="3"/>
      <c r="CI32" s="3"/>
      <c r="CJ32" s="3"/>
      <c r="CK32" s="3"/>
      <c r="CL32" s="8"/>
      <c r="CM32" s="270"/>
      <c r="CN32" s="271"/>
      <c r="CO32" s="2"/>
      <c r="CP32" s="2"/>
      <c r="CQ32" s="212"/>
      <c r="CR32" s="299" t="str">
        <f>IF(AND(cal!AW4=0,CY40+cal!AX4&lt;0),"您破產了!",IF(AND(CY24+cal!AX2&lt;0,DT24+cal!AX3&lt;0,DT40+cal!AX5&lt;0),"勝利!",IF(CY40&lt;0,"錢不夠!","")))</f>
        <v/>
      </c>
      <c r="CS32" s="299"/>
      <c r="CT32" s="299"/>
      <c r="CU32" s="299"/>
      <c r="CV32" s="299"/>
      <c r="CW32" s="299"/>
      <c r="CX32" s="299"/>
      <c r="CY32" s="299"/>
      <c r="CZ32" s="299"/>
      <c r="DA32" s="299"/>
      <c r="DB32" s="299"/>
      <c r="DC32" s="296" t="str">
        <f>IF(CQ53="",IF(CU53="",IF(CY53="",IF(DC53="","",IF(DC53="b","購買成本: $"&amp;VLOOKUP(DS38,lok!$U:$V,2,FALSE),IF(DC53="u","升級成本: $"&amp;VLOOKUP(DS38,lok!$U:$Z,6,FALSE),""))),IF(CY53="b","購買成本: $"&amp;VLOOKUP(CX38,lok!$U:$V,2,FALSE),IF(CY53="u","升級成本: $"&amp;VLOOKUP(CX38,lok!$U:$Z,6,FALSE),""))),IF(CU53="b","購買成本: $"&amp;VLOOKUP(DS22,lok!$U:$V,2,FALSE),IF(CU53="u","升級成本: $"&amp;VLOOKUP(DS22,lok!$U:$Z,6,FALSE),""))),IF(CQ53="b","購買成本: $"&amp;VLOOKUP(CX22,lok!$U:$V,2,FALSE),IF(CQ53="u","升級成本: $"&amp;VLOOKUP(CX22,lok!$U:$Z,6,FALSE),"")))</f>
        <v/>
      </c>
      <c r="DD32" s="296"/>
      <c r="DE32" s="296"/>
      <c r="DF32" s="296"/>
      <c r="DG32" s="296"/>
      <c r="DH32" s="296"/>
      <c r="DI32" s="296"/>
      <c r="DJ32" s="296"/>
      <c r="DK32" s="296"/>
      <c r="DL32" s="296"/>
      <c r="DM32" s="299" t="str">
        <f>IF(AND(cal!AW5=0,DT40+cal!AX5&lt;0),"您破產了!",IF(AND(CY24+cal!AX2&lt;0,DT24+cal!AX3&lt;0,CY40+cal!AX4&lt;0),"勝利!",IF(DT40&lt;0,"錢不夠!","")))</f>
        <v/>
      </c>
      <c r="DN32" s="299"/>
      <c r="DO32" s="299"/>
      <c r="DP32" s="299"/>
      <c r="DQ32" s="299"/>
      <c r="DR32" s="299"/>
      <c r="DS32" s="299"/>
      <c r="DT32" s="299"/>
      <c r="DU32" s="299"/>
      <c r="DV32" s="299"/>
      <c r="DW32" s="299"/>
      <c r="DX32" s="259"/>
      <c r="DY32" s="279"/>
      <c r="DZ32" s="285"/>
      <c r="EA32" s="262"/>
      <c r="EB32" s="262"/>
      <c r="EC32" s="262"/>
      <c r="ED32" s="262"/>
      <c r="EE32" s="262"/>
      <c r="EF32" s="262"/>
      <c r="EG32" s="262"/>
      <c r="EH32" s="262"/>
      <c r="EI32" s="262"/>
      <c r="EJ32" s="262"/>
      <c r="EK32" s="262"/>
      <c r="EL32" s="262"/>
      <c r="EM32" s="262"/>
      <c r="EN32" s="262"/>
      <c r="EO32" s="262"/>
      <c r="EP32" s="262"/>
      <c r="EQ32" s="262"/>
    </row>
    <row r="33" spans="1:147" ht="18" customHeight="1" thickBot="1">
      <c r="A33" s="269"/>
      <c r="B33" s="3"/>
      <c r="C33" s="3"/>
      <c r="D33" s="3"/>
      <c r="E33" s="3"/>
      <c r="F33" s="9"/>
      <c r="G33" s="146"/>
      <c r="H33" s="66"/>
      <c r="I33" s="210" t="str">
        <f>IF($CR$32="您破產了!","",IF(VLOOKUP("o",cal!$V:$AA,3,FALSE)=I32,cal!$V$1,""))</f>
        <v/>
      </c>
      <c r="J33" s="261"/>
      <c r="K33" s="210" t="str">
        <f>IF($DM$32="您破產了!","",IF(VLOOKUP("o",cal!$AF:$AK,3,FALSE)=I32,cal!$AF$1,""))</f>
        <v/>
      </c>
      <c r="L33" s="67"/>
      <c r="M33" s="3"/>
      <c r="N33" s="3"/>
      <c r="O33" s="3"/>
      <c r="P33" s="3"/>
      <c r="Q33" s="3"/>
      <c r="R33" s="3"/>
      <c r="S33" s="3"/>
      <c r="T33" s="3"/>
      <c r="U33" s="9"/>
      <c r="V33" s="10"/>
      <c r="W33" s="23"/>
      <c r="X33" s="30"/>
      <c r="Y33" s="56"/>
      <c r="Z33" s="59"/>
      <c r="AA33" s="10"/>
      <c r="AB33" s="13"/>
      <c r="AC33" s="3"/>
      <c r="AD33" s="3"/>
      <c r="AE33" s="3"/>
      <c r="AF33" s="3"/>
      <c r="AG33" s="3"/>
      <c r="AH33" s="96"/>
      <c r="AI33" s="87"/>
      <c r="AJ33" s="87"/>
      <c r="AK33" s="87"/>
      <c r="AL33" s="11"/>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142"/>
      <c r="BM33" s="143"/>
      <c r="BN33" s="149"/>
      <c r="BO33" s="300" t="s">
        <v>234</v>
      </c>
      <c r="BP33" s="301"/>
      <c r="BQ33" s="301"/>
      <c r="BR33" s="301"/>
      <c r="BS33" s="302"/>
      <c r="BT33" s="148"/>
      <c r="BU33" s="148"/>
      <c r="BV33" s="148"/>
      <c r="BW33" s="306"/>
      <c r="BX33" s="214" t="str">
        <f>IF($CR$28="您破產了!","",IF(VLOOKUP("o",cal!$B:$G,3,FALSE)=BX34,cal!$B$1,""))</f>
        <v/>
      </c>
      <c r="BY33" s="260"/>
      <c r="BZ33" s="214" t="str">
        <f>IF($DM$28="您破產了!","",IF(VLOOKUP("o",cal!$L:$Q,3,FALSE)=BX34,cal!$L$1,""))</f>
        <v/>
      </c>
      <c r="CA33" s="307"/>
      <c r="CB33" s="143"/>
      <c r="CC33" s="144"/>
      <c r="CD33" s="3"/>
      <c r="CE33" s="3"/>
      <c r="CF33" s="3"/>
      <c r="CG33" s="3"/>
      <c r="CH33" s="3"/>
      <c r="CI33" s="3"/>
      <c r="CJ33" s="3"/>
      <c r="CK33" s="3"/>
      <c r="CL33" s="8"/>
      <c r="CM33" s="270"/>
      <c r="CN33" s="271"/>
      <c r="CO33" s="2"/>
      <c r="CP33" s="2"/>
      <c r="CQ33" s="212"/>
      <c r="CR33" s="299"/>
      <c r="CS33" s="299"/>
      <c r="CT33" s="299"/>
      <c r="CU33" s="299"/>
      <c r="CV33" s="299"/>
      <c r="CW33" s="299"/>
      <c r="CX33" s="299"/>
      <c r="CY33" s="299"/>
      <c r="CZ33" s="299"/>
      <c r="DA33" s="299"/>
      <c r="DB33" s="299"/>
      <c r="DC33" s="296"/>
      <c r="DD33" s="296"/>
      <c r="DE33" s="296"/>
      <c r="DF33" s="296"/>
      <c r="DG33" s="296"/>
      <c r="DH33" s="296"/>
      <c r="DI33" s="296"/>
      <c r="DJ33" s="296"/>
      <c r="DK33" s="296"/>
      <c r="DL33" s="296"/>
      <c r="DM33" s="299"/>
      <c r="DN33" s="299"/>
      <c r="DO33" s="299"/>
      <c r="DP33" s="299"/>
      <c r="DQ33" s="299"/>
      <c r="DR33" s="299"/>
      <c r="DS33" s="299"/>
      <c r="DT33" s="299"/>
      <c r="DU33" s="299"/>
      <c r="DV33" s="299"/>
      <c r="DW33" s="299"/>
      <c r="DX33" s="259"/>
      <c r="DY33" s="279"/>
      <c r="EA33" s="262"/>
      <c r="EB33" s="262"/>
      <c r="EC33" s="262"/>
      <c r="ED33" s="262"/>
      <c r="EE33" s="262"/>
      <c r="EF33" s="262"/>
      <c r="EG33" s="262"/>
      <c r="EH33" s="262"/>
      <c r="EI33" s="262"/>
      <c r="EJ33" s="262"/>
      <c r="EK33" s="262"/>
      <c r="EL33" s="262"/>
      <c r="EM33" s="262"/>
      <c r="EN33" s="262"/>
      <c r="EO33" s="262"/>
      <c r="EP33" s="262"/>
      <c r="EQ33" s="262"/>
    </row>
    <row r="34" spans="1:147" ht="18" customHeight="1" thickBot="1">
      <c r="A34" s="269"/>
      <c r="B34" s="3"/>
      <c r="C34" s="3"/>
      <c r="D34" s="3"/>
      <c r="E34" s="3"/>
      <c r="F34" s="96"/>
      <c r="G34" s="146"/>
      <c r="H34" s="334"/>
      <c r="I34" s="335"/>
      <c r="J34" s="335"/>
      <c r="K34" s="335"/>
      <c r="L34" s="336"/>
      <c r="M34" s="3"/>
      <c r="N34" s="3"/>
      <c r="O34" s="3"/>
      <c r="P34" s="3"/>
      <c r="Q34" s="3"/>
      <c r="R34" s="3"/>
      <c r="S34" s="3"/>
      <c r="T34" s="4"/>
      <c r="U34" s="10"/>
      <c r="V34" s="10"/>
      <c r="W34" s="38"/>
      <c r="X34" s="59"/>
      <c r="Y34" s="10"/>
      <c r="Z34" s="10"/>
      <c r="AA34" s="10"/>
      <c r="AB34" s="10"/>
      <c r="AC34" s="5"/>
      <c r="AD34" s="6"/>
      <c r="AE34" s="3"/>
      <c r="AF34" s="3"/>
      <c r="AG34" s="3"/>
      <c r="AH34" s="3"/>
      <c r="AI34" s="3"/>
      <c r="AJ34" s="3"/>
      <c r="AK34" s="3"/>
      <c r="AL34" s="3"/>
      <c r="AM34" s="3"/>
      <c r="AN34" s="3"/>
      <c r="AO34" s="26"/>
      <c r="AP34" s="26"/>
      <c r="AQ34" s="26"/>
      <c r="AR34" s="26"/>
      <c r="AS34" s="26"/>
      <c r="AT34" s="26"/>
      <c r="AU34" s="26"/>
      <c r="AV34" s="26"/>
      <c r="AW34" s="26"/>
      <c r="AX34" s="3"/>
      <c r="AY34" s="3"/>
      <c r="AZ34" s="327" t="s">
        <v>236</v>
      </c>
      <c r="BA34" s="328"/>
      <c r="BB34" s="328"/>
      <c r="BC34" s="328"/>
      <c r="BD34" s="329"/>
      <c r="BE34" s="150"/>
      <c r="BF34" s="150"/>
      <c r="BG34" s="300" t="s">
        <v>26</v>
      </c>
      <c r="BH34" s="301"/>
      <c r="BI34" s="301"/>
      <c r="BJ34" s="301"/>
      <c r="BK34" s="302"/>
      <c r="BL34" s="148"/>
      <c r="BM34" s="148"/>
      <c r="BN34" s="148"/>
      <c r="BO34" s="306"/>
      <c r="BP34" s="214" t="str">
        <f>IF($CR$28="您破產了!","",IF(VLOOKUP("o",cal!$B:$G,3,FALSE)=BP35,cal!$B$1,""))</f>
        <v/>
      </c>
      <c r="BQ34" s="260"/>
      <c r="BR34" s="214" t="str">
        <f>IF($DM$28="您破產了!","",IF(VLOOKUP("o",cal!$L:$Q,3,FALSE)=BP35,cal!$L$1,""))</f>
        <v/>
      </c>
      <c r="BS34" s="307"/>
      <c r="BT34" s="151"/>
      <c r="BU34" s="152"/>
      <c r="BV34" s="153"/>
      <c r="BW34" s="306"/>
      <c r="BX34" s="326">
        <v>23</v>
      </c>
      <c r="BY34" s="326"/>
      <c r="BZ34" s="326"/>
      <c r="CA34" s="307"/>
      <c r="CB34" s="148"/>
      <c r="CC34" s="154"/>
      <c r="CD34" s="3"/>
      <c r="CE34" s="3"/>
      <c r="CF34" s="3"/>
      <c r="CG34" s="3"/>
      <c r="CH34" s="3"/>
      <c r="CI34" s="3"/>
      <c r="CJ34" s="3"/>
      <c r="CK34" s="3"/>
      <c r="CL34" s="8"/>
      <c r="CM34" s="270"/>
      <c r="CN34" s="155"/>
      <c r="CO34" s="2"/>
      <c r="CP34" s="2"/>
      <c r="CQ34" s="212"/>
      <c r="CR34" s="299"/>
      <c r="CS34" s="299"/>
      <c r="CT34" s="299"/>
      <c r="CU34" s="299"/>
      <c r="CV34" s="299"/>
      <c r="CW34" s="299"/>
      <c r="CX34" s="299"/>
      <c r="CY34" s="299"/>
      <c r="CZ34" s="299"/>
      <c r="DA34" s="299"/>
      <c r="DB34" s="299"/>
      <c r="DC34" s="276"/>
      <c r="DD34" s="297"/>
      <c r="DE34" s="297"/>
      <c r="DF34" s="297"/>
      <c r="DG34" s="297"/>
      <c r="DH34" s="297"/>
      <c r="DI34" s="297"/>
      <c r="DJ34" s="297"/>
      <c r="DK34" s="297"/>
      <c r="DL34" s="276"/>
      <c r="DM34" s="299"/>
      <c r="DN34" s="299"/>
      <c r="DO34" s="299"/>
      <c r="DP34" s="299"/>
      <c r="DQ34" s="299"/>
      <c r="DR34" s="299"/>
      <c r="DS34" s="299"/>
      <c r="DT34" s="299"/>
      <c r="DU34" s="299"/>
      <c r="DV34" s="299"/>
      <c r="DW34" s="299"/>
      <c r="DX34" s="259"/>
      <c r="DY34" s="279"/>
      <c r="EA34" s="262"/>
      <c r="EM34" s="262"/>
      <c r="EN34" s="262"/>
      <c r="EO34" s="262"/>
      <c r="EP34" s="262"/>
      <c r="EQ34" s="262"/>
    </row>
    <row r="35" spans="1:147" ht="18" customHeight="1" thickBot="1">
      <c r="A35" s="269"/>
      <c r="B35" s="3"/>
      <c r="C35" s="3"/>
      <c r="D35" s="3"/>
      <c r="E35" s="3"/>
      <c r="F35" s="3"/>
      <c r="G35" s="96"/>
      <c r="H35" s="87"/>
      <c r="I35" s="87"/>
      <c r="J35" s="156"/>
      <c r="K35" s="122"/>
      <c r="L35" s="3"/>
      <c r="M35" s="3"/>
      <c r="N35" s="3"/>
      <c r="O35" s="4"/>
      <c r="P35" s="6"/>
      <c r="Q35" s="3"/>
      <c r="R35" s="3"/>
      <c r="S35" s="4"/>
      <c r="T35" s="10"/>
      <c r="U35" s="10"/>
      <c r="V35" s="23"/>
      <c r="W35" s="33"/>
      <c r="X35" s="10"/>
      <c r="Y35" s="327" t="s">
        <v>237</v>
      </c>
      <c r="Z35" s="328"/>
      <c r="AA35" s="328"/>
      <c r="AB35" s="328"/>
      <c r="AC35" s="329"/>
      <c r="AD35" s="13"/>
      <c r="AE35" s="3"/>
      <c r="AF35" s="3"/>
      <c r="AG35" s="3"/>
      <c r="AH35" s="3"/>
      <c r="AI35" s="3"/>
      <c r="AJ35" s="3"/>
      <c r="AK35" s="3"/>
      <c r="AL35" s="3"/>
      <c r="AM35" s="3"/>
      <c r="AN35" s="43"/>
      <c r="AO35" s="3"/>
      <c r="AP35" s="3"/>
      <c r="AQ35" s="3"/>
      <c r="AR35" s="3"/>
      <c r="AS35" s="3"/>
      <c r="AT35" s="3"/>
      <c r="AU35" s="3"/>
      <c r="AV35" s="3"/>
      <c r="AW35" s="34"/>
      <c r="AX35" s="105"/>
      <c r="AY35" s="18"/>
      <c r="AZ35" s="66"/>
      <c r="BA35" s="210" t="str">
        <f>IF($CR$28="您破產了!","",IF(VLOOKUP("o",cal!$B:$G,3,FALSE)=BA36,cal!$B$1,""))</f>
        <v/>
      </c>
      <c r="BB35" s="261"/>
      <c r="BC35" s="210" t="str">
        <f>IF($DM$28="您破產了!","",IF(VLOOKUP("o",cal!$L:$Q,3,FALSE)=BA36,cal!$L$1,""))</f>
        <v/>
      </c>
      <c r="BD35" s="67"/>
      <c r="BE35" s="157"/>
      <c r="BF35" s="149"/>
      <c r="BG35" s="306"/>
      <c r="BH35" s="214" t="str">
        <f>IF($CR$28="您破產了!","",IF(VLOOKUP("o",cal!$B:$G,3,FALSE)=BH36,cal!$B$1,""))</f>
        <v/>
      </c>
      <c r="BI35" s="260"/>
      <c r="BJ35" s="214" t="str">
        <f>IF($DM$28="您破產了!","",IF(VLOOKUP("o",cal!$L:$Q,3,FALSE)=BH36,cal!$L$1,""))</f>
        <v/>
      </c>
      <c r="BK35" s="307"/>
      <c r="BL35" s="151"/>
      <c r="BM35" s="152"/>
      <c r="BN35" s="153"/>
      <c r="BO35" s="306"/>
      <c r="BP35" s="326">
        <v>24</v>
      </c>
      <c r="BQ35" s="326"/>
      <c r="BR35" s="326"/>
      <c r="BS35" s="307"/>
      <c r="BT35" s="148"/>
      <c r="BU35" s="148"/>
      <c r="BV35" s="148"/>
      <c r="BW35" s="306"/>
      <c r="BX35" s="214" t="str">
        <f>IF($CR$32="您破產了!","",IF(VLOOKUP("o",cal!$V:$AA,3,FALSE)=BX34,cal!$V$1,""))</f>
        <v/>
      </c>
      <c r="BY35" s="213"/>
      <c r="BZ35" s="214" t="str">
        <f>IF($DM$32="您破產了!","",IF(VLOOKUP("o",cal!$AF:$AK,3,FALSE)=BX34,cal!$AF$1,""))</f>
        <v/>
      </c>
      <c r="CA35" s="307"/>
      <c r="CB35" s="148"/>
      <c r="CC35" s="148"/>
      <c r="CD35" s="144"/>
      <c r="CE35" s="3"/>
      <c r="CF35" s="3"/>
      <c r="CG35" s="3"/>
      <c r="CH35" s="3"/>
      <c r="CI35" s="3"/>
      <c r="CJ35" s="3"/>
      <c r="CK35" s="3"/>
      <c r="CL35" s="8"/>
      <c r="CM35" s="270"/>
      <c r="CN35" s="155"/>
      <c r="CO35" s="2"/>
      <c r="CP35" s="2"/>
      <c r="CQ35" s="212"/>
      <c r="CR35" s="287">
        <v>1</v>
      </c>
      <c r="CS35" s="288" t="str">
        <f>IFERROR(VLOOKUP(CR35,lok!Q14:R17,2,FALSE),"")</f>
        <v>d</v>
      </c>
      <c r="CT35" s="288"/>
      <c r="CU35" s="288"/>
      <c r="CV35" s="288"/>
      <c r="CW35" s="288"/>
      <c r="CX35" s="298"/>
      <c r="CY35" s="298"/>
      <c r="CZ35" s="298"/>
      <c r="DA35" s="298"/>
      <c r="DB35" s="298"/>
      <c r="DC35" s="273"/>
      <c r="DD35" s="297"/>
      <c r="DE35" s="297"/>
      <c r="DF35" s="297"/>
      <c r="DG35" s="297"/>
      <c r="DH35" s="297"/>
      <c r="DI35" s="297"/>
      <c r="DJ35" s="297"/>
      <c r="DK35" s="297"/>
      <c r="DL35" s="273"/>
      <c r="DM35" s="287">
        <v>1</v>
      </c>
      <c r="DN35" s="288" t="str">
        <f>IFERROR(VLOOKUP(DM35,lok!Q20:R23,2,FALSE),"")</f>
        <v>N</v>
      </c>
      <c r="DO35" s="288"/>
      <c r="DP35" s="288"/>
      <c r="DQ35" s="288"/>
      <c r="DR35" s="288"/>
      <c r="DS35" s="298"/>
      <c r="DT35" s="298"/>
      <c r="DU35" s="298"/>
      <c r="DV35" s="298"/>
      <c r="DW35" s="298"/>
      <c r="DX35" s="259"/>
      <c r="DY35" s="279"/>
      <c r="DZ35" s="285"/>
      <c r="EA35" s="262"/>
      <c r="EM35" s="262"/>
      <c r="EN35" s="262"/>
      <c r="EO35" s="262"/>
      <c r="EP35" s="262"/>
      <c r="EQ35" s="262"/>
    </row>
    <row r="36" spans="1:147" ht="18" customHeight="1" thickBot="1">
      <c r="A36" s="269"/>
      <c r="B36" s="3"/>
      <c r="C36" s="3"/>
      <c r="D36" s="3"/>
      <c r="E36" s="3"/>
      <c r="F36" s="3"/>
      <c r="G36" s="3"/>
      <c r="H36" s="3"/>
      <c r="I36" s="3"/>
      <c r="J36" s="145"/>
      <c r="K36" s="129"/>
      <c r="L36" s="4"/>
      <c r="M36" s="5"/>
      <c r="N36" s="5"/>
      <c r="O36" s="10"/>
      <c r="P36" s="10"/>
      <c r="Q36" s="10"/>
      <c r="R36" s="10"/>
      <c r="S36" s="19"/>
      <c r="T36" s="19"/>
      <c r="U36" s="19"/>
      <c r="V36" s="158"/>
      <c r="W36" s="159"/>
      <c r="X36" s="14"/>
      <c r="Y36" s="66"/>
      <c r="Z36" s="210" t="str">
        <f>IF($CR$28="您破產了!","",IF(VLOOKUP("o",cal!$B:$G,3,FALSE)=Z37,cal!$B$1,""))</f>
        <v/>
      </c>
      <c r="AA36" s="261"/>
      <c r="AB36" s="210" t="str">
        <f>IF($DM$28="您破產了!","",IF(VLOOKUP("o",cal!$L:$Q,3,FALSE)=Z37,cal!$L$1,""))</f>
        <v/>
      </c>
      <c r="AC36" s="67"/>
      <c r="AD36" s="13"/>
      <c r="AE36" s="3"/>
      <c r="AF36" s="3"/>
      <c r="AG36" s="3"/>
      <c r="AH36" s="3"/>
      <c r="AI36" s="3"/>
      <c r="AJ36" s="26"/>
      <c r="AK36" s="26"/>
      <c r="AL36" s="26"/>
      <c r="AM36" s="26"/>
      <c r="AN36" s="126"/>
      <c r="AO36" s="3"/>
      <c r="AP36" s="3"/>
      <c r="AQ36" s="300" t="s">
        <v>28</v>
      </c>
      <c r="AR36" s="301"/>
      <c r="AS36" s="301"/>
      <c r="AT36" s="301"/>
      <c r="AU36" s="302"/>
      <c r="AV36" s="144"/>
      <c r="AW36" s="3"/>
      <c r="AX36" s="3"/>
      <c r="AY36" s="3"/>
      <c r="AZ36" s="66"/>
      <c r="BA36" s="333">
        <v>31</v>
      </c>
      <c r="BB36" s="333"/>
      <c r="BC36" s="333"/>
      <c r="BD36" s="67"/>
      <c r="BE36" s="148"/>
      <c r="BF36" s="148"/>
      <c r="BG36" s="306"/>
      <c r="BH36" s="326">
        <v>25</v>
      </c>
      <c r="BI36" s="326"/>
      <c r="BJ36" s="326"/>
      <c r="BK36" s="307"/>
      <c r="BL36" s="148"/>
      <c r="BM36" s="148"/>
      <c r="BN36" s="148"/>
      <c r="BO36" s="306"/>
      <c r="BP36" s="214" t="str">
        <f>IF($CR$32="您破產了!","",IF(VLOOKUP("o",cal!$V:$AA,3,FALSE)=BP35,cal!$V$1,""))</f>
        <v/>
      </c>
      <c r="BQ36" s="213"/>
      <c r="BR36" s="214" t="str">
        <f>IF($DM$32="您破產了!","",IF(VLOOKUP("o",cal!$AF:$AK,3,FALSE)=BP35,cal!$AF$1,""))</f>
        <v/>
      </c>
      <c r="BS36" s="307"/>
      <c r="BT36" s="148"/>
      <c r="BU36" s="148"/>
      <c r="BV36" s="148"/>
      <c r="BW36" s="303">
        <f>VLOOKUP(BX34,cal!$BE:$BJ,5,FALSE)</f>
        <v>1800</v>
      </c>
      <c r="BX36" s="304"/>
      <c r="BY36" s="304"/>
      <c r="BZ36" s="304"/>
      <c r="CA36" s="305"/>
      <c r="CB36" s="148"/>
      <c r="CC36" s="148"/>
      <c r="CD36" s="154"/>
      <c r="CE36" s="3"/>
      <c r="CF36" s="3"/>
      <c r="CG36" s="3"/>
      <c r="CH36" s="3"/>
      <c r="CI36" s="3"/>
      <c r="CJ36" s="3"/>
      <c r="CK36" s="3"/>
      <c r="CL36" s="8"/>
      <c r="CM36" s="270"/>
      <c r="CN36" s="155"/>
      <c r="CO36" s="2"/>
      <c r="CP36" s="2"/>
      <c r="CQ36" s="212"/>
      <c r="CR36" s="287"/>
      <c r="CS36" s="288"/>
      <c r="CT36" s="288"/>
      <c r="CU36" s="288"/>
      <c r="CV36" s="288"/>
      <c r="CW36" s="288"/>
      <c r="CX36" s="298"/>
      <c r="CY36" s="298"/>
      <c r="CZ36" s="298"/>
      <c r="DA36" s="298"/>
      <c r="DB36" s="298"/>
      <c r="DC36" s="273"/>
      <c r="DD36" s="297"/>
      <c r="DE36" s="297"/>
      <c r="DF36" s="297"/>
      <c r="DG36" s="297"/>
      <c r="DH36" s="297"/>
      <c r="DI36" s="297"/>
      <c r="DJ36" s="297"/>
      <c r="DK36" s="297"/>
      <c r="DL36" s="273"/>
      <c r="DM36" s="287"/>
      <c r="DN36" s="288"/>
      <c r="DO36" s="288"/>
      <c r="DP36" s="288"/>
      <c r="DQ36" s="288"/>
      <c r="DR36" s="288"/>
      <c r="DS36" s="298"/>
      <c r="DT36" s="298"/>
      <c r="DU36" s="298"/>
      <c r="DV36" s="298"/>
      <c r="DW36" s="298"/>
      <c r="DX36" s="259"/>
      <c r="DY36" s="279"/>
      <c r="DZ36" s="285"/>
      <c r="EM36" s="262"/>
      <c r="EN36" s="262"/>
      <c r="EO36" s="262"/>
      <c r="EP36" s="262"/>
      <c r="EQ36" s="262"/>
    </row>
    <row r="37" spans="1:147" ht="18" customHeight="1" thickBot="1">
      <c r="A37" s="269"/>
      <c r="B37" s="3"/>
      <c r="C37" s="3"/>
      <c r="D37" s="3"/>
      <c r="E37" s="3"/>
      <c r="F37" s="3"/>
      <c r="G37" s="3"/>
      <c r="H37" s="3"/>
      <c r="I37" s="3"/>
      <c r="J37" s="300" t="s">
        <v>32</v>
      </c>
      <c r="K37" s="301"/>
      <c r="L37" s="301"/>
      <c r="M37" s="301"/>
      <c r="N37" s="302"/>
      <c r="O37" s="10"/>
      <c r="P37" s="10"/>
      <c r="Q37" s="10"/>
      <c r="R37" s="160"/>
      <c r="S37" s="32"/>
      <c r="T37" s="32"/>
      <c r="U37" s="32"/>
      <c r="V37" s="32"/>
      <c r="W37" s="33"/>
      <c r="X37" s="28"/>
      <c r="Y37" s="66"/>
      <c r="Z37" s="333">
        <v>34</v>
      </c>
      <c r="AA37" s="333"/>
      <c r="AB37" s="333"/>
      <c r="AC37" s="67"/>
      <c r="AD37" s="11"/>
      <c r="AE37" s="3"/>
      <c r="AF37" s="3"/>
      <c r="AG37" s="3"/>
      <c r="AH37" s="3"/>
      <c r="AI37" s="43"/>
      <c r="AJ37" s="3"/>
      <c r="AK37" s="3"/>
      <c r="AL37" s="3"/>
      <c r="AM37" s="3"/>
      <c r="AN37" s="3"/>
      <c r="AO37" s="3"/>
      <c r="AP37" s="142"/>
      <c r="AQ37" s="306"/>
      <c r="AR37" s="214" t="str">
        <f>IF($CR$28="您破產了!","",IF(VLOOKUP("o",cal!$B:$G,3,FALSE)=AR38,cal!$B$1,""))</f>
        <v/>
      </c>
      <c r="AS37" s="260"/>
      <c r="AT37" s="214" t="str">
        <f>IF($DM$28="您破產了!","",IF(VLOOKUP("o",cal!$L:$Q,3,FALSE)=AR38,cal!$L$1,""))</f>
        <v/>
      </c>
      <c r="AU37" s="307"/>
      <c r="AV37" s="161"/>
      <c r="AW37" s="143"/>
      <c r="AX37" s="143"/>
      <c r="AY37" s="149"/>
      <c r="AZ37" s="66"/>
      <c r="BA37" s="210" t="str">
        <f>IF($CR$32="您破產了!","",IF(VLOOKUP("o",cal!$V:$AA,3,FALSE)=BA36,cal!$V$1,""))</f>
        <v/>
      </c>
      <c r="BB37" s="261"/>
      <c r="BC37" s="210" t="str">
        <f>IF($DM$32="您破產了!","",IF(VLOOKUP("o",cal!$AF:$AK,3,FALSE)=BA36,cal!$AF$1,""))</f>
        <v/>
      </c>
      <c r="BD37" s="67"/>
      <c r="BE37" s="148"/>
      <c r="BF37" s="148"/>
      <c r="BG37" s="306"/>
      <c r="BH37" s="214" t="str">
        <f>IF($CR$32="您破產了!","",IF(VLOOKUP("o",cal!$V:$AA,3,FALSE)=BH36,cal!$V$1,""))</f>
        <v/>
      </c>
      <c r="BI37" s="213"/>
      <c r="BJ37" s="214" t="str">
        <f>IF($DM$32="您破產了!","",IF(VLOOKUP("o",cal!$AF:$AK,3,FALSE)=BH36,cal!$AF$1,""))</f>
        <v/>
      </c>
      <c r="BK37" s="307"/>
      <c r="BL37" s="148"/>
      <c r="BM37" s="148"/>
      <c r="BN37" s="148"/>
      <c r="BO37" s="303">
        <f>VLOOKUP(BP35,cal!$BE:$BJ,5,FALSE)</f>
        <v>2400</v>
      </c>
      <c r="BP37" s="304"/>
      <c r="BQ37" s="304"/>
      <c r="BR37" s="304"/>
      <c r="BS37" s="305"/>
      <c r="BT37" s="148"/>
      <c r="BU37" s="148"/>
      <c r="BV37" s="148"/>
      <c r="BW37" s="148"/>
      <c r="BX37" s="148"/>
      <c r="BY37" s="148"/>
      <c r="BZ37" s="148"/>
      <c r="CA37" s="148"/>
      <c r="CB37" s="148"/>
      <c r="CC37" s="148"/>
      <c r="CD37" s="162"/>
      <c r="CE37" s="3"/>
      <c r="CF37" s="3"/>
      <c r="CG37" s="3"/>
      <c r="CH37" s="3"/>
      <c r="CI37" s="3"/>
      <c r="CJ37" s="3"/>
      <c r="CK37" s="3"/>
      <c r="CL37" s="8"/>
      <c r="CM37" s="270"/>
      <c r="CN37" s="155"/>
      <c r="CO37" s="2"/>
      <c r="CP37" s="2"/>
      <c r="CQ37" s="212"/>
      <c r="CR37" s="287"/>
      <c r="CS37" s="288"/>
      <c r="CT37" s="288"/>
      <c r="CU37" s="288"/>
      <c r="CV37" s="288"/>
      <c r="CW37" s="288"/>
      <c r="CX37" s="298"/>
      <c r="CY37" s="298"/>
      <c r="CZ37" s="298"/>
      <c r="DA37" s="298"/>
      <c r="DB37" s="298"/>
      <c r="DC37" s="212"/>
      <c r="DD37" s="297"/>
      <c r="DE37" s="297"/>
      <c r="DF37" s="297"/>
      <c r="DG37" s="297"/>
      <c r="DH37" s="297"/>
      <c r="DI37" s="297"/>
      <c r="DJ37" s="297"/>
      <c r="DK37" s="297"/>
      <c r="DL37" s="212"/>
      <c r="DM37" s="287"/>
      <c r="DN37" s="288"/>
      <c r="DO37" s="288"/>
      <c r="DP37" s="288"/>
      <c r="DQ37" s="288"/>
      <c r="DR37" s="288"/>
      <c r="DS37" s="298"/>
      <c r="DT37" s="298"/>
      <c r="DU37" s="298"/>
      <c r="DV37" s="298"/>
      <c r="DW37" s="298"/>
      <c r="DX37" s="259"/>
      <c r="DY37" s="279"/>
      <c r="DZ37" s="285"/>
      <c r="EM37" s="262"/>
      <c r="EN37" s="262"/>
      <c r="EO37" s="262"/>
      <c r="EP37" s="262"/>
      <c r="EQ37" s="262"/>
    </row>
    <row r="38" spans="1:147" ht="18" customHeight="1" thickBot="1">
      <c r="A38" s="269"/>
      <c r="B38" s="3"/>
      <c r="C38" s="3"/>
      <c r="D38" s="3"/>
      <c r="E38" s="3"/>
      <c r="F38" s="3"/>
      <c r="G38" s="3"/>
      <c r="H38" s="3"/>
      <c r="I38" s="3"/>
      <c r="J38" s="306"/>
      <c r="K38" s="214" t="str">
        <f>IF($CR$28="您破產了!","",IF(VLOOKUP("o",cal!$B:$G,3,FALSE)=K39,cal!$B$1,""))</f>
        <v/>
      </c>
      <c r="L38" s="260"/>
      <c r="M38" s="214" t="str">
        <f>IF($DM$28="您破產了!","",IF(VLOOKUP("o",cal!$L:$Q,3,FALSE)=K39,cal!$L$1,""))</f>
        <v/>
      </c>
      <c r="N38" s="307"/>
      <c r="O38" s="12"/>
      <c r="P38" s="19"/>
      <c r="Q38" s="19"/>
      <c r="R38" s="163"/>
      <c r="S38" s="32"/>
      <c r="T38" s="32"/>
      <c r="U38" s="32"/>
      <c r="V38" s="32"/>
      <c r="W38" s="33"/>
      <c r="X38" s="28"/>
      <c r="Y38" s="66"/>
      <c r="Z38" s="210" t="str">
        <f>IF($CR$32="您破產了!","",IF(VLOOKUP("o",cal!$V:$AA,3,FALSE)=Z37,cal!$V$1,""))</f>
        <v/>
      </c>
      <c r="AA38" s="261"/>
      <c r="AB38" s="210" t="str">
        <f>IF($DM$32="您破產了!","",IF(VLOOKUP("o",cal!$AF:$AK,3,FALSE)=Z37,cal!$AF$1,""))</f>
        <v/>
      </c>
      <c r="AC38" s="67"/>
      <c r="AD38" s="3"/>
      <c r="AE38" s="3"/>
      <c r="AF38" s="3"/>
      <c r="AG38" s="3"/>
      <c r="AH38" s="3"/>
      <c r="AI38" s="43"/>
      <c r="AJ38" s="3"/>
      <c r="AK38" s="3"/>
      <c r="AL38" s="3"/>
      <c r="AM38" s="3"/>
      <c r="AN38" s="3"/>
      <c r="AO38" s="142"/>
      <c r="AP38" s="148"/>
      <c r="AQ38" s="306"/>
      <c r="AR38" s="326">
        <v>29</v>
      </c>
      <c r="AS38" s="326"/>
      <c r="AT38" s="326"/>
      <c r="AU38" s="307"/>
      <c r="AV38" s="164"/>
      <c r="AW38" s="148"/>
      <c r="AX38" s="148"/>
      <c r="AY38" s="148"/>
      <c r="AZ38" s="334"/>
      <c r="BA38" s="335"/>
      <c r="BB38" s="335"/>
      <c r="BC38" s="335"/>
      <c r="BD38" s="336"/>
      <c r="BE38" s="148"/>
      <c r="BF38" s="148"/>
      <c r="BG38" s="303">
        <f>VLOOKUP(BH36,cal!$BE:$BJ,5,FALSE)</f>
        <v>2400</v>
      </c>
      <c r="BH38" s="304"/>
      <c r="BI38" s="304"/>
      <c r="BJ38" s="304"/>
      <c r="BK38" s="305"/>
      <c r="BL38" s="148"/>
      <c r="BM38" s="148"/>
      <c r="BN38" s="148"/>
      <c r="BO38" s="148"/>
      <c r="BP38" s="148"/>
      <c r="BQ38" s="148"/>
      <c r="BR38" s="148"/>
      <c r="BS38" s="148"/>
      <c r="BT38" s="148"/>
      <c r="BU38" s="23"/>
      <c r="BV38" s="30"/>
      <c r="BW38" s="30"/>
      <c r="BX38" s="30"/>
      <c r="BY38" s="30"/>
      <c r="BZ38" s="24"/>
      <c r="CA38" s="148"/>
      <c r="CB38" s="148"/>
      <c r="CC38" s="154"/>
      <c r="CD38" s="3"/>
      <c r="CE38" s="3"/>
      <c r="CF38" s="3"/>
      <c r="CG38" s="3"/>
      <c r="CH38" s="3"/>
      <c r="CI38" s="3"/>
      <c r="CJ38" s="3"/>
      <c r="CK38" s="3"/>
      <c r="CL38" s="8"/>
      <c r="CM38" s="270"/>
      <c r="CN38" s="155"/>
      <c r="CO38" s="2"/>
      <c r="CP38" s="2"/>
      <c r="CQ38" s="212"/>
      <c r="CR38" s="287"/>
      <c r="CS38" s="288"/>
      <c r="CT38" s="288"/>
      <c r="CU38" s="288"/>
      <c r="CV38" s="288"/>
      <c r="CW38" s="288"/>
      <c r="CX38" s="289" t="str">
        <f>VLOOKUP(VLOOKUP("o",cal!$V:$AD,3,FALSE),lok!$T:$U,2,FALSE)</f>
        <v>青山</v>
      </c>
      <c r="CY38" s="289"/>
      <c r="CZ38" s="289"/>
      <c r="DA38" s="289"/>
      <c r="DB38" s="289"/>
      <c r="DC38" s="212"/>
      <c r="DD38" s="212"/>
      <c r="DE38" s="212"/>
      <c r="DF38" s="212"/>
      <c r="DG38" s="212"/>
      <c r="DH38" s="212"/>
      <c r="DI38" s="259"/>
      <c r="DJ38" s="259"/>
      <c r="DK38" s="259"/>
      <c r="DL38" s="259"/>
      <c r="DM38" s="287"/>
      <c r="DN38" s="288"/>
      <c r="DO38" s="288"/>
      <c r="DP38" s="288"/>
      <c r="DQ38" s="288"/>
      <c r="DR38" s="288"/>
      <c r="DS38" s="289" t="str">
        <f>VLOOKUP(VLOOKUP("o",cal!$AF:$AN,3,FALSE),lok!$T:$U,2,FALSE)</f>
        <v>青山</v>
      </c>
      <c r="DT38" s="289"/>
      <c r="DU38" s="289"/>
      <c r="DV38" s="289"/>
      <c r="DW38" s="289"/>
      <c r="DX38" s="259"/>
      <c r="DY38" s="279"/>
      <c r="DZ38" s="285"/>
      <c r="EM38" s="262"/>
      <c r="EN38" s="262"/>
      <c r="EO38" s="262"/>
      <c r="EP38" s="262"/>
      <c r="EQ38" s="262"/>
    </row>
    <row r="39" spans="1:147" ht="18" customHeight="1" thickBot="1">
      <c r="A39" s="269"/>
      <c r="B39" s="3"/>
      <c r="C39" s="3"/>
      <c r="D39" s="3"/>
      <c r="E39" s="3"/>
      <c r="F39" s="3"/>
      <c r="G39" s="3"/>
      <c r="H39" s="4"/>
      <c r="I39" s="5"/>
      <c r="J39" s="306"/>
      <c r="K39" s="326">
        <v>35</v>
      </c>
      <c r="L39" s="326"/>
      <c r="M39" s="326"/>
      <c r="N39" s="307"/>
      <c r="O39" s="165"/>
      <c r="P39" s="166"/>
      <c r="Q39" s="32"/>
      <c r="R39" s="32"/>
      <c r="S39" s="32"/>
      <c r="T39" s="32"/>
      <c r="U39" s="56"/>
      <c r="V39" s="56"/>
      <c r="W39" s="59"/>
      <c r="X39" s="10"/>
      <c r="Y39" s="334"/>
      <c r="Z39" s="335"/>
      <c r="AA39" s="335"/>
      <c r="AB39" s="335"/>
      <c r="AC39" s="336"/>
      <c r="AD39" s="3"/>
      <c r="AE39" s="3"/>
      <c r="AF39" s="3"/>
      <c r="AG39" s="3"/>
      <c r="AH39" s="3"/>
      <c r="AI39" s="43"/>
      <c r="AJ39" s="3"/>
      <c r="AK39" s="3"/>
      <c r="AL39" s="3"/>
      <c r="AM39" s="3"/>
      <c r="AN39" s="3"/>
      <c r="AO39" s="167"/>
      <c r="AP39" s="148"/>
      <c r="AQ39" s="306"/>
      <c r="AR39" s="214" t="str">
        <f>IF($CR$32="您破產了!","",IF(VLOOKUP("o",cal!$V:$AA,3,FALSE)=AR38,cal!$V$1,""))</f>
        <v/>
      </c>
      <c r="AS39" s="213"/>
      <c r="AT39" s="214" t="str">
        <f>IF($DM$32="您破產了!","",IF(VLOOKUP("o",cal!$AF:$AK,3,FALSE)=AR38,cal!$AF$1,""))</f>
        <v/>
      </c>
      <c r="AU39" s="307"/>
      <c r="AV39" s="168"/>
      <c r="AW39" s="148"/>
      <c r="AX39" s="169"/>
      <c r="AY39" s="170"/>
      <c r="AZ39" s="171"/>
      <c r="BA39" s="172"/>
      <c r="BB39" s="32"/>
      <c r="BC39" s="32"/>
      <c r="BD39" s="32"/>
      <c r="BE39" s="30"/>
      <c r="BF39" s="24"/>
      <c r="BG39" s="148"/>
      <c r="BH39" s="173"/>
      <c r="BI39" s="174"/>
      <c r="BJ39" s="174"/>
      <c r="BK39" s="174"/>
      <c r="BL39" s="148"/>
      <c r="BM39" s="148"/>
      <c r="BN39" s="148"/>
      <c r="BO39" s="148"/>
      <c r="BP39" s="148"/>
      <c r="BQ39" s="148"/>
      <c r="BR39" s="148"/>
      <c r="BS39" s="148"/>
      <c r="BT39" s="148"/>
      <c r="BU39" s="38"/>
      <c r="BV39" s="32"/>
      <c r="BW39" s="32"/>
      <c r="BX39" s="32"/>
      <c r="BY39" s="32"/>
      <c r="BZ39" s="33"/>
      <c r="CA39" s="148"/>
      <c r="CB39" s="148"/>
      <c r="CC39" s="154"/>
      <c r="CD39" s="3"/>
      <c r="CE39" s="3"/>
      <c r="CF39" s="3"/>
      <c r="CG39" s="3"/>
      <c r="CH39" s="3"/>
      <c r="CI39" s="3"/>
      <c r="CJ39" s="3"/>
      <c r="CK39" s="3"/>
      <c r="CL39" s="8"/>
      <c r="CM39" s="270"/>
      <c r="CN39" s="155"/>
      <c r="CO39" s="2"/>
      <c r="CP39" s="2"/>
      <c r="CQ39" s="212"/>
      <c r="CR39" s="287"/>
      <c r="CS39" s="288"/>
      <c r="CT39" s="288"/>
      <c r="CU39" s="288"/>
      <c r="CV39" s="288"/>
      <c r="CW39" s="288"/>
      <c r="CX39" s="289"/>
      <c r="CY39" s="289"/>
      <c r="CZ39" s="289"/>
      <c r="DA39" s="289"/>
      <c r="DB39" s="289"/>
      <c r="DC39" s="212"/>
      <c r="DD39" s="212"/>
      <c r="DE39" s="212"/>
      <c r="DF39" s="212"/>
      <c r="DG39" s="212"/>
      <c r="DH39" s="212"/>
      <c r="DI39" s="259"/>
      <c r="DJ39" s="259"/>
      <c r="DK39" s="259"/>
      <c r="DL39" s="259"/>
      <c r="DM39" s="287"/>
      <c r="DN39" s="288"/>
      <c r="DO39" s="288"/>
      <c r="DP39" s="288"/>
      <c r="DQ39" s="288"/>
      <c r="DR39" s="288"/>
      <c r="DS39" s="289"/>
      <c r="DT39" s="289"/>
      <c r="DU39" s="289"/>
      <c r="DV39" s="289"/>
      <c r="DW39" s="289"/>
      <c r="DX39" s="259"/>
      <c r="DY39" s="279"/>
      <c r="DZ39" s="285"/>
    </row>
    <row r="40" spans="1:147" ht="18" customHeight="1" thickBot="1">
      <c r="A40" s="269"/>
      <c r="B40" s="3"/>
      <c r="C40" s="3"/>
      <c r="D40" s="3"/>
      <c r="E40" s="3"/>
      <c r="F40" s="4"/>
      <c r="G40" s="5"/>
      <c r="H40" s="10"/>
      <c r="I40" s="10"/>
      <c r="J40" s="306"/>
      <c r="K40" s="214" t="str">
        <f>IF($CR$32="您破產了!","",IF(VLOOKUP("o",cal!$V:$AA,3,FALSE)=K39,cal!$V$1,""))</f>
        <v/>
      </c>
      <c r="L40" s="213"/>
      <c r="M40" s="214" t="str">
        <f>IF($DM$32="您破產了!","",IF(VLOOKUP("o",cal!$AF:$AK,3,FALSE)=K39,cal!$AF$1,""))</f>
        <v/>
      </c>
      <c r="N40" s="307"/>
      <c r="O40" s="30"/>
      <c r="P40" s="32"/>
      <c r="Q40" s="32"/>
      <c r="R40" s="32"/>
      <c r="S40" s="32"/>
      <c r="T40" s="59"/>
      <c r="U40" s="10"/>
      <c r="V40" s="10"/>
      <c r="W40" s="10"/>
      <c r="X40" s="10"/>
      <c r="Y40" s="10"/>
      <c r="Z40" s="10"/>
      <c r="AA40" s="37"/>
      <c r="AB40" s="13"/>
      <c r="AC40" s="3"/>
      <c r="AD40" s="3"/>
      <c r="AE40" s="3"/>
      <c r="AF40" s="3"/>
      <c r="AG40" s="3"/>
      <c r="AH40" s="3"/>
      <c r="AI40" s="43"/>
      <c r="AJ40" s="3"/>
      <c r="AK40" s="3"/>
      <c r="AL40" s="3"/>
      <c r="AM40" s="3"/>
      <c r="AN40" s="3"/>
      <c r="AO40" s="175"/>
      <c r="AP40" s="176"/>
      <c r="AQ40" s="303">
        <f>VLOOKUP(AR38,cal!$BE:$BJ,5,FALSE)</f>
        <v>2700</v>
      </c>
      <c r="AR40" s="304"/>
      <c r="AS40" s="304"/>
      <c r="AT40" s="304"/>
      <c r="AU40" s="305"/>
      <c r="AV40" s="177"/>
      <c r="AW40" s="35"/>
      <c r="AX40" s="300" t="s">
        <v>30</v>
      </c>
      <c r="AY40" s="301"/>
      <c r="AZ40" s="301"/>
      <c r="BA40" s="301"/>
      <c r="BB40" s="302"/>
      <c r="BC40" s="32"/>
      <c r="BD40" s="32"/>
      <c r="BE40" s="32"/>
      <c r="BF40" s="32"/>
      <c r="BG40" s="30"/>
      <c r="BH40" s="39"/>
      <c r="BI40" s="30"/>
      <c r="BJ40" s="24"/>
      <c r="BK40" s="148"/>
      <c r="BL40" s="300" t="s">
        <v>25</v>
      </c>
      <c r="BM40" s="301"/>
      <c r="BN40" s="301"/>
      <c r="BO40" s="301"/>
      <c r="BP40" s="302"/>
      <c r="BQ40" s="148"/>
      <c r="BR40" s="148"/>
      <c r="BS40" s="148"/>
      <c r="BT40" s="148"/>
      <c r="BU40" s="38"/>
      <c r="BV40" s="32"/>
      <c r="BW40" s="32"/>
      <c r="BX40" s="32"/>
      <c r="BY40" s="56"/>
      <c r="BZ40" s="59"/>
      <c r="CA40" s="148"/>
      <c r="CB40" s="148"/>
      <c r="CC40" s="154"/>
      <c r="CD40" s="3"/>
      <c r="CE40" s="3"/>
      <c r="CF40" s="3"/>
      <c r="CG40" s="3"/>
      <c r="CH40" s="3"/>
      <c r="CI40" s="3"/>
      <c r="CJ40" s="3"/>
      <c r="CK40" s="3"/>
      <c r="CL40" s="8"/>
      <c r="CM40" s="270"/>
      <c r="CN40" s="155"/>
      <c r="CO40" s="2"/>
      <c r="CP40" s="1"/>
      <c r="CQ40" s="259"/>
      <c r="CR40" s="295" t="s">
        <v>228</v>
      </c>
      <c r="CS40" s="295"/>
      <c r="CT40" s="295"/>
      <c r="CU40" s="295"/>
      <c r="CV40" s="295"/>
      <c r="CW40" s="295"/>
      <c r="CX40" s="295"/>
      <c r="CY40" s="290">
        <f>cal!AV4</f>
        <v>20000</v>
      </c>
      <c r="CZ40" s="290"/>
      <c r="DA40" s="290"/>
      <c r="DB40" s="290"/>
      <c r="DC40" s="290"/>
      <c r="DD40" s="290"/>
      <c r="DE40" s="259"/>
      <c r="DF40" s="259"/>
      <c r="DG40" s="259"/>
      <c r="DH40" s="259"/>
      <c r="DI40" s="259"/>
      <c r="DJ40" s="259"/>
      <c r="DK40" s="259"/>
      <c r="DL40" s="259"/>
      <c r="DM40" s="295" t="s">
        <v>228</v>
      </c>
      <c r="DN40" s="295"/>
      <c r="DO40" s="295"/>
      <c r="DP40" s="295"/>
      <c r="DQ40" s="295"/>
      <c r="DR40" s="295"/>
      <c r="DS40" s="295"/>
      <c r="DT40" s="290">
        <f>cal!AV5</f>
        <v>20000</v>
      </c>
      <c r="DU40" s="290"/>
      <c r="DV40" s="290"/>
      <c r="DW40" s="290"/>
      <c r="DX40" s="290"/>
      <c r="DY40" s="291"/>
      <c r="DZ40" s="285"/>
    </row>
    <row r="41" spans="1:147" ht="18" customHeight="1" thickBot="1">
      <c r="A41" s="269"/>
      <c r="B41" s="3"/>
      <c r="C41" s="3"/>
      <c r="D41" s="4"/>
      <c r="E41" s="5"/>
      <c r="F41" s="10"/>
      <c r="G41" s="10"/>
      <c r="H41" s="10"/>
      <c r="I41" s="10"/>
      <c r="J41" s="303">
        <f>VLOOKUP(K39,cal!$BE:$BJ,5,FALSE)</f>
        <v>1200</v>
      </c>
      <c r="K41" s="304"/>
      <c r="L41" s="304"/>
      <c r="M41" s="304"/>
      <c r="N41" s="305"/>
      <c r="O41" s="32"/>
      <c r="P41" s="32"/>
      <c r="Q41" s="32"/>
      <c r="R41" s="32"/>
      <c r="S41" s="32"/>
      <c r="T41" s="300" t="s">
        <v>238</v>
      </c>
      <c r="U41" s="301"/>
      <c r="V41" s="301"/>
      <c r="W41" s="301"/>
      <c r="X41" s="302"/>
      <c r="Y41" s="12"/>
      <c r="Z41" s="19"/>
      <c r="AA41" s="29"/>
      <c r="AB41" s="13"/>
      <c r="AC41" s="3"/>
      <c r="AD41" s="3"/>
      <c r="AE41" s="3"/>
      <c r="AF41" s="3"/>
      <c r="AG41" s="3"/>
      <c r="AH41" s="3"/>
      <c r="AI41" s="43"/>
      <c r="AJ41" s="3"/>
      <c r="AK41" s="3"/>
      <c r="AL41" s="3"/>
      <c r="AM41" s="3"/>
      <c r="AN41" s="3"/>
      <c r="AO41" s="3"/>
      <c r="AP41" s="3"/>
      <c r="AQ41" s="167"/>
      <c r="AR41" s="148"/>
      <c r="AS41" s="173"/>
      <c r="AT41" s="174"/>
      <c r="AU41" s="99"/>
      <c r="AV41" s="44"/>
      <c r="AW41" s="178"/>
      <c r="AX41" s="306"/>
      <c r="AY41" s="214" t="str">
        <f>IF($CR$28="您破產了!","",IF(VLOOKUP("o",cal!$B:$G,3,FALSE)=AY42,cal!$B$1,""))</f>
        <v/>
      </c>
      <c r="AZ41" s="260"/>
      <c r="BA41" s="214" t="str">
        <f>IF($DM$28="您破產了!","",IF(VLOOKUP("o",cal!$L:$Q,3,FALSE)=AY42,cal!$L$1,""))</f>
        <v/>
      </c>
      <c r="BB41" s="307"/>
      <c r="BC41" s="32"/>
      <c r="BD41" s="32"/>
      <c r="BE41" s="32"/>
      <c r="BF41" s="32"/>
      <c r="BG41" s="32"/>
      <c r="BH41" s="44"/>
      <c r="BI41" s="32"/>
      <c r="BJ41" s="32"/>
      <c r="BK41" s="35"/>
      <c r="BL41" s="306"/>
      <c r="BM41" s="214" t="str">
        <f>IF($CR$28="您破產了!","",IF(VLOOKUP("o",cal!$B:$G,3,FALSE)=BM42,cal!$B$1,""))</f>
        <v/>
      </c>
      <c r="BN41" s="260"/>
      <c r="BO41" s="214" t="str">
        <f>IF($DM$28="您破產了!","",IF(VLOOKUP("o",cal!$L:$Q,3,FALSE)=BM42,cal!$L$1,""))</f>
        <v/>
      </c>
      <c r="BP41" s="307"/>
      <c r="BQ41" s="148"/>
      <c r="BR41" s="23"/>
      <c r="BS41" s="30"/>
      <c r="BT41" s="30"/>
      <c r="BU41" s="32"/>
      <c r="BV41" s="32"/>
      <c r="BW41" s="32"/>
      <c r="BX41" s="33"/>
      <c r="BY41" s="148"/>
      <c r="BZ41" s="148"/>
      <c r="CA41" s="148"/>
      <c r="CB41" s="176"/>
      <c r="CC41" s="162"/>
      <c r="CD41" s="3"/>
      <c r="CE41" s="3"/>
      <c r="CF41" s="3"/>
      <c r="CG41" s="3"/>
      <c r="CH41" s="3"/>
      <c r="CI41" s="3"/>
      <c r="CJ41" s="3"/>
      <c r="CK41" s="3"/>
      <c r="CL41" s="8"/>
      <c r="CM41" s="270"/>
      <c r="CN41" s="155"/>
      <c r="CO41" s="2"/>
      <c r="CP41" s="1"/>
      <c r="CQ41" s="259"/>
      <c r="CR41" s="295"/>
      <c r="CS41" s="295"/>
      <c r="CT41" s="295"/>
      <c r="CU41" s="295"/>
      <c r="CV41" s="295"/>
      <c r="CW41" s="295"/>
      <c r="CX41" s="295"/>
      <c r="CY41" s="290"/>
      <c r="CZ41" s="290"/>
      <c r="DA41" s="290"/>
      <c r="DB41" s="290"/>
      <c r="DC41" s="290"/>
      <c r="DD41" s="290"/>
      <c r="DE41" s="259"/>
      <c r="DF41" s="259"/>
      <c r="DG41" s="259"/>
      <c r="DH41" s="259"/>
      <c r="DI41" s="259"/>
      <c r="DJ41" s="259"/>
      <c r="DK41" s="259"/>
      <c r="DL41" s="259"/>
      <c r="DM41" s="295"/>
      <c r="DN41" s="295"/>
      <c r="DO41" s="295"/>
      <c r="DP41" s="295"/>
      <c r="DQ41" s="295"/>
      <c r="DR41" s="295"/>
      <c r="DS41" s="295"/>
      <c r="DT41" s="290"/>
      <c r="DU41" s="290"/>
      <c r="DV41" s="290"/>
      <c r="DW41" s="290"/>
      <c r="DX41" s="290"/>
      <c r="DY41" s="291"/>
      <c r="DZ41" s="285"/>
    </row>
    <row r="42" spans="1:147" ht="18" customHeight="1" thickBot="1">
      <c r="A42" s="269"/>
      <c r="B42" s="3"/>
      <c r="C42" s="3"/>
      <c r="D42" s="9"/>
      <c r="E42" s="10"/>
      <c r="F42" s="23"/>
      <c r="G42" s="24"/>
      <c r="H42" s="10"/>
      <c r="I42" s="10"/>
      <c r="J42" s="10"/>
      <c r="K42" s="10"/>
      <c r="L42" s="10"/>
      <c r="M42" s="179"/>
      <c r="N42" s="180"/>
      <c r="O42" s="32"/>
      <c r="P42" s="32"/>
      <c r="Q42" s="32"/>
      <c r="R42" s="32"/>
      <c r="S42" s="32"/>
      <c r="T42" s="306"/>
      <c r="U42" s="214" t="str">
        <f>IF($CR$28="您破產了!","",IF(VLOOKUP("o",cal!$B:$G,3,FALSE)=U43,cal!$B$1,""))</f>
        <v/>
      </c>
      <c r="V42" s="260"/>
      <c r="W42" s="214" t="str">
        <f>IF($DM$28="您破產了!","",IF(VLOOKUP("o",cal!$L:$Q,3,FALSE)=U43,cal!$L$1,""))</f>
        <v/>
      </c>
      <c r="X42" s="307"/>
      <c r="Y42" s="87"/>
      <c r="Z42" s="87"/>
      <c r="AA42" s="87"/>
      <c r="AB42" s="11"/>
      <c r="AC42" s="3"/>
      <c r="AD42" s="3"/>
      <c r="AE42" s="3"/>
      <c r="AF42" s="3"/>
      <c r="AG42" s="3"/>
      <c r="AH42" s="3"/>
      <c r="AI42" s="43"/>
      <c r="AJ42" s="3"/>
      <c r="AK42" s="3"/>
      <c r="AL42" s="181"/>
      <c r="AM42" s="3"/>
      <c r="AN42" s="3"/>
      <c r="AO42" s="3"/>
      <c r="AP42" s="3"/>
      <c r="AQ42" s="175"/>
      <c r="AR42" s="148"/>
      <c r="AS42" s="182"/>
      <c r="AT42" s="183"/>
      <c r="AU42" s="148"/>
      <c r="AV42" s="184"/>
      <c r="AW42" s="185"/>
      <c r="AX42" s="306"/>
      <c r="AY42" s="326">
        <v>30</v>
      </c>
      <c r="AZ42" s="326"/>
      <c r="BA42" s="326"/>
      <c r="BB42" s="307"/>
      <c r="BC42" s="32"/>
      <c r="BD42" s="32"/>
      <c r="BE42" s="32"/>
      <c r="BF42" s="32"/>
      <c r="BG42" s="56"/>
      <c r="BH42" s="97"/>
      <c r="BI42" s="186"/>
      <c r="BJ42" s="64"/>
      <c r="BK42" s="187"/>
      <c r="BL42" s="306"/>
      <c r="BM42" s="326">
        <v>26</v>
      </c>
      <c r="BN42" s="326"/>
      <c r="BO42" s="326"/>
      <c r="BP42" s="307"/>
      <c r="BQ42" s="31"/>
      <c r="BR42" s="32"/>
      <c r="BS42" s="32"/>
      <c r="BT42" s="32"/>
      <c r="BU42" s="32"/>
      <c r="BV42" s="32"/>
      <c r="BW42" s="32"/>
      <c r="BX42" s="33"/>
      <c r="BY42" s="148"/>
      <c r="BZ42" s="148"/>
      <c r="CA42" s="154"/>
      <c r="CB42" s="3"/>
      <c r="CC42" s="3"/>
      <c r="CD42" s="3"/>
      <c r="CE42" s="3"/>
      <c r="CF42" s="3"/>
      <c r="CG42" s="3"/>
      <c r="CH42" s="3"/>
      <c r="CI42" s="3"/>
      <c r="CJ42" s="3"/>
      <c r="CK42" s="3"/>
      <c r="CL42" s="8"/>
      <c r="CM42" s="270"/>
      <c r="CN42" s="271"/>
      <c r="CO42" s="1"/>
      <c r="CP42" s="1"/>
      <c r="CQ42" s="259"/>
      <c r="CR42" s="294" t="s">
        <v>251</v>
      </c>
      <c r="CS42" s="294"/>
      <c r="CT42" s="294"/>
      <c r="CU42" s="294"/>
      <c r="CV42" s="294"/>
      <c r="CW42" s="294"/>
      <c r="CX42" s="294"/>
      <c r="CY42" s="292" t="str">
        <f>cal!AX4 &amp; " ("&amp;cal!AW4&amp;")"</f>
        <v>0 (0)</v>
      </c>
      <c r="CZ42" s="292"/>
      <c r="DA42" s="292"/>
      <c r="DB42" s="292"/>
      <c r="DC42" s="292"/>
      <c r="DD42" s="292"/>
      <c r="DE42" s="259"/>
      <c r="DF42" s="259"/>
      <c r="DG42" s="259"/>
      <c r="DH42" s="259"/>
      <c r="DI42" s="259"/>
      <c r="DJ42" s="259"/>
      <c r="DK42" s="259"/>
      <c r="DL42" s="259"/>
      <c r="DM42" s="294" t="s">
        <v>251</v>
      </c>
      <c r="DN42" s="294"/>
      <c r="DO42" s="294"/>
      <c r="DP42" s="294"/>
      <c r="DQ42" s="294"/>
      <c r="DR42" s="294"/>
      <c r="DS42" s="294"/>
      <c r="DT42" s="292" t="str">
        <f>cal!AX5 &amp; " ("&amp;cal!AW5&amp;")"</f>
        <v>0 (0)</v>
      </c>
      <c r="DU42" s="292"/>
      <c r="DV42" s="292"/>
      <c r="DW42" s="292"/>
      <c r="DX42" s="292"/>
      <c r="DY42" s="293"/>
      <c r="DZ42" s="285"/>
    </row>
    <row r="43" spans="1:147" ht="18" customHeight="1" thickBot="1">
      <c r="A43" s="269"/>
      <c r="B43" s="3"/>
      <c r="C43" s="3"/>
      <c r="D43" s="9"/>
      <c r="E43" s="10"/>
      <c r="F43" s="38"/>
      <c r="G43" s="32"/>
      <c r="H43" s="30"/>
      <c r="I43" s="30"/>
      <c r="J43" s="30"/>
      <c r="K43" s="30"/>
      <c r="L43" s="30"/>
      <c r="M43" s="32"/>
      <c r="N43" s="32"/>
      <c r="O43" s="32"/>
      <c r="P43" s="32"/>
      <c r="Q43" s="33"/>
      <c r="R43" s="10"/>
      <c r="S43" s="107"/>
      <c r="T43" s="306"/>
      <c r="U43" s="326">
        <v>33</v>
      </c>
      <c r="V43" s="326"/>
      <c r="W43" s="326"/>
      <c r="X43" s="307"/>
      <c r="Y43" s="3"/>
      <c r="Z43" s="3"/>
      <c r="AA43" s="3"/>
      <c r="AB43" s="3"/>
      <c r="AC43" s="3"/>
      <c r="AD43" s="3"/>
      <c r="AE43" s="3"/>
      <c r="AF43" s="3"/>
      <c r="AG43" s="3"/>
      <c r="AH43" s="3"/>
      <c r="AI43" s="145"/>
      <c r="AJ43" s="129"/>
      <c r="AK43" s="188"/>
      <c r="AL43" s="189"/>
      <c r="AM43" s="3"/>
      <c r="AN43" s="3"/>
      <c r="AO43" s="3"/>
      <c r="AP43" s="3"/>
      <c r="AQ43" s="3"/>
      <c r="AR43" s="300" t="s">
        <v>29</v>
      </c>
      <c r="AS43" s="301"/>
      <c r="AT43" s="301"/>
      <c r="AU43" s="301"/>
      <c r="AV43" s="302"/>
      <c r="AW43" s="32"/>
      <c r="AX43" s="306"/>
      <c r="AY43" s="214" t="str">
        <f>IF($CR$32="您破產了!","",IF(VLOOKUP("o",cal!$V:$AA,3,FALSE)=AY42,cal!$V$1,""))</f>
        <v/>
      </c>
      <c r="AZ43" s="213"/>
      <c r="BA43" s="214" t="str">
        <f>IF($DM$32="您破產了!","",IF(VLOOKUP("o",cal!$AF:$AK,3,FALSE)=AY42,cal!$AF$1,""))</f>
        <v/>
      </c>
      <c r="BB43" s="307"/>
      <c r="BC43" s="190"/>
      <c r="BD43" s="56"/>
      <c r="BE43" s="32"/>
      <c r="BF43" s="33"/>
      <c r="BG43" s="148"/>
      <c r="BH43" s="148"/>
      <c r="BI43" s="148"/>
      <c r="BJ43" s="148"/>
      <c r="BK43" s="166"/>
      <c r="BL43" s="306"/>
      <c r="BM43" s="214" t="str">
        <f>IF($CR$32="您破產了!","",IF(VLOOKUP("o",cal!$V:$AA,3,FALSE)=BM42,cal!$V$1,""))</f>
        <v/>
      </c>
      <c r="BN43" s="213"/>
      <c r="BO43" s="214" t="str">
        <f>IF($DM$32="您破產了!","",IF(VLOOKUP("o",cal!$AF:$AK,3,FALSE)=BM42,cal!$AF$1,""))</f>
        <v/>
      </c>
      <c r="BP43" s="307"/>
      <c r="BQ43" s="32"/>
      <c r="BR43" s="56"/>
      <c r="BS43" s="56"/>
      <c r="BT43" s="56"/>
      <c r="BU43" s="56"/>
      <c r="BV43" s="56"/>
      <c r="BW43" s="56"/>
      <c r="BX43" s="59"/>
      <c r="BY43" s="148"/>
      <c r="BZ43" s="148"/>
      <c r="CA43" s="154"/>
      <c r="CB43" s="3"/>
      <c r="CC43" s="3"/>
      <c r="CD43" s="3"/>
      <c r="CE43" s="3"/>
      <c r="CF43" s="3"/>
      <c r="CG43" s="3"/>
      <c r="CH43" s="3"/>
      <c r="CI43" s="3"/>
      <c r="CJ43" s="3"/>
      <c r="CK43" s="3"/>
      <c r="CL43" s="8"/>
      <c r="CM43" s="270"/>
      <c r="CN43" s="271"/>
      <c r="CO43" s="1"/>
      <c r="CP43" s="1"/>
      <c r="CQ43" s="259"/>
      <c r="CR43" s="294"/>
      <c r="CS43" s="294"/>
      <c r="CT43" s="294"/>
      <c r="CU43" s="294"/>
      <c r="CV43" s="294"/>
      <c r="CW43" s="294"/>
      <c r="CX43" s="294"/>
      <c r="CY43" s="292"/>
      <c r="CZ43" s="292"/>
      <c r="DA43" s="292"/>
      <c r="DB43" s="292"/>
      <c r="DC43" s="292"/>
      <c r="DD43" s="292"/>
      <c r="DE43" s="273"/>
      <c r="DF43" s="273"/>
      <c r="DG43" s="259"/>
      <c r="DH43" s="259"/>
      <c r="DI43" s="273"/>
      <c r="DJ43" s="273"/>
      <c r="DK43" s="273"/>
      <c r="DL43" s="273"/>
      <c r="DM43" s="294"/>
      <c r="DN43" s="294"/>
      <c r="DO43" s="294"/>
      <c r="DP43" s="294"/>
      <c r="DQ43" s="294"/>
      <c r="DR43" s="294"/>
      <c r="DS43" s="294"/>
      <c r="DT43" s="292"/>
      <c r="DU43" s="292"/>
      <c r="DV43" s="292"/>
      <c r="DW43" s="292"/>
      <c r="DX43" s="292"/>
      <c r="DY43" s="293"/>
      <c r="DZ43" s="285"/>
    </row>
    <row r="44" spans="1:147" ht="18" customHeight="1" thickBot="1">
      <c r="A44" s="269"/>
      <c r="B44" s="3"/>
      <c r="C44" s="3"/>
      <c r="D44" s="9"/>
      <c r="E44" s="10"/>
      <c r="F44" s="38"/>
      <c r="G44" s="32"/>
      <c r="H44" s="32"/>
      <c r="I44" s="32"/>
      <c r="J44" s="32"/>
      <c r="K44" s="32"/>
      <c r="L44" s="32"/>
      <c r="M44" s="32"/>
      <c r="N44" s="32"/>
      <c r="O44" s="32"/>
      <c r="P44" s="32"/>
      <c r="Q44" s="59"/>
      <c r="R44" s="13"/>
      <c r="S44" s="3"/>
      <c r="T44" s="306"/>
      <c r="U44" s="214" t="str">
        <f>IF($CR$32="您破產了!","",IF(VLOOKUP("o",cal!$V:$AA,3,FALSE)=U43,cal!$V$1,""))</f>
        <v/>
      </c>
      <c r="V44" s="213"/>
      <c r="W44" s="214" t="str">
        <f>IF($DM$32="您破產了!","",IF(VLOOKUP("o",cal!$AF:$AK,3,FALSE)=U43,cal!$AF$1,""))</f>
        <v/>
      </c>
      <c r="X44" s="307"/>
      <c r="Y44" s="3"/>
      <c r="Z44" s="3"/>
      <c r="AA44" s="3"/>
      <c r="AB44" s="3"/>
      <c r="AC44" s="3"/>
      <c r="AD44" s="3"/>
      <c r="AE44" s="3"/>
      <c r="AF44" s="3"/>
      <c r="AG44" s="3"/>
      <c r="AH44" s="300" t="s">
        <v>239</v>
      </c>
      <c r="AI44" s="301"/>
      <c r="AJ44" s="301"/>
      <c r="AK44" s="301"/>
      <c r="AL44" s="302"/>
      <c r="AM44" s="3"/>
      <c r="AN44" s="3"/>
      <c r="AO44" s="3"/>
      <c r="AP44" s="3"/>
      <c r="AQ44" s="3"/>
      <c r="AR44" s="306"/>
      <c r="AS44" s="214" t="str">
        <f>IF($CR$28="您破產了!","",IF(VLOOKUP("o",cal!$B:$G,3,FALSE)=AS45,cal!$B$1,""))</f>
        <v/>
      </c>
      <c r="AT44" s="260"/>
      <c r="AU44" s="214" t="str">
        <f>IF($DM$28="您破產了!","",IF(VLOOKUP("o",cal!$L:$Q,3,FALSE)=AS45,cal!$L$1,""))</f>
        <v/>
      </c>
      <c r="AV44" s="307"/>
      <c r="AW44" s="32"/>
      <c r="AX44" s="303">
        <f>VLOOKUP(AY42,cal!$BE:$BJ,5,FALSE)</f>
        <v>3600</v>
      </c>
      <c r="AY44" s="304"/>
      <c r="AZ44" s="304"/>
      <c r="BA44" s="304"/>
      <c r="BB44" s="305"/>
      <c r="BC44" s="148"/>
      <c r="BD44" s="148"/>
      <c r="BE44" s="300" t="s">
        <v>31</v>
      </c>
      <c r="BF44" s="301"/>
      <c r="BG44" s="301"/>
      <c r="BH44" s="301"/>
      <c r="BI44" s="302"/>
      <c r="BJ44" s="148"/>
      <c r="BK44" s="38"/>
      <c r="BL44" s="303">
        <f>VLOOKUP(BM42,cal!$BE:$BJ,5,FALSE)</f>
        <v>3000</v>
      </c>
      <c r="BM44" s="304"/>
      <c r="BN44" s="304"/>
      <c r="BO44" s="304"/>
      <c r="BP44" s="305"/>
      <c r="BQ44" s="191"/>
      <c r="BR44" s="148"/>
      <c r="BS44" s="176"/>
      <c r="BT44" s="148"/>
      <c r="BU44" s="148"/>
      <c r="BV44" s="148"/>
      <c r="BW44" s="148"/>
      <c r="BX44" s="148"/>
      <c r="BY44" s="176"/>
      <c r="BZ44" s="176"/>
      <c r="CA44" s="162"/>
      <c r="CB44" s="3"/>
      <c r="CC44" s="3"/>
      <c r="CD44" s="3"/>
      <c r="CE44" s="3"/>
      <c r="CF44" s="3"/>
      <c r="CG44" s="3"/>
      <c r="CH44" s="3"/>
      <c r="CI44" s="3"/>
      <c r="CJ44" s="3"/>
      <c r="CK44" s="3"/>
      <c r="CL44" s="8"/>
      <c r="CM44" s="270"/>
      <c r="CN44" s="271"/>
      <c r="CO44" s="1"/>
      <c r="CP44" s="1"/>
      <c r="CQ44" s="259"/>
      <c r="CR44" s="273"/>
      <c r="CS44" s="273"/>
      <c r="CT44" s="273"/>
      <c r="CU44" s="273"/>
      <c r="CV44" s="273"/>
      <c r="CW44" s="273"/>
      <c r="CX44" s="273"/>
      <c r="CY44" s="273"/>
      <c r="CZ44" s="273"/>
      <c r="DA44" s="273"/>
      <c r="DB44" s="273"/>
      <c r="DC44" s="273"/>
      <c r="DD44" s="273"/>
      <c r="DE44" s="273"/>
      <c r="DF44" s="273"/>
      <c r="DG44" s="259"/>
      <c r="DH44" s="259"/>
      <c r="DI44" s="273"/>
      <c r="DJ44" s="273"/>
      <c r="DK44" s="273"/>
      <c r="DL44" s="273"/>
      <c r="DM44" s="273"/>
      <c r="DN44" s="273"/>
      <c r="DO44" s="273"/>
      <c r="DP44" s="273"/>
      <c r="DQ44" s="273"/>
      <c r="DR44" s="273"/>
      <c r="DS44" s="273"/>
      <c r="DT44" s="273"/>
      <c r="DU44" s="273"/>
      <c r="DV44" s="273"/>
      <c r="DW44" s="273"/>
      <c r="DX44" s="259"/>
      <c r="DY44" s="279"/>
      <c r="DZ44" s="285"/>
    </row>
    <row r="45" spans="1:147" ht="18" customHeight="1" thickBot="1">
      <c r="A45" s="269"/>
      <c r="B45" s="4"/>
      <c r="C45" s="5"/>
      <c r="D45" s="10"/>
      <c r="E45" s="10"/>
      <c r="F45" s="38"/>
      <c r="G45" s="32"/>
      <c r="H45" s="32"/>
      <c r="I45" s="32"/>
      <c r="J45" s="32"/>
      <c r="K45" s="32"/>
      <c r="L45" s="32"/>
      <c r="M45" s="32"/>
      <c r="N45" s="56"/>
      <c r="O45" s="56"/>
      <c r="P45" s="59"/>
      <c r="Q45" s="10"/>
      <c r="R45" s="13"/>
      <c r="S45" s="3"/>
      <c r="T45" s="303">
        <f>VLOOKUP(U43,cal!$BE:$BJ,5,FALSE)</f>
        <v>3000</v>
      </c>
      <c r="U45" s="304"/>
      <c r="V45" s="304"/>
      <c r="W45" s="304"/>
      <c r="X45" s="305"/>
      <c r="Y45" s="3"/>
      <c r="Z45" s="3"/>
      <c r="AA45" s="3"/>
      <c r="AB45" s="3"/>
      <c r="AC45" s="3"/>
      <c r="AD45" s="3"/>
      <c r="AE45" s="3"/>
      <c r="AF45" s="3"/>
      <c r="AG45" s="3"/>
      <c r="AH45" s="306"/>
      <c r="AI45" s="214" t="str">
        <f>IF($CR$28="您破產了!","",IF(VLOOKUP("o",cal!$B:$G,3,FALSE)=AI46,cal!$B$1,""))</f>
        <v/>
      </c>
      <c r="AJ45" s="260"/>
      <c r="AK45" s="214" t="str">
        <f>IF($DM$28="您破產了!","",IF(VLOOKUP("o",cal!$L:$Q,3,FALSE)=AI46,cal!$L$1,""))</f>
        <v/>
      </c>
      <c r="AL45" s="307"/>
      <c r="AM45" s="3"/>
      <c r="AN45" s="3"/>
      <c r="AO45" s="3"/>
      <c r="AP45" s="3"/>
      <c r="AQ45" s="3"/>
      <c r="AR45" s="306"/>
      <c r="AS45" s="326">
        <v>28</v>
      </c>
      <c r="AT45" s="326"/>
      <c r="AU45" s="326"/>
      <c r="AV45" s="307"/>
      <c r="AW45" s="190"/>
      <c r="AX45" s="56"/>
      <c r="AY45" s="56"/>
      <c r="AZ45" s="56"/>
      <c r="BA45" s="56"/>
      <c r="BB45" s="192"/>
      <c r="BC45" s="148"/>
      <c r="BD45" s="193"/>
      <c r="BE45" s="306"/>
      <c r="BF45" s="214" t="str">
        <f>IF($CR$28="您破產了!","",IF(VLOOKUP("o",cal!$B:$G,3,FALSE)=BF46,cal!$B$1,""))</f>
        <v/>
      </c>
      <c r="BG45" s="260"/>
      <c r="BH45" s="214" t="str">
        <f>IF($DM$28="您破產了!","",IF(VLOOKUP("o",cal!$L:$Q,3,FALSE)=BF46,cal!$L$1,""))</f>
        <v/>
      </c>
      <c r="BI45" s="307"/>
      <c r="BJ45" s="175"/>
      <c r="BK45" s="99"/>
      <c r="BL45" s="56"/>
      <c r="BM45" s="194"/>
      <c r="BN45" s="195"/>
      <c r="BO45" s="180"/>
      <c r="BP45" s="196"/>
      <c r="BQ45" s="148"/>
      <c r="BR45" s="162"/>
      <c r="BS45" s="3"/>
      <c r="BT45" s="175"/>
      <c r="BU45" s="148"/>
      <c r="BV45" s="148"/>
      <c r="BW45" s="148"/>
      <c r="BX45" s="154"/>
      <c r="BY45" s="3"/>
      <c r="BZ45" s="3"/>
      <c r="CA45" s="3"/>
      <c r="CB45" s="3"/>
      <c r="CC45" s="3"/>
      <c r="CD45" s="3"/>
      <c r="CE45" s="3"/>
      <c r="CF45" s="3"/>
      <c r="CG45" s="3"/>
      <c r="CH45" s="3"/>
      <c r="CI45" s="3"/>
      <c r="CJ45" s="3"/>
      <c r="CK45" s="3"/>
      <c r="CL45" s="8"/>
      <c r="CM45" s="270"/>
      <c r="CN45" s="271"/>
      <c r="CO45" s="1"/>
      <c r="CP45" s="1"/>
      <c r="CQ45" s="259"/>
      <c r="CR45" s="273"/>
      <c r="CS45" s="273"/>
      <c r="CT45" s="273"/>
      <c r="CU45" s="273"/>
      <c r="CV45" s="273"/>
      <c r="CW45" s="273"/>
      <c r="CX45" s="273"/>
      <c r="CY45" s="273"/>
      <c r="CZ45" s="273"/>
      <c r="DA45" s="273"/>
      <c r="DB45" s="273"/>
      <c r="DC45" s="275"/>
      <c r="DD45" s="275"/>
      <c r="DE45" s="275"/>
      <c r="DF45" s="275"/>
      <c r="DG45" s="259"/>
      <c r="DH45" s="259"/>
      <c r="DI45" s="275"/>
      <c r="DJ45" s="275"/>
      <c r="DK45" s="275"/>
      <c r="DL45" s="275"/>
      <c r="DM45" s="273"/>
      <c r="DN45" s="273"/>
      <c r="DO45" s="273"/>
      <c r="DP45" s="273"/>
      <c r="DQ45" s="273"/>
      <c r="DR45" s="273"/>
      <c r="DS45" s="273"/>
      <c r="DT45" s="273"/>
      <c r="DU45" s="273"/>
      <c r="DV45" s="273"/>
      <c r="DW45" s="273"/>
      <c r="DX45" s="259"/>
      <c r="DY45" s="279"/>
      <c r="DZ45" s="285"/>
    </row>
    <row r="46" spans="1:147" ht="18" customHeight="1" thickBot="1">
      <c r="A46" s="269"/>
      <c r="B46" s="9"/>
      <c r="C46" s="10"/>
      <c r="D46" s="10"/>
      <c r="E46" s="10"/>
      <c r="F46" s="99"/>
      <c r="G46" s="56"/>
      <c r="H46" s="32"/>
      <c r="I46" s="32"/>
      <c r="J46" s="32"/>
      <c r="K46" s="32"/>
      <c r="L46" s="32"/>
      <c r="M46" s="59"/>
      <c r="N46" s="10"/>
      <c r="O46" s="10"/>
      <c r="P46" s="10"/>
      <c r="Q46" s="10"/>
      <c r="R46" s="11"/>
      <c r="S46" s="3"/>
      <c r="T46" s="3"/>
      <c r="U46" s="3"/>
      <c r="V46" s="104"/>
      <c r="W46" s="197"/>
      <c r="X46" s="26"/>
      <c r="Y46" s="26"/>
      <c r="Z46" s="26"/>
      <c r="AA46" s="26"/>
      <c r="AB46" s="26"/>
      <c r="AC46" s="26"/>
      <c r="AD46" s="26"/>
      <c r="AE46" s="26"/>
      <c r="AF46" s="26"/>
      <c r="AG46" s="198"/>
      <c r="AH46" s="306"/>
      <c r="AI46" s="326">
        <v>32</v>
      </c>
      <c r="AJ46" s="326"/>
      <c r="AK46" s="326"/>
      <c r="AL46" s="307"/>
      <c r="AM46" s="3"/>
      <c r="AN46" s="3"/>
      <c r="AO46" s="3"/>
      <c r="AP46" s="3"/>
      <c r="AQ46" s="3"/>
      <c r="AR46" s="306"/>
      <c r="AS46" s="214" t="str">
        <f>IF($CR$32="您破產了!","",IF(VLOOKUP("o",cal!$V:$AA,3,FALSE)=AS45,cal!$V$1,""))</f>
        <v/>
      </c>
      <c r="AT46" s="213"/>
      <c r="AU46" s="214" t="str">
        <f>IF($DM$32="您破產了!","",IF(VLOOKUP("o",cal!$AF:$AK,3,FALSE)=AS45,cal!$AF$1,""))</f>
        <v/>
      </c>
      <c r="AV46" s="307"/>
      <c r="AW46" s="199"/>
      <c r="AX46" s="176"/>
      <c r="AY46" s="176"/>
      <c r="AZ46" s="176"/>
      <c r="BA46" s="176"/>
      <c r="BB46" s="176"/>
      <c r="BC46" s="200"/>
      <c r="BD46" s="3"/>
      <c r="BE46" s="306"/>
      <c r="BF46" s="326">
        <v>27</v>
      </c>
      <c r="BG46" s="326"/>
      <c r="BH46" s="326"/>
      <c r="BI46" s="307"/>
      <c r="BJ46" s="201"/>
      <c r="BK46" s="202"/>
      <c r="BL46" s="152"/>
      <c r="BM46" s="203"/>
      <c r="BN46" s="204"/>
      <c r="BO46" s="56"/>
      <c r="BP46" s="59"/>
      <c r="BQ46" s="154"/>
      <c r="BR46" s="3"/>
      <c r="BS46" s="3"/>
      <c r="BT46" s="3"/>
      <c r="BU46" s="175"/>
      <c r="BV46" s="148"/>
      <c r="BW46" s="148"/>
      <c r="BX46" s="154"/>
      <c r="BY46" s="3"/>
      <c r="BZ46" s="3"/>
      <c r="CA46" s="3"/>
      <c r="CB46" s="3"/>
      <c r="CC46" s="3"/>
      <c r="CD46" s="3"/>
      <c r="CE46" s="3"/>
      <c r="CF46" s="3"/>
      <c r="CG46" s="3"/>
      <c r="CH46" s="3"/>
      <c r="CI46" s="3"/>
      <c r="CJ46" s="3"/>
      <c r="CK46" s="3"/>
      <c r="CL46" s="8"/>
      <c r="CM46" s="270"/>
      <c r="CN46" s="271"/>
      <c r="CO46" s="1"/>
      <c r="CP46" s="1"/>
      <c r="CQ46" s="259"/>
      <c r="CR46" s="273"/>
      <c r="CS46" s="273"/>
      <c r="CT46" s="273"/>
      <c r="CU46" s="273"/>
      <c r="CV46" s="273"/>
      <c r="CW46" s="273"/>
      <c r="CX46" s="273"/>
      <c r="CY46" s="273"/>
      <c r="CZ46" s="273"/>
      <c r="DA46" s="273"/>
      <c r="DB46" s="273"/>
      <c r="DC46" s="275"/>
      <c r="DD46" s="275"/>
      <c r="DE46" s="275"/>
      <c r="DF46" s="275"/>
      <c r="DG46" s="259"/>
      <c r="DH46" s="259"/>
      <c r="DI46" s="275"/>
      <c r="DJ46" s="275"/>
      <c r="DK46" s="275"/>
      <c r="DL46" s="275"/>
      <c r="DM46" s="273"/>
      <c r="DN46" s="273"/>
      <c r="DO46" s="273"/>
      <c r="DP46" s="273"/>
      <c r="DQ46" s="273"/>
      <c r="DR46" s="273"/>
      <c r="DS46" s="273"/>
      <c r="DT46" s="273"/>
      <c r="DU46" s="273"/>
      <c r="DV46" s="273"/>
      <c r="DW46" s="273"/>
      <c r="DX46" s="259"/>
      <c r="DY46" s="279"/>
      <c r="DZ46" s="285"/>
    </row>
    <row r="47" spans="1:147" ht="18" customHeight="1" thickBot="1">
      <c r="A47" s="269"/>
      <c r="B47" s="96"/>
      <c r="C47" s="10"/>
      <c r="D47" s="10"/>
      <c r="E47" s="10"/>
      <c r="F47" s="10"/>
      <c r="G47" s="10"/>
      <c r="H47" s="99"/>
      <c r="I47" s="32"/>
      <c r="J47" s="32"/>
      <c r="K47" s="32"/>
      <c r="L47" s="59"/>
      <c r="M47" s="10"/>
      <c r="N47" s="10"/>
      <c r="O47" s="10"/>
      <c r="P47" s="10"/>
      <c r="Q47" s="13"/>
      <c r="R47" s="3"/>
      <c r="S47" s="3"/>
      <c r="T47" s="3"/>
      <c r="U47" s="3"/>
      <c r="V47" s="3"/>
      <c r="W47" s="3"/>
      <c r="X47" s="3"/>
      <c r="Y47" s="3"/>
      <c r="Z47" s="3"/>
      <c r="AA47" s="3"/>
      <c r="AB47" s="3"/>
      <c r="AC47" s="3"/>
      <c r="AD47" s="3"/>
      <c r="AE47" s="3"/>
      <c r="AF47" s="3"/>
      <c r="AG47" s="205"/>
      <c r="AH47" s="306"/>
      <c r="AI47" s="214" t="str">
        <f>IF($CR$32="您破產了!","",IF(VLOOKUP("o",cal!$V:$AA,3,FALSE)=AI46,cal!$V$1,""))</f>
        <v/>
      </c>
      <c r="AJ47" s="213"/>
      <c r="AK47" s="214" t="str">
        <f>IF($DM$32="您破產了!","",IF(VLOOKUP("o",cal!$AF:$AK,3,FALSE)=AI46,cal!$AF$1,""))</f>
        <v/>
      </c>
      <c r="AL47" s="307"/>
      <c r="AM47" s="3"/>
      <c r="AN47" s="3"/>
      <c r="AO47" s="3"/>
      <c r="AP47" s="3"/>
      <c r="AQ47" s="3"/>
      <c r="AR47" s="303">
        <f>VLOOKUP(AS45,cal!$BE:$BJ,5,FALSE)</f>
        <v>3600</v>
      </c>
      <c r="AS47" s="304"/>
      <c r="AT47" s="304"/>
      <c r="AU47" s="304"/>
      <c r="AV47" s="305"/>
      <c r="AW47" s="3"/>
      <c r="AX47" s="3"/>
      <c r="AY47" s="3"/>
      <c r="AZ47" s="3"/>
      <c r="BA47" s="3"/>
      <c r="BB47" s="3"/>
      <c r="BC47" s="132"/>
      <c r="BD47" s="206"/>
      <c r="BE47" s="306"/>
      <c r="BF47" s="214" t="str">
        <f>IF($CR$32="您破產了!","",IF(VLOOKUP("o",cal!$V:$AA,3,FALSE)=BF46,cal!$V$1,""))</f>
        <v/>
      </c>
      <c r="BG47" s="213"/>
      <c r="BH47" s="214" t="str">
        <f>IF($DM$32="您破產了!","",IF(VLOOKUP("o",cal!$AF:$AK,3,FALSE)=BF46,cal!$AF$1,""))</f>
        <v/>
      </c>
      <c r="BI47" s="307"/>
      <c r="BJ47" s="3"/>
      <c r="BK47" s="3"/>
      <c r="BL47" s="3"/>
      <c r="BM47" s="3"/>
      <c r="BN47" s="167"/>
      <c r="BO47" s="148"/>
      <c r="BP47" s="148"/>
      <c r="BQ47" s="162"/>
      <c r="BR47" s="3"/>
      <c r="BS47" s="3"/>
      <c r="BT47" s="3"/>
      <c r="BU47" s="3"/>
      <c r="BV47" s="167"/>
      <c r="BW47" s="148"/>
      <c r="BX47" s="154"/>
      <c r="BY47" s="3"/>
      <c r="BZ47" s="3"/>
      <c r="CA47" s="3"/>
      <c r="CB47" s="3"/>
      <c r="CC47" s="3"/>
      <c r="CD47" s="3"/>
      <c r="CE47" s="3"/>
      <c r="CF47" s="3"/>
      <c r="CG47" s="3"/>
      <c r="CH47" s="3"/>
      <c r="CI47" s="3"/>
      <c r="CJ47" s="3"/>
      <c r="CK47" s="3"/>
      <c r="CL47" s="8"/>
      <c r="CM47" s="270"/>
      <c r="CN47" s="271"/>
      <c r="CO47" s="1"/>
      <c r="CP47" s="1"/>
      <c r="CQ47" s="259"/>
      <c r="CR47" s="259"/>
      <c r="CS47" s="259"/>
      <c r="CT47" s="259"/>
      <c r="CU47" s="259"/>
      <c r="CV47" s="259"/>
      <c r="CW47" s="259"/>
      <c r="CX47" s="259"/>
      <c r="CY47" s="259"/>
      <c r="CZ47" s="259"/>
      <c r="DA47" s="259"/>
      <c r="DB47" s="259"/>
      <c r="DC47" s="259"/>
      <c r="DD47" s="259"/>
      <c r="DE47" s="259"/>
      <c r="DF47" s="259"/>
      <c r="DG47" s="259"/>
      <c r="DH47" s="259"/>
      <c r="DI47" s="259"/>
      <c r="DJ47" s="259"/>
      <c r="DK47" s="259"/>
      <c r="DL47" s="259"/>
      <c r="DM47" s="259"/>
      <c r="DN47" s="259"/>
      <c r="DO47" s="259"/>
      <c r="DP47" s="259"/>
      <c r="DQ47" s="259"/>
      <c r="DR47" s="259"/>
      <c r="DS47" s="259"/>
      <c r="DT47" s="259"/>
      <c r="DU47" s="259"/>
      <c r="DV47" s="259"/>
      <c r="DW47" s="259"/>
      <c r="DX47" s="259"/>
      <c r="DY47" s="279"/>
      <c r="DZ47" s="285"/>
    </row>
    <row r="48" spans="1:147" ht="18" customHeight="1" thickBot="1">
      <c r="A48" s="269"/>
      <c r="B48" s="3"/>
      <c r="C48" s="96"/>
      <c r="D48" s="87"/>
      <c r="E48" s="10"/>
      <c r="F48" s="10"/>
      <c r="G48" s="10"/>
      <c r="H48" s="10"/>
      <c r="I48" s="99"/>
      <c r="J48" s="56"/>
      <c r="K48" s="59"/>
      <c r="L48" s="10"/>
      <c r="M48" s="10"/>
      <c r="N48" s="10"/>
      <c r="O48" s="10"/>
      <c r="P48" s="87"/>
      <c r="Q48" s="11"/>
      <c r="R48" s="3"/>
      <c r="S48" s="3"/>
      <c r="T48" s="3"/>
      <c r="U48" s="3"/>
      <c r="V48" s="3"/>
      <c r="W48" s="3"/>
      <c r="X48" s="3"/>
      <c r="Y48" s="3"/>
      <c r="Z48" s="3"/>
      <c r="AA48" s="3"/>
      <c r="AB48" s="3"/>
      <c r="AC48" s="3"/>
      <c r="AD48" s="3"/>
      <c r="AE48" s="3"/>
      <c r="AF48" s="3"/>
      <c r="AG48" s="207"/>
      <c r="AH48" s="303">
        <f>VLOOKUP(AI46,cal!$BE:$BJ,5,FALSE)</f>
        <v>600</v>
      </c>
      <c r="AI48" s="304"/>
      <c r="AJ48" s="304"/>
      <c r="AK48" s="304"/>
      <c r="AL48" s="305"/>
      <c r="AM48" s="3"/>
      <c r="AN48" s="3"/>
      <c r="AO48" s="3"/>
      <c r="AP48" s="3"/>
      <c r="AQ48" s="3"/>
      <c r="AR48" s="3"/>
      <c r="AS48" s="104"/>
      <c r="AT48" s="105"/>
      <c r="AU48" s="26"/>
      <c r="AV48" s="26"/>
      <c r="AW48" s="26"/>
      <c r="AX48" s="26"/>
      <c r="AY48" s="26"/>
      <c r="AZ48" s="26"/>
      <c r="BA48" s="26"/>
      <c r="BB48" s="26"/>
      <c r="BC48" s="141"/>
      <c r="BD48" s="208"/>
      <c r="BE48" s="303">
        <f>VLOOKUP(BF46,cal!$BE:$BJ,5,FALSE)</f>
        <v>1800</v>
      </c>
      <c r="BF48" s="304"/>
      <c r="BG48" s="304"/>
      <c r="BH48" s="304"/>
      <c r="BI48" s="305"/>
      <c r="BJ48" s="3"/>
      <c r="BK48" s="3"/>
      <c r="BL48" s="3"/>
      <c r="BM48" s="3"/>
      <c r="BN48" s="167"/>
      <c r="BO48" s="148"/>
      <c r="BP48" s="162"/>
      <c r="BQ48" s="3"/>
      <c r="BR48" s="3"/>
      <c r="BS48" s="3"/>
      <c r="BT48" s="3"/>
      <c r="BU48" s="3"/>
      <c r="BV48" s="175"/>
      <c r="BW48" s="148"/>
      <c r="BX48" s="154"/>
      <c r="BY48" s="3"/>
      <c r="BZ48" s="3"/>
      <c r="CA48" s="3"/>
      <c r="CB48" s="3"/>
      <c r="CC48" s="3"/>
      <c r="CD48" s="3"/>
      <c r="CE48" s="3"/>
      <c r="CF48" s="3"/>
      <c r="CG48" s="3"/>
      <c r="CH48" s="3"/>
      <c r="CI48" s="3"/>
      <c r="CJ48" s="3"/>
      <c r="CK48" s="3"/>
      <c r="CL48" s="8"/>
      <c r="CM48" s="270"/>
      <c r="CN48" s="271"/>
      <c r="CO48" s="1"/>
      <c r="CP48" s="1"/>
      <c r="CQ48" s="259"/>
      <c r="CR48" s="259"/>
      <c r="CS48" s="259"/>
      <c r="CT48" s="259"/>
      <c r="CU48" s="259"/>
      <c r="CV48" s="259"/>
      <c r="CW48" s="259"/>
      <c r="CX48" s="259"/>
      <c r="CY48" s="259"/>
      <c r="CZ48" s="259"/>
      <c r="DA48" s="259"/>
      <c r="DB48" s="259"/>
      <c r="DC48" s="259"/>
      <c r="DD48" s="259"/>
      <c r="DE48" s="259"/>
      <c r="DF48" s="259"/>
      <c r="DG48" s="259"/>
      <c r="DH48" s="259"/>
      <c r="DI48" s="259"/>
      <c r="DJ48" s="259"/>
      <c r="DK48" s="259"/>
      <c r="DL48" s="259"/>
      <c r="DM48" s="259"/>
      <c r="DN48" s="259"/>
      <c r="DO48" s="259"/>
      <c r="DP48" s="259"/>
      <c r="DQ48" s="259"/>
      <c r="DR48" s="259"/>
      <c r="DS48" s="259"/>
      <c r="DT48" s="259"/>
      <c r="DU48" s="259"/>
      <c r="DV48" s="259"/>
      <c r="DW48" s="259"/>
      <c r="DX48" s="259"/>
      <c r="DY48" s="279"/>
      <c r="DZ48" s="285"/>
    </row>
    <row r="49" spans="1:130" ht="18" customHeight="1" thickBot="1">
      <c r="A49" s="269"/>
      <c r="B49" s="3"/>
      <c r="C49" s="3"/>
      <c r="D49" s="3"/>
      <c r="E49" s="96"/>
      <c r="F49" s="87"/>
      <c r="G49" s="87"/>
      <c r="H49" s="10"/>
      <c r="I49" s="10"/>
      <c r="J49" s="10"/>
      <c r="K49" s="10"/>
      <c r="L49" s="10"/>
      <c r="M49" s="87"/>
      <c r="N49" s="87"/>
      <c r="O49" s="11"/>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175"/>
      <c r="BO49" s="162"/>
      <c r="BP49" s="3"/>
      <c r="BQ49" s="3"/>
      <c r="BR49" s="3"/>
      <c r="BS49" s="3"/>
      <c r="BT49" s="3"/>
      <c r="BU49" s="3"/>
      <c r="BV49" s="3"/>
      <c r="BW49" s="167"/>
      <c r="BX49" s="154"/>
      <c r="BY49" s="3"/>
      <c r="BZ49" s="3"/>
      <c r="CA49" s="3"/>
      <c r="CB49" s="3"/>
      <c r="CC49" s="3"/>
      <c r="CD49" s="3"/>
      <c r="CE49" s="3"/>
      <c r="CF49" s="3"/>
      <c r="CG49" s="3"/>
      <c r="CH49" s="3"/>
      <c r="CI49" s="3"/>
      <c r="CJ49" s="3"/>
      <c r="CK49" s="3"/>
      <c r="CL49" s="8"/>
      <c r="CM49" s="270"/>
      <c r="CN49" s="271"/>
      <c r="CO49" s="1"/>
      <c r="CP49" s="1"/>
      <c r="CQ49" s="259"/>
      <c r="CR49" s="259"/>
      <c r="CS49" s="259"/>
      <c r="CT49" s="259"/>
      <c r="CU49" s="259"/>
      <c r="CV49" s="259"/>
      <c r="CW49" s="259"/>
      <c r="CX49" s="259"/>
      <c r="CY49" s="259"/>
      <c r="CZ49" s="259"/>
      <c r="DA49" s="259"/>
      <c r="DB49" s="259"/>
      <c r="DC49" s="259"/>
      <c r="DD49" s="259"/>
      <c r="DE49" s="259"/>
      <c r="DF49" s="259"/>
      <c r="DG49" s="259"/>
      <c r="DH49" s="259"/>
      <c r="DI49" s="259"/>
      <c r="DJ49" s="259"/>
      <c r="DK49" s="259"/>
      <c r="DL49" s="259"/>
      <c r="DM49" s="259"/>
      <c r="DN49" s="259"/>
      <c r="DO49" s="259"/>
      <c r="DP49" s="259"/>
      <c r="DQ49" s="259"/>
      <c r="DR49" s="259"/>
      <c r="DS49" s="259"/>
      <c r="DT49" s="259"/>
      <c r="DU49" s="259"/>
      <c r="DV49" s="259"/>
      <c r="DW49" s="259"/>
      <c r="DX49" s="259"/>
      <c r="DY49" s="279"/>
      <c r="DZ49" s="285"/>
    </row>
    <row r="50" spans="1:130" ht="18" customHeight="1" thickBot="1">
      <c r="A50" s="269"/>
      <c r="B50" s="3"/>
      <c r="C50" s="3"/>
      <c r="D50" s="3"/>
      <c r="E50" s="3"/>
      <c r="F50" s="3"/>
      <c r="G50" s="3"/>
      <c r="H50" s="96"/>
      <c r="I50" s="87"/>
      <c r="J50" s="87"/>
      <c r="K50" s="87"/>
      <c r="L50" s="1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175"/>
      <c r="BX50" s="162"/>
      <c r="BY50" s="3"/>
      <c r="BZ50" s="3"/>
      <c r="CA50" s="3"/>
      <c r="CB50" s="3"/>
      <c r="CC50" s="3"/>
      <c r="CD50" s="3"/>
      <c r="CE50" s="3"/>
      <c r="CF50" s="3"/>
      <c r="CG50" s="3"/>
      <c r="CH50" s="3"/>
      <c r="CI50" s="3"/>
      <c r="CJ50" s="3"/>
      <c r="CK50" s="3"/>
      <c r="CL50" s="8"/>
      <c r="CM50" s="270"/>
      <c r="CN50" s="271"/>
      <c r="CO50" s="1"/>
      <c r="CP50" s="1"/>
      <c r="CQ50" s="259"/>
      <c r="CR50" s="259"/>
      <c r="CS50" s="259"/>
      <c r="CT50" s="259"/>
      <c r="CU50" s="259"/>
      <c r="CV50" s="259"/>
      <c r="CW50" s="259"/>
      <c r="CX50" s="259"/>
      <c r="CY50" s="259"/>
      <c r="CZ50" s="259"/>
      <c r="DA50" s="259"/>
      <c r="DB50" s="259"/>
      <c r="DC50" s="259"/>
      <c r="DD50" s="259"/>
      <c r="DE50" s="259"/>
      <c r="DF50" s="259"/>
      <c r="DG50" s="259"/>
      <c r="DH50" s="259"/>
      <c r="DI50" s="259"/>
      <c r="DJ50" s="259"/>
      <c r="DK50" s="259"/>
      <c r="DL50" s="259"/>
      <c r="DM50" s="259"/>
      <c r="DN50" s="259"/>
      <c r="DO50" s="259"/>
      <c r="DP50" s="259"/>
      <c r="DQ50" s="259"/>
      <c r="DR50" s="259"/>
      <c r="DS50" s="259"/>
      <c r="DT50" s="259"/>
      <c r="DU50" s="259"/>
      <c r="DV50" s="259"/>
      <c r="DW50" s="259"/>
      <c r="DX50" s="259"/>
      <c r="DY50" s="279"/>
      <c r="DZ50" s="285"/>
    </row>
    <row r="51" spans="1:130" ht="18" customHeight="1">
      <c r="A51" s="269"/>
      <c r="B51" s="226"/>
      <c r="C51" s="226"/>
      <c r="D51" s="226"/>
      <c r="E51" s="226"/>
      <c r="F51" s="226"/>
      <c r="G51" s="226"/>
      <c r="H51" s="227"/>
      <c r="I51" s="227"/>
      <c r="J51" s="227"/>
      <c r="K51" s="227"/>
      <c r="L51" s="227"/>
      <c r="M51" s="227"/>
      <c r="N51" s="227"/>
      <c r="O51" s="227"/>
      <c r="P51" s="227"/>
      <c r="Q51" s="227"/>
      <c r="R51" s="227"/>
      <c r="S51" s="227"/>
      <c r="T51" s="227"/>
      <c r="U51" s="227"/>
      <c r="V51" s="227"/>
      <c r="W51" s="227"/>
      <c r="X51" s="227"/>
      <c r="Y51" s="227"/>
      <c r="Z51" s="227"/>
      <c r="AA51" s="227"/>
      <c r="AB51" s="227"/>
      <c r="AC51" s="227"/>
      <c r="AD51" s="227"/>
      <c r="AE51" s="227"/>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8"/>
      <c r="CM51" s="270"/>
      <c r="CN51" s="271"/>
      <c r="CO51" s="1"/>
      <c r="CP51" s="1"/>
      <c r="CQ51" s="259"/>
      <c r="CR51" s="259"/>
      <c r="CS51" s="259"/>
      <c r="CT51" s="259"/>
      <c r="CU51" s="259"/>
      <c r="CV51" s="259"/>
      <c r="CW51" s="259"/>
      <c r="CX51" s="259"/>
      <c r="CY51" s="259"/>
      <c r="CZ51" s="259"/>
      <c r="DA51" s="259"/>
      <c r="DB51" s="259"/>
      <c r="DC51" s="259"/>
      <c r="DD51" s="259"/>
      <c r="DE51" s="259"/>
      <c r="DF51" s="259"/>
      <c r="DG51" s="259"/>
      <c r="DH51" s="259"/>
      <c r="DI51" s="259"/>
      <c r="DJ51" s="259"/>
      <c r="DK51" s="259"/>
      <c r="DL51" s="259"/>
      <c r="DM51" s="259"/>
      <c r="DN51" s="259"/>
      <c r="DO51" s="259"/>
      <c r="DP51" s="259"/>
      <c r="DQ51" s="259"/>
      <c r="DR51" s="259"/>
      <c r="DS51" s="259"/>
      <c r="DT51" s="259"/>
      <c r="DU51" s="259"/>
      <c r="DV51" s="259"/>
      <c r="DW51" s="259"/>
      <c r="DX51" s="259"/>
      <c r="DY51" s="279"/>
      <c r="DZ51" s="285"/>
    </row>
    <row r="52" spans="1:130" ht="18" customHeight="1">
      <c r="A52" s="269"/>
      <c r="B52" s="226"/>
      <c r="C52" s="226"/>
      <c r="D52" s="226"/>
      <c r="E52" s="226"/>
      <c r="F52" s="226"/>
      <c r="G52" s="226"/>
      <c r="H52" s="227"/>
      <c r="I52" s="227"/>
      <c r="J52" s="227"/>
      <c r="K52" s="227"/>
      <c r="L52" s="227"/>
      <c r="M52" s="227"/>
      <c r="N52" s="227"/>
      <c r="O52" s="227"/>
      <c r="P52" s="227"/>
      <c r="Q52" s="227"/>
      <c r="R52" s="227"/>
      <c r="S52" s="227"/>
      <c r="T52" s="227"/>
      <c r="U52" s="227"/>
      <c r="V52" s="227"/>
      <c r="W52" s="227"/>
      <c r="X52" s="227"/>
      <c r="Y52" s="227"/>
      <c r="Z52" s="227"/>
      <c r="AA52" s="227"/>
      <c r="AB52" s="227"/>
      <c r="AC52" s="227"/>
      <c r="AD52" s="227"/>
      <c r="AE52" s="227"/>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8"/>
      <c r="CM52" s="270"/>
      <c r="CN52" s="271"/>
      <c r="CO52" s="1"/>
      <c r="CP52" s="1"/>
      <c r="CQ52" s="279"/>
      <c r="CR52" s="279"/>
      <c r="CS52" s="279"/>
      <c r="CT52" s="279"/>
      <c r="CU52" s="279"/>
      <c r="CV52" s="279"/>
      <c r="CW52" s="279"/>
      <c r="CX52" s="279"/>
      <c r="CY52" s="279"/>
      <c r="CZ52" s="279"/>
      <c r="DA52" s="279"/>
      <c r="DB52" s="279"/>
      <c r="DC52" s="279"/>
      <c r="DD52" s="279"/>
      <c r="DE52" s="279"/>
      <c r="DF52" s="279"/>
      <c r="DG52" s="279"/>
      <c r="DH52" s="279"/>
      <c r="DI52" s="279"/>
      <c r="DJ52" s="279"/>
      <c r="DK52" s="279"/>
      <c r="DL52" s="279"/>
      <c r="DM52" s="279"/>
      <c r="DN52" s="279"/>
      <c r="DO52" s="279"/>
      <c r="DP52" s="279"/>
      <c r="DQ52" s="279"/>
      <c r="DR52" s="279"/>
      <c r="DS52" s="279"/>
      <c r="DT52" s="279"/>
      <c r="DU52" s="279"/>
      <c r="DV52" s="279"/>
      <c r="DW52" s="279"/>
      <c r="DX52" s="279"/>
      <c r="DY52" s="279"/>
      <c r="DZ52" s="285"/>
    </row>
    <row r="53" spans="1:130" ht="18" hidden="1" customHeight="1">
      <c r="A53" s="280" t="str">
        <f>IFERROR(
IF(cal!BC1=CS19,IF(VLOOKUP("o",cal!$B:$J,7,FALSE)="","",IF(VLOOKUP("o",cal!$B:$J,7,FALSE)=41,CX22&amp;"已歸 "&amp;VLOOKUP(VLOOKUP("o",cal!$B:$J,5,FALSE),cal!$BB$9:$BC$12,2,FALSE)&amp;" 所有，租樓日日賺，請繳付租金$"&amp;-VLOOKUP("o",cal!$B:$J,6,FALSE),VLOOKUP(VLOOKUP("o",cal!$B:$J,7,FALSE),lok!$N:$P,3,FALSE))),
IF(cal!BC1=DN19,IF(VLOOKUP("o",cal!$L:$T,7,FALSE)="","",IF(VLOOKUP("o",cal!$L:$T,7,FALSE)=41,DS22&amp;"已歸 "&amp;VLOOKUP(VLOOKUP("o",cal!$L:$T,5,FALSE),cal!$BB$9:$BC$12,2,FALSE)&amp;" 所有，租樓日日賺，請繳付租金$"&amp;-VLOOKUP("o",cal!$L:$T,6,FALSE),VLOOKUP(VLOOKUP("o",cal!$L:$T,7,FALSE),lok!$N:$P,3,FALSE))),
IF(cal!BC1=CS35,IF(VLOOKUP("o",cal!$V:$AD,7,FALSE)="","",IF(VLOOKUP("o",cal!$V:$AD,7,FALSE)=41,CX38&amp;"已歸 "&amp;VLOOKUP(VLOOKUP("o",cal!$V:$AD,5,FALSE),cal!$BB$9:$BC$12,2,FALSE)&amp;" 所有，租樓日日賺，請繳付租金$"&amp;-VLOOKUP("o",cal!$V:$AD,6,FALSE),VLOOKUP(VLOOKUP("o",cal!$V:$AD,7,FALSE),lok!$N:$P,3,FALSE))),
IF(cal!BC1=DN35,IF(VLOOKUP("o",cal!$AF:$AN,7,FALSE)="","",IF(VLOOKUP("o",cal!$AF:$AN,7,FALSE)=41,DS38&amp;"已歸 "&amp;VLOOKUP(VLOOKUP("o",cal!$AF:$AN,5,FALSE),cal!$BB$9:$BC$12,2,FALSE)&amp;" 所有，租樓日日賺，請繳付租金$"&amp;-VLOOKUP("o",cal!$AF:$AN,6,FALSE),VLOOKUP(VLOOKUP("o",cal!$AF:$AN,7,FALSE),lok!$N:$P,3,FALSE))),"")))),"")</f>
        <v/>
      </c>
      <c r="B53" s="280"/>
      <c r="C53" s="280"/>
      <c r="D53" s="280"/>
      <c r="E53" s="280"/>
      <c r="F53" s="280"/>
      <c r="G53" s="280"/>
      <c r="H53" s="280"/>
      <c r="I53" s="280"/>
      <c r="J53" s="280"/>
      <c r="K53" s="280"/>
      <c r="L53" s="280"/>
      <c r="M53" s="280"/>
      <c r="N53" s="280"/>
      <c r="O53" s="280"/>
      <c r="P53" s="280"/>
      <c r="Q53" s="280"/>
      <c r="R53" s="280"/>
      <c r="S53" s="280"/>
      <c r="T53" s="280"/>
      <c r="U53" s="280"/>
      <c r="V53" s="280"/>
      <c r="W53" s="280"/>
      <c r="X53" s="280"/>
      <c r="Y53" s="280"/>
      <c r="Z53" s="280"/>
      <c r="AA53" s="280"/>
      <c r="AB53" s="280"/>
      <c r="AC53" s="280"/>
      <c r="AD53" s="280"/>
      <c r="AE53" s="280"/>
      <c r="AF53" s="280"/>
      <c r="AG53" s="280"/>
      <c r="AH53" s="280"/>
      <c r="AI53" s="280"/>
      <c r="AJ53" s="280"/>
      <c r="AK53" s="280"/>
      <c r="AL53" s="280"/>
      <c r="AM53" s="280"/>
      <c r="AN53" s="280"/>
      <c r="AO53" s="280"/>
      <c r="AP53" s="280"/>
      <c r="AQ53" s="280"/>
      <c r="AR53" s="280"/>
      <c r="AS53" s="280"/>
      <c r="AT53" s="280"/>
      <c r="AU53" s="280"/>
      <c r="AV53" s="280"/>
      <c r="AW53" s="280"/>
      <c r="AX53" s="280"/>
      <c r="AY53" s="280"/>
      <c r="AZ53" s="280"/>
      <c r="BA53" s="280"/>
      <c r="BB53" s="280"/>
      <c r="BC53" s="280"/>
      <c r="BD53" s="280"/>
      <c r="BE53" s="280"/>
      <c r="BF53" s="280"/>
      <c r="BG53" s="280"/>
      <c r="BH53" s="280"/>
      <c r="BI53" s="280"/>
      <c r="BJ53" s="280"/>
      <c r="BK53" s="280"/>
      <c r="BL53" s="280"/>
      <c r="BM53" s="280"/>
      <c r="BN53" s="280"/>
      <c r="BO53" s="280"/>
      <c r="BP53" s="280"/>
      <c r="BQ53" s="280"/>
      <c r="BR53" s="280"/>
      <c r="BS53" s="280"/>
      <c r="BT53" s="280"/>
      <c r="BU53" s="280"/>
      <c r="BV53" s="280"/>
      <c r="BW53" s="280"/>
      <c r="BX53" s="280"/>
      <c r="BY53" s="280"/>
      <c r="BZ53" s="280"/>
      <c r="CA53" s="280"/>
      <c r="CB53" s="280"/>
      <c r="CC53" s="280"/>
      <c r="CD53" s="280"/>
      <c r="CE53" s="280"/>
      <c r="CF53" s="280"/>
      <c r="CG53" s="280"/>
      <c r="CH53" s="280"/>
      <c r="CI53" s="280"/>
      <c r="CJ53" s="280"/>
      <c r="CK53" s="280"/>
      <c r="CL53" s="280"/>
      <c r="CM53" s="280"/>
      <c r="CN53" s="280"/>
      <c r="CO53" s="280"/>
      <c r="CP53" s="280"/>
      <c r="CQ53" s="281" t="str">
        <f>IFERROR(IF(cal!BC1=CS19,IF(AND(CY24-VLOOKUP(VLOOKUP(cal!AQ2,cal!$AQ2:$AZ2,10,FALSE),cal!$BE:$BI,5,FALSE)&gt;0,VLOOKUP(VLOOKUP(cal!AQ2,cal!$AQ2:$AZ2,10,FALSE),cal!$BE:$BH,4,FALSE)=""),"b",IF(cal!BK42="o","u","")),""),"")</f>
        <v/>
      </c>
      <c r="CR53" s="281"/>
      <c r="CS53" s="281"/>
      <c r="CT53" s="281"/>
      <c r="CU53" s="281" t="str">
        <f>IFERROR(IF(cal!BC1=DN19,IF(AND(DT24-VLOOKUP(VLOOKUP(cal!AQ3,cal!$AQ3:$AZ3,10,FALSE),cal!$BE:$BI,5,FALSE)&gt;0,VLOOKUP(VLOOKUP(cal!AQ3,cal!$AQ3:$AZ3,10,FALSE),cal!$BE:$BH,4,FALSE)=""),"b",IF(cal!BL42="o","u","")),""),"")</f>
        <v/>
      </c>
      <c r="CV53" s="281"/>
      <c r="CW53" s="281"/>
      <c r="CX53" s="281"/>
      <c r="CY53" s="281" t="str">
        <f>IFERROR(IF(cal!BC1=CS35,IF(AND(CY40-VLOOKUP(VLOOKUP(cal!AQ4,cal!$AQ4:$AZ4,10,FALSE),cal!$BE:$BI,5,FALSE)&gt;0,VLOOKUP(VLOOKUP(cal!AQ4,cal!$AQ4:$AZ4,10,FALSE),cal!$BE:$BH,4,FALSE)=""),"b",IF(cal!BM42="o","u","")),""),"")</f>
        <v/>
      </c>
      <c r="CZ53" s="281"/>
      <c r="DA53" s="281"/>
      <c r="DB53" s="281"/>
      <c r="DC53" s="281" t="str">
        <f>IFERROR(IF(cal!BC1=DN35,IF(AND(DT40-VLOOKUP(VLOOKUP(cal!AQ5,cal!$AQ5:$AZ5,10,FALSE),cal!$BE:$BI,5,FALSE)&gt;0,VLOOKUP(VLOOKUP(cal!AQ5,cal!$AQ5:$AZ5,10,FALSE),cal!$BE:$BH,4,FALSE)=""),"b",IF(cal!BN42="o","u","")),""),"")</f>
        <v/>
      </c>
      <c r="DD53" s="281"/>
      <c r="DE53" s="281"/>
      <c r="DF53" s="281"/>
      <c r="DG53" s="282" t="str">
        <f>IF(COUNTIF(CQ53:DF53,"b")&gt;0,"b",IF(COUNTIF(CQ53:DF53,"u")&gt;0,"u",""))</f>
        <v/>
      </c>
      <c r="DH53" s="280"/>
      <c r="DI53" s="280"/>
      <c r="DJ53" s="280"/>
      <c r="DK53" s="280"/>
      <c r="DL53" s="280"/>
      <c r="DM53" s="280"/>
      <c r="DN53" s="280"/>
      <c r="DO53" s="280"/>
      <c r="DP53" s="280"/>
      <c r="DQ53" s="280"/>
      <c r="DR53" s="280"/>
      <c r="DS53" s="280"/>
      <c r="DT53" s="280"/>
      <c r="DU53" s="280"/>
      <c r="DV53" s="280"/>
      <c r="DW53" s="280"/>
      <c r="DX53" s="280"/>
      <c r="DY53" s="280"/>
      <c r="DZ53" s="280"/>
    </row>
    <row r="54" spans="1:130" ht="18" customHeight="1">
      <c r="A54" s="283"/>
      <c r="B54" s="283"/>
      <c r="C54" s="283"/>
      <c r="D54" s="283"/>
      <c r="E54" s="283"/>
      <c r="F54" s="283"/>
      <c r="G54" s="283"/>
      <c r="H54" s="283"/>
      <c r="I54" s="283"/>
      <c r="J54" s="283"/>
      <c r="K54" s="283"/>
      <c r="L54" s="283"/>
      <c r="M54" s="283"/>
      <c r="N54" s="283"/>
      <c r="O54" s="283"/>
      <c r="P54" s="283"/>
      <c r="Q54" s="283"/>
      <c r="R54" s="283"/>
      <c r="S54" s="283"/>
      <c r="T54" s="283"/>
      <c r="U54" s="283"/>
      <c r="V54" s="283"/>
      <c r="W54" s="283"/>
      <c r="X54" s="283"/>
      <c r="Y54" s="283"/>
      <c r="Z54" s="283"/>
      <c r="AA54" s="283"/>
      <c r="AB54" s="283"/>
      <c r="AC54" s="283"/>
      <c r="AD54" s="283"/>
      <c r="AE54" s="283"/>
      <c r="AF54" s="283"/>
      <c r="AG54" s="283"/>
      <c r="AH54" s="283"/>
      <c r="AI54" s="283"/>
      <c r="AJ54" s="283"/>
      <c r="AK54" s="283"/>
      <c r="AL54" s="283"/>
      <c r="AM54" s="283"/>
      <c r="AN54" s="283"/>
      <c r="AO54" s="283"/>
      <c r="AP54" s="283"/>
      <c r="AQ54" s="283"/>
      <c r="AR54" s="283"/>
      <c r="AS54" s="283"/>
      <c r="AT54" s="283"/>
      <c r="AU54" s="283"/>
      <c r="AV54" s="283"/>
      <c r="AW54" s="283"/>
      <c r="AX54" s="283"/>
      <c r="AY54" s="283"/>
      <c r="AZ54" s="283"/>
      <c r="BA54" s="283"/>
      <c r="BB54" s="283"/>
      <c r="BC54" s="283"/>
      <c r="BD54" s="283"/>
      <c r="BE54" s="283"/>
      <c r="BF54" s="283"/>
      <c r="BG54" s="283"/>
      <c r="BH54" s="283"/>
      <c r="BI54" s="283"/>
      <c r="BJ54" s="283"/>
      <c r="BK54" s="283"/>
      <c r="BL54" s="283"/>
      <c r="BM54" s="283"/>
      <c r="BN54" s="283"/>
      <c r="BO54" s="283"/>
      <c r="BP54" s="283"/>
      <c r="BQ54" s="283"/>
      <c r="BR54" s="283"/>
      <c r="BS54" s="283"/>
      <c r="BT54" s="283"/>
      <c r="BU54" s="283"/>
      <c r="BV54" s="283"/>
      <c r="BW54" s="283"/>
      <c r="BX54" s="283"/>
      <c r="BY54" s="283"/>
      <c r="BZ54" s="283"/>
      <c r="CA54" s="283"/>
      <c r="CB54" s="283"/>
      <c r="CC54" s="283"/>
      <c r="CD54" s="283"/>
      <c r="CE54" s="283"/>
      <c r="CF54" s="283"/>
      <c r="CG54" s="283"/>
      <c r="CH54" s="283"/>
      <c r="CI54" s="283"/>
      <c r="CJ54" s="283"/>
      <c r="CK54" s="283"/>
      <c r="CL54" s="283"/>
      <c r="CM54" s="283"/>
      <c r="CN54" s="283"/>
      <c r="CO54" s="283"/>
      <c r="CP54" s="283"/>
      <c r="CQ54" s="284"/>
      <c r="CR54" s="284"/>
      <c r="CS54" s="284"/>
      <c r="CT54" s="284"/>
      <c r="CU54" s="284"/>
      <c r="CV54" s="284"/>
      <c r="CW54" s="284"/>
      <c r="CX54" s="284"/>
      <c r="CY54" s="284"/>
      <c r="CZ54" s="284"/>
      <c r="DA54" s="284"/>
      <c r="DB54" s="284"/>
      <c r="DC54" s="284"/>
      <c r="DD54" s="284"/>
      <c r="DE54" s="284"/>
      <c r="DF54" s="284"/>
      <c r="DG54" s="283"/>
      <c r="DH54" s="283"/>
      <c r="DI54" s="283"/>
      <c r="DJ54" s="283"/>
      <c r="DK54" s="283"/>
      <c r="DL54" s="283"/>
      <c r="DM54" s="283"/>
      <c r="DN54" s="283"/>
      <c r="DO54" s="283"/>
      <c r="DP54" s="283"/>
      <c r="DQ54" s="283"/>
      <c r="DR54" s="283"/>
      <c r="DS54" s="283"/>
      <c r="DT54" s="283"/>
      <c r="DU54" s="283"/>
      <c r="DV54" s="283"/>
      <c r="DW54" s="283"/>
      <c r="DX54" s="283"/>
      <c r="DY54" s="283"/>
    </row>
    <row r="55" spans="1:130" ht="18" customHeight="1">
      <c r="A55" s="283"/>
      <c r="B55" s="283"/>
      <c r="C55" s="283"/>
      <c r="D55" s="283"/>
      <c r="E55" s="283"/>
      <c r="F55" s="283"/>
      <c r="G55" s="283"/>
      <c r="H55" s="283"/>
      <c r="I55" s="283"/>
      <c r="J55" s="283"/>
      <c r="K55" s="283"/>
      <c r="L55" s="283"/>
      <c r="M55" s="283"/>
      <c r="N55" s="283"/>
      <c r="O55" s="283"/>
      <c r="P55" s="283"/>
      <c r="Q55" s="283"/>
      <c r="R55" s="283"/>
      <c r="S55" s="283"/>
      <c r="T55" s="283"/>
      <c r="U55" s="283"/>
      <c r="V55" s="283"/>
      <c r="W55" s="283"/>
      <c r="X55" s="283"/>
      <c r="Y55" s="283"/>
      <c r="Z55" s="283"/>
      <c r="AA55" s="283"/>
      <c r="AB55" s="283"/>
      <c r="AC55" s="283"/>
      <c r="AD55" s="283"/>
      <c r="AE55" s="283"/>
      <c r="AF55" s="283"/>
      <c r="AG55" s="283"/>
      <c r="AH55" s="283"/>
      <c r="AI55" s="283"/>
      <c r="AJ55" s="283"/>
      <c r="AK55" s="283"/>
      <c r="AL55" s="283"/>
      <c r="AM55" s="283"/>
      <c r="AN55" s="283"/>
      <c r="AO55" s="283"/>
      <c r="AP55" s="283"/>
      <c r="AQ55" s="283"/>
      <c r="AR55" s="283"/>
      <c r="AS55" s="283"/>
      <c r="AT55" s="283"/>
      <c r="AU55" s="283"/>
      <c r="AV55" s="283"/>
      <c r="AW55" s="283"/>
      <c r="AX55" s="283"/>
      <c r="AY55" s="283"/>
      <c r="AZ55" s="283"/>
      <c r="BA55" s="283"/>
      <c r="BB55" s="283"/>
      <c r="BC55" s="283"/>
      <c r="BD55" s="283"/>
      <c r="BE55" s="283"/>
      <c r="BF55" s="283"/>
      <c r="BG55" s="283"/>
      <c r="BH55" s="283"/>
      <c r="BI55" s="283"/>
      <c r="BJ55" s="283"/>
      <c r="BK55" s="283"/>
      <c r="BL55" s="283"/>
      <c r="BM55" s="283"/>
      <c r="BN55" s="283"/>
      <c r="BO55" s="283"/>
      <c r="BP55" s="283"/>
      <c r="BQ55" s="283"/>
      <c r="BR55" s="283"/>
      <c r="BS55" s="283"/>
      <c r="BT55" s="283"/>
      <c r="BU55" s="283"/>
      <c r="BV55" s="283"/>
      <c r="BW55" s="283"/>
      <c r="BX55" s="283"/>
      <c r="BY55" s="283"/>
      <c r="BZ55" s="283"/>
      <c r="CA55" s="283"/>
      <c r="CB55" s="283"/>
      <c r="CC55" s="283"/>
      <c r="CD55" s="283"/>
      <c r="CE55" s="283"/>
      <c r="CF55" s="283"/>
      <c r="CG55" s="283"/>
      <c r="CH55" s="283"/>
      <c r="CI55" s="283"/>
      <c r="CJ55" s="283"/>
      <c r="CK55" s="283"/>
      <c r="CL55" s="283"/>
      <c r="CM55" s="283"/>
      <c r="CN55" s="283"/>
      <c r="CO55" s="283"/>
      <c r="CP55" s="283"/>
      <c r="CQ55" s="283"/>
      <c r="CR55" s="283"/>
      <c r="CS55" s="283"/>
      <c r="CT55" s="283"/>
      <c r="CU55" s="283"/>
      <c r="CV55" s="283"/>
      <c r="CW55" s="283"/>
      <c r="CX55" s="283"/>
      <c r="CY55" s="283"/>
      <c r="CZ55" s="283"/>
      <c r="DA55" s="283"/>
      <c r="DB55" s="283"/>
      <c r="DC55" s="283"/>
      <c r="DD55" s="283"/>
      <c r="DE55" s="283"/>
      <c r="DF55" s="283"/>
      <c r="DG55" s="283"/>
      <c r="DH55" s="283"/>
      <c r="DI55" s="283"/>
      <c r="DJ55" s="283"/>
      <c r="DK55" s="283"/>
      <c r="DL55" s="283"/>
      <c r="DM55" s="283"/>
      <c r="DN55" s="283"/>
      <c r="DO55" s="283"/>
      <c r="DP55" s="283"/>
      <c r="DQ55" s="283"/>
      <c r="DR55" s="283"/>
      <c r="DS55" s="283"/>
      <c r="DT55" s="283"/>
      <c r="DU55" s="283"/>
      <c r="DV55" s="283"/>
      <c r="DW55" s="283"/>
      <c r="DX55" s="283"/>
      <c r="DY55" s="283"/>
    </row>
  </sheetData>
  <mergeCells count="243">
    <mergeCell ref="D2:H2"/>
    <mergeCell ref="E4:G4"/>
    <mergeCell ref="D6:H6"/>
    <mergeCell ref="AH48:AL48"/>
    <mergeCell ref="BE48:BI48"/>
    <mergeCell ref="AX44:BB44"/>
    <mergeCell ref="BE44:BI44"/>
    <mergeCell ref="BL44:BP44"/>
    <mergeCell ref="BW32:CA32"/>
    <mergeCell ref="BO33:BS33"/>
    <mergeCell ref="BW33:BW35"/>
    <mergeCell ref="CA33:CA35"/>
    <mergeCell ref="BE45:BE47"/>
    <mergeCell ref="BI45:BI47"/>
    <mergeCell ref="AI46:AK46"/>
    <mergeCell ref="BF46:BH46"/>
    <mergeCell ref="AR47:AV47"/>
    <mergeCell ref="AE21:AI21"/>
    <mergeCell ref="AW21:BA21"/>
    <mergeCell ref="BE21:BE23"/>
    <mergeCell ref="BI21:BI23"/>
    <mergeCell ref="H34:L34"/>
    <mergeCell ref="AZ34:BD34"/>
    <mergeCell ref="BG34:BK34"/>
    <mergeCell ref="CE20:CE22"/>
    <mergeCell ref="AR43:AV43"/>
    <mergeCell ref="AH44:AL44"/>
    <mergeCell ref="AR44:AR46"/>
    <mergeCell ref="AV44:AV46"/>
    <mergeCell ref="BX34:BZ34"/>
    <mergeCell ref="BW36:CA36"/>
    <mergeCell ref="AZ38:BD38"/>
    <mergeCell ref="BG38:BK38"/>
    <mergeCell ref="BN21:BP21"/>
    <mergeCell ref="CB21:CD21"/>
    <mergeCell ref="AL22:AN22"/>
    <mergeCell ref="AQ22:AU22"/>
    <mergeCell ref="AW22:AW24"/>
    <mergeCell ref="AQ26:AU26"/>
    <mergeCell ref="BC26:BG26"/>
    <mergeCell ref="AW27:BA27"/>
    <mergeCell ref="AI28:AM28"/>
    <mergeCell ref="BA22:BA24"/>
    <mergeCell ref="BB41:BB43"/>
    <mergeCell ref="BL41:BL43"/>
    <mergeCell ref="BP41:BP43"/>
    <mergeCell ref="CA20:CA22"/>
    <mergeCell ref="BU20:BY20"/>
    <mergeCell ref="T42:T44"/>
    <mergeCell ref="X42:X44"/>
    <mergeCell ref="AY42:BA42"/>
    <mergeCell ref="BM42:BO42"/>
    <mergeCell ref="U43:W43"/>
    <mergeCell ref="CA23:CE23"/>
    <mergeCell ref="AK24:AO24"/>
    <mergeCell ref="AR24:AT24"/>
    <mergeCell ref="BE24:BI24"/>
    <mergeCell ref="AW25:BA25"/>
    <mergeCell ref="AW31:BA31"/>
    <mergeCell ref="AI29:AI31"/>
    <mergeCell ref="AM29:AM31"/>
    <mergeCell ref="AX29:AZ29"/>
    <mergeCell ref="BM23:BQ23"/>
    <mergeCell ref="T45:X45"/>
    <mergeCell ref="AH45:AH47"/>
    <mergeCell ref="AL45:AL47"/>
    <mergeCell ref="AS45:AU45"/>
    <mergeCell ref="CX35:DB37"/>
    <mergeCell ref="CY40:DD41"/>
    <mergeCell ref="CY42:DD43"/>
    <mergeCell ref="CR40:CX41"/>
    <mergeCell ref="J37:N37"/>
    <mergeCell ref="Z37:AB37"/>
    <mergeCell ref="AQ37:AQ39"/>
    <mergeCell ref="AU37:AU39"/>
    <mergeCell ref="BO37:BS37"/>
    <mergeCell ref="J38:J40"/>
    <mergeCell ref="N38:N40"/>
    <mergeCell ref="AR38:AT38"/>
    <mergeCell ref="K39:M39"/>
    <mergeCell ref="Y39:AC39"/>
    <mergeCell ref="AQ40:AU40"/>
    <mergeCell ref="AX40:BB40"/>
    <mergeCell ref="BL40:BP40"/>
    <mergeCell ref="J41:N41"/>
    <mergeCell ref="T41:X41"/>
    <mergeCell ref="AX41:AX43"/>
    <mergeCell ref="I32:K32"/>
    <mergeCell ref="AI32:AM32"/>
    <mergeCell ref="BO34:BO36"/>
    <mergeCell ref="BS34:BS36"/>
    <mergeCell ref="Y35:AC35"/>
    <mergeCell ref="BG35:BG37"/>
    <mergeCell ref="BK35:BK37"/>
    <mergeCell ref="BP35:BR35"/>
    <mergeCell ref="AQ36:AU36"/>
    <mergeCell ref="BA36:BC36"/>
    <mergeCell ref="BH36:BJ36"/>
    <mergeCell ref="S20:W20"/>
    <mergeCell ref="AK20:AO20"/>
    <mergeCell ref="BE20:BI20"/>
    <mergeCell ref="S17:S19"/>
    <mergeCell ref="W17:W19"/>
    <mergeCell ref="AE17:AI17"/>
    <mergeCell ref="AM17:AQ17"/>
    <mergeCell ref="AT17:AV17"/>
    <mergeCell ref="H30:L30"/>
    <mergeCell ref="AJ30:AL30"/>
    <mergeCell ref="BC30:BG30"/>
    <mergeCell ref="AW28:AW30"/>
    <mergeCell ref="BA28:BA30"/>
    <mergeCell ref="BD28:BF28"/>
    <mergeCell ref="BG18:BK18"/>
    <mergeCell ref="BG15:BG17"/>
    <mergeCell ref="BK15:BK17"/>
    <mergeCell ref="BF22:BH22"/>
    <mergeCell ref="AQ23:AQ25"/>
    <mergeCell ref="AU23:AU25"/>
    <mergeCell ref="AX23:AZ23"/>
    <mergeCell ref="AY19:BC19"/>
    <mergeCell ref="M14:Q14"/>
    <mergeCell ref="Y14:AC14"/>
    <mergeCell ref="AM14:AM16"/>
    <mergeCell ref="AQ14:AQ16"/>
    <mergeCell ref="BO14:BO16"/>
    <mergeCell ref="BS14:BS16"/>
    <mergeCell ref="CD15:CF15"/>
    <mergeCell ref="N16:P16"/>
    <mergeCell ref="S16:W16"/>
    <mergeCell ref="AS16:AS18"/>
    <mergeCell ref="AW16:AW18"/>
    <mergeCell ref="AY16:AY18"/>
    <mergeCell ref="BC16:BC18"/>
    <mergeCell ref="BU16:BY16"/>
    <mergeCell ref="AZ17:BB17"/>
    <mergeCell ref="BO17:BS17"/>
    <mergeCell ref="BH16:BJ16"/>
    <mergeCell ref="M18:Q18"/>
    <mergeCell ref="T18:V18"/>
    <mergeCell ref="AE18:AE20"/>
    <mergeCell ref="AI18:AI20"/>
    <mergeCell ref="BV18:BX18"/>
    <mergeCell ref="AF19:AH19"/>
    <mergeCell ref="AS19:AW19"/>
    <mergeCell ref="BG5:BK5"/>
    <mergeCell ref="BG6:BG8"/>
    <mergeCell ref="BK6:BK8"/>
    <mergeCell ref="CC13:CG13"/>
    <mergeCell ref="CA19:CE19"/>
    <mergeCell ref="Z12:AB12"/>
    <mergeCell ref="AM13:AQ13"/>
    <mergeCell ref="BA13:BE13"/>
    <mergeCell ref="BO13:BS13"/>
    <mergeCell ref="Y10:AC10"/>
    <mergeCell ref="BA10:BA12"/>
    <mergeCell ref="BE10:BE12"/>
    <mergeCell ref="Y11:Y13"/>
    <mergeCell ref="AC11:AC13"/>
    <mergeCell ref="AE11:AI11"/>
    <mergeCell ref="BB11:BD11"/>
    <mergeCell ref="AE8:AE10"/>
    <mergeCell ref="AI8:AI10"/>
    <mergeCell ref="AF9:AH9"/>
    <mergeCell ref="BA9:BE9"/>
    <mergeCell ref="BG9:BK9"/>
    <mergeCell ref="CC14:CC16"/>
    <mergeCell ref="CG14:CG16"/>
    <mergeCell ref="AN15:AP15"/>
    <mergeCell ref="AM3:AQ3"/>
    <mergeCell ref="AS3:AW3"/>
    <mergeCell ref="AY3:BC3"/>
    <mergeCell ref="AM4:AM6"/>
    <mergeCell ref="AQ4:AQ6"/>
    <mergeCell ref="AS4:AS6"/>
    <mergeCell ref="AW4:AW6"/>
    <mergeCell ref="AY4:AY6"/>
    <mergeCell ref="BC4:BC6"/>
    <mergeCell ref="AN5:AP5"/>
    <mergeCell ref="AT5:AV5"/>
    <mergeCell ref="AZ5:BB5"/>
    <mergeCell ref="BM19:BQ19"/>
    <mergeCell ref="AE7:AI7"/>
    <mergeCell ref="AM7:AQ7"/>
    <mergeCell ref="AS7:AW7"/>
    <mergeCell ref="AY7:BC7"/>
    <mergeCell ref="BH7:BJ7"/>
    <mergeCell ref="AS15:AW15"/>
    <mergeCell ref="AY15:BC15"/>
    <mergeCell ref="BP15:BR15"/>
    <mergeCell ref="BG14:BK14"/>
    <mergeCell ref="BX7:CB7"/>
    <mergeCell ref="BX11:CB11"/>
    <mergeCell ref="BU17:BU19"/>
    <mergeCell ref="BY17:BY19"/>
    <mergeCell ref="BX8:BX10"/>
    <mergeCell ref="CB8:CB10"/>
    <mergeCell ref="DS22:DW23"/>
    <mergeCell ref="CO2:DW8"/>
    <mergeCell ref="DE13:DF14"/>
    <mergeCell ref="DG13:DH14"/>
    <mergeCell ref="DI13:DJ14"/>
    <mergeCell ref="DE15:DF16"/>
    <mergeCell ref="DG15:DH16"/>
    <mergeCell ref="DI15:DJ16"/>
    <mergeCell ref="CR19:CR23"/>
    <mergeCell ref="CS19:CW23"/>
    <mergeCell ref="DM19:DM23"/>
    <mergeCell ref="DN19:DR23"/>
    <mergeCell ref="DE17:DF18"/>
    <mergeCell ref="DG17:DH18"/>
    <mergeCell ref="DI17:DJ18"/>
    <mergeCell ref="CX22:DB23"/>
    <mergeCell ref="BY9:CA9"/>
    <mergeCell ref="CC17:CG17"/>
    <mergeCell ref="DT42:DY43"/>
    <mergeCell ref="DM42:DS43"/>
    <mergeCell ref="DM40:DS41"/>
    <mergeCell ref="CR42:CX43"/>
    <mergeCell ref="DC29:DL31"/>
    <mergeCell ref="DC32:DL33"/>
    <mergeCell ref="DD34:DK37"/>
    <mergeCell ref="DS35:DW37"/>
    <mergeCell ref="CR32:DB34"/>
    <mergeCell ref="DM32:DW34"/>
    <mergeCell ref="CR28:DB30"/>
    <mergeCell ref="DM28:DW30"/>
    <mergeCell ref="CX19:DB21"/>
    <mergeCell ref="DS19:DW21"/>
    <mergeCell ref="CR35:CR39"/>
    <mergeCell ref="CS35:CW39"/>
    <mergeCell ref="DM35:DM39"/>
    <mergeCell ref="DN35:DR39"/>
    <mergeCell ref="CX38:DB39"/>
    <mergeCell ref="DS38:DW39"/>
    <mergeCell ref="DT40:DY41"/>
    <mergeCell ref="DT24:DY25"/>
    <mergeCell ref="DT26:DY27"/>
    <mergeCell ref="DM26:DS27"/>
    <mergeCell ref="DM24:DS25"/>
    <mergeCell ref="CR24:CX25"/>
    <mergeCell ref="CR26:CX27"/>
    <mergeCell ref="CY24:DD25"/>
    <mergeCell ref="CY26:DD27"/>
  </mergeCells>
  <phoneticPr fontId="1" type="noConversion"/>
  <conditionalFormatting sqref="CR28">
    <cfRule type="expression" dxfId="195" priority="1432">
      <formula>$CR$28="勝利!"</formula>
    </cfRule>
    <cfRule type="expression" dxfId="194" priority="1440">
      <formula>$CR$28="您破產了!"</formula>
    </cfRule>
  </conditionalFormatting>
  <conditionalFormatting sqref="DM28">
    <cfRule type="expression" dxfId="193" priority="1431">
      <formula>$DM$28="勝利!"</formula>
    </cfRule>
    <cfRule type="expression" dxfId="192" priority="1435">
      <formula>$DM$28="您破產了!"</formula>
    </cfRule>
  </conditionalFormatting>
  <conditionalFormatting sqref="CR32">
    <cfRule type="expression" dxfId="191" priority="1430">
      <formula>$CR$32="勝利!"</formula>
    </cfRule>
    <cfRule type="expression" dxfId="190" priority="1434">
      <formula>$CR$32="您破產了!"</formula>
    </cfRule>
  </conditionalFormatting>
  <conditionalFormatting sqref="DM32">
    <cfRule type="expression" dxfId="189" priority="1429">
      <formula>$DM$32="勝利!"</formula>
    </cfRule>
    <cfRule type="expression" dxfId="188" priority="1433">
      <formula>$DM$32="您破產了!"</formula>
    </cfRule>
  </conditionalFormatting>
  <conditionalFormatting sqref="DC32">
    <cfRule type="expression" dxfId="187" priority="20">
      <formula>NOT($DG$53="")</formula>
    </cfRule>
  </conditionalFormatting>
  <conditionalFormatting sqref="DC29">
    <cfRule type="expression" dxfId="186" priority="19">
      <formula>NOT($DG$53="")</formula>
    </cfRule>
  </conditionalFormatting>
  <pageMargins left="0.7" right="0.7" top="0.75" bottom="0.75" header="0.3" footer="0.3"/>
  <pageSetup paperSize="9" orientation="portrait"/>
  <ignoredErrors>
    <ignoredError sqref="CX22 CQ18:CW18 CQ20:CW21 CQ19 CT19:CW19 CQ23:DB23 CQ22:CW22 CY22:DC22 DK20:DR21 DK19:DL19 DK18:DR18 DC18:DD18 DC20:DD21 DC19:DD19 DG22:DW22 DG23:DW23 DO19:DR19 AH10 V19 AZ24 BO43 AL31 W44 BA43 BR36 BR16 AB13 AH20 AP16 M40 AK47 AT39 AU46 BH47 CD22 BJ37 BZ35 BX19 BJ17 CF16 CA10 AZ30 BH23 AV18 AT25 BB18 BD12 BJ8 BB6 AP6 AV6 CH8 BY10 CH6 CH4 AZ4 AT4 BH8 CH11 CA8 BD10 BJ6 BB4 AV4 AP4 AH8 AB11 CH10 CH12 BY8 CH9 BH6 AZ6 AT6 CH7 AF8 BB10 AF10 Z11 CH13 Z13 CH5 AN6 AN4 Y5:CG5 Y13 AC13:CG13 Y11 Y10:AE10 AI10:BA10 Y7:CG7 Y6:AM6 AQ6:AS6 AW6:AY6 BC6:BG6 Y9:CG9 Y8:AE8 BK8:BX8 Y12:BB12 BF12:CG12 CB10:CG10 AA11 AG8 Y4:AM4 AO4 AU4 BA4 BI6 BC10 BZ8 AC11:BA11 AI8:BG8 AQ4:AS4 AW4:AY4 BC4:CG4 BK6:CG6 BF10:BX10 CB8:CG8 BX33 CB38:CG38 BH37 CB22 AR23 K33 AB38 BC37 BP22 BF29 AN23 AT18 BP14 BF21 BD29 AJ31 Z38 BP36 CB42:CG42 BF45 BH35 BM41 BA37 CB44:CG44 CB45:CG45 CB41:CG41 BX35 CB34:CG34 CB33:CG33 CD14 CB20 BN22 BF23 AZ16 BP16 BH17 AH18 AP14 AN21 AL29 K31 M38 AB36 W42 AK45 BC35 BH45 AU44 AT37 BA41 BO41 BJ35 BR34 BZ33 I33 CD20 BX17 CF14 BP20 BF27 BR14 BJ15 BH21 AZ28 AX28 AJ29 AZ22 AT23 AV16 BB16 V17 T17 P17 BH15 P15 U42 AS46 BM43 CB39:CG39 CB46:CG46 CB43:CG43 AY43 CB37:CG37 CB36:CG36 Z36 CB35:CG35 BA35 K38 AR39 CD16 BV17 AL23 AX30 I31 H32:CG32 AX24 AR25 AZ18 CB47:CG47 BF47 AI47 AS44 U44 AI45 V46:W46 CB40:CG40 K40 AY41 L42:M42 BV19 T19 BN20 AF20 AL21 AX22 AT16 AN16 N17 AF18 BD27 AN14 BP34 AR37 N15 H34:BO34 M14:AM14 H26:CG26 H14:L25 M17 M16:AM16 AQ16:AS16 M21:AK21 M20:AE20 AI20:BM20 M19:S19 W19:BU19 M18:AE18 BC18:CG18 H41:AX41 H40:J40 N40:CA40 H45:AH45 H44:T44 X44:AR44 H47:AH47 AL47:BE47 BI47:CA47 AW18:AY18 M25:AQ25 AU25:CG25 M24:AW24 BA24:CG24 H31 H30:AW30 BA30:CG30 M23:AK23 BI23:CG23 BK17:BU17 BS16:CC16 CG16 BY19:CG19 M22:AW22 CE22:CG22 H38:J38 H35:AZ35 CA35 H36:Y36 BS36:CA36 H37:AQ37 BK37:CA37 H43:AX43 BP43:CA43 H46:U46 AV46:CA46 H39:AQ39 AU39:CA39 BB43:BL43 X46:AR46 H42:K42 N42:T42 AM31:CG31 M15 O15 Q15:BG15 O17 Q17:S17 U17 BA16 AU16 AS23 AY22 H29:AI29 H28:AW28 AY28 BG21 BI15 BQ14 H27:BC27 BE27 BO20 CE14 BW17 CC20 H33 BY33 BQ34 BI35 BN41 AS37 AT44 BG45 BB35 AJ45 V42 AA36 L38 J31 AK29 AM21 AO14 AG18 W17:BG17 BC16:BO16 AW16:AY16 AU23:BE23 BA22:BM22 BA28:CG28 BG27:CG27 BI21:CG21 BK15:CG15 BQ20:CA20 BS14:CC14 CG14 BY17:CG17 CE20:CG20 CA33 BS34:CA34 BK35:BW35 BP41:CA41 BI45:CA45 AV44:CA44 AU37:AZ37 BB41:BL41 BD35:BG35 AL45:BE45 X42:CA42 AC36:BO36 N38:Y38 L31:AI31 AM29:BC29 AO21:BE21 AQ14:BO14 AI18:AS18 AM23 BE29 BO22 BB37 AA38 J33 AO23:AQ23 BG29:CG29 BQ22:CA22 BD37:BG37 AC38:CA38 L33:BW33 N4:X4 M12:X12 M8:X8 M9:X9 M6:X6 M7:X7 M10:X10 M11:X11 M13:X13 M5:X5 D3:CI3 D6:L6 D5:L5 CI5 D16:G16 D13:L13 D12:L12 D11:L11 D10:L10 D8:L8 D7:L7 CI7 D9:L9 CI9 D4:M4 D34:G34 D33:G33 D40:G40 D38:G38 CH38:CI38 D37:G37 D26:G26 D22:G22 D30:G30 D29:G29 CH29:CI29 D23:G23 D19:G19 D18:G18 D14:G14 D21:G21 D32:G32 D31:G31 D36:G36 D43:G43 D42:G42 CH42:CI42 D47:G47 D45:G45 D35:G35 D41:G41 D44:G44 CH44:CI44 CH45:CI45 CH41:CI41 CH34:CI34 CH33:CI33 D20:G20 CH20:CI20 D17:G17 CH17:CI17 CH14:CI14 D15:G15 CH15:CI15 CH21:CI21 D28:G28 D27:G27 CH27:CI27 CH28:CI28 CH31:CI31 D46:G46 D39:G39 CH39:CI39 CH46:CI46 CH43:CI43 CH37:CI37 CH36:CI36 CH35:CI35 CH22:CI22 CH19:CI19 CH16:CI16 CH23:CI23 CH30:CI30 D24:G24 CH24:CI24 D25:G25 CH25:CI25 CH47:CI47 CH40:CI40 CH18:CI18 CH26:CI26 CH32:CI32 CI8 CI6 CI4 CI11 CI10 CI12 CI13 CQ38 DG46:DH46 DG43:DH43 DG45:DH45 CQ45 DG26:DH26 DM24 CQ24:CR24 CQ27 DE40:DL40 CQ39:CQ40 CQ37 CQ41:CQ42 DD28:DJ28 CQ35 CQ36 CQ28 CQ29 CQ30 CQ31:DB31 DG24:DH24 CQ43 DG27:DH27 DG25:DH25 CQ46 CQ44 DG44:DH44 BF11:CG11 BC11:BD11 CQ34 CQ32 CQ33 DM31:DW31 DE42:DL42 DC34:DD34 DC32 DC37 DC39:DL39 DC38:DL38 CX36:DC36 CX39:DB39 CX38:DB38 DM38:DW38 DM39:DW39 CX37:DB37 DM37:DW37 CX35:DC35 DL35:DW35 DL36:DW36 CQ25 CQ26 DE41:DI41 BE48 AH48 DL34 DL37 DK41:DL41" emptyCellReference="1"/>
  </ignoredErrors>
  <drawing r:id="rId1"/>
  <legacyDrawing r:id="rId2"/>
  <mc:AlternateContent xmlns:mc="http://schemas.openxmlformats.org/markup-compatibility/2006">
    <mc:Choice Requires="x14">
      <controls>
        <mc:AlternateContent xmlns:mc="http://schemas.openxmlformats.org/markup-compatibility/2006">
          <mc:Choice Requires="x14">
            <control shapeId="16398" r:id="rId3" name="Button 14">
              <controlPr defaultSize="0" print="0" autoFill="0" autoPict="0" macro="[0]!p1p">
                <anchor moveWithCells="1" sizeWithCells="1">
                  <from>
                    <xdr:col>101</xdr:col>
                    <xdr:colOff>12700</xdr:colOff>
                    <xdr:row>18</xdr:row>
                    <xdr:rowOff>177800</xdr:rowOff>
                  </from>
                  <to>
                    <xdr:col>105</xdr:col>
                    <xdr:colOff>215900</xdr:colOff>
                    <xdr:row>21</xdr:row>
                    <xdr:rowOff>12700</xdr:rowOff>
                  </to>
                </anchor>
              </controlPr>
            </control>
          </mc:Choice>
          <mc:Fallback/>
        </mc:AlternateContent>
        <mc:AlternateContent xmlns:mc="http://schemas.openxmlformats.org/markup-compatibility/2006">
          <mc:Choice Requires="x14">
            <control shapeId="16400" r:id="rId4" name="Button 16">
              <controlPr defaultSize="0" print="0" autoFill="0" autoPict="0" macro="[0]!p2p">
                <anchor moveWithCells="1" sizeWithCells="1">
                  <from>
                    <xdr:col>122</xdr:col>
                    <xdr:colOff>25400</xdr:colOff>
                    <xdr:row>18</xdr:row>
                    <xdr:rowOff>177800</xdr:rowOff>
                  </from>
                  <to>
                    <xdr:col>127</xdr:col>
                    <xdr:colOff>0</xdr:colOff>
                    <xdr:row>21</xdr:row>
                    <xdr:rowOff>25400</xdr:rowOff>
                  </to>
                </anchor>
              </controlPr>
            </control>
          </mc:Choice>
          <mc:Fallback/>
        </mc:AlternateContent>
        <mc:AlternateContent xmlns:mc="http://schemas.openxmlformats.org/markup-compatibility/2006">
          <mc:Choice Requires="x14">
            <control shapeId="16406" r:id="rId5" name="Scroll Bar 22">
              <controlPr defaultSize="0" autoPict="0">
                <anchor moveWithCells="1">
                  <from>
                    <xdr:col>94</xdr:col>
                    <xdr:colOff>215900</xdr:colOff>
                    <xdr:row>18</xdr:row>
                    <xdr:rowOff>25400</xdr:rowOff>
                  </from>
                  <to>
                    <xdr:col>96</xdr:col>
                    <xdr:colOff>0</xdr:colOff>
                    <xdr:row>23</xdr:row>
                    <xdr:rowOff>25400</xdr:rowOff>
                  </to>
                </anchor>
              </controlPr>
            </control>
          </mc:Choice>
          <mc:Fallback/>
        </mc:AlternateContent>
        <mc:AlternateContent xmlns:mc="http://schemas.openxmlformats.org/markup-compatibility/2006">
          <mc:Choice Requires="x14">
            <control shapeId="16407" r:id="rId6" name="Scroll Bar 23">
              <controlPr defaultSize="0" autoPict="0">
                <anchor moveWithCells="1">
                  <from>
                    <xdr:col>116</xdr:col>
                    <xdr:colOff>12700</xdr:colOff>
                    <xdr:row>18</xdr:row>
                    <xdr:rowOff>25400</xdr:rowOff>
                  </from>
                  <to>
                    <xdr:col>117</xdr:col>
                    <xdr:colOff>25400</xdr:colOff>
                    <xdr:row>22</xdr:row>
                    <xdr:rowOff>215900</xdr:rowOff>
                  </to>
                </anchor>
              </controlPr>
            </control>
          </mc:Choice>
          <mc:Fallback/>
        </mc:AlternateContent>
        <mc:AlternateContent xmlns:mc="http://schemas.openxmlformats.org/markup-compatibility/2006">
          <mc:Choice Requires="x14">
            <control shapeId="16411" r:id="rId7" name="Button 27">
              <controlPr defaultSize="0" print="0" autoFill="0" autoPict="0" macro="[0]!_xludf.clear">
                <anchor moveWithCells="1" sizeWithCells="1">
                  <from>
                    <xdr:col>96</xdr:col>
                    <xdr:colOff>215900</xdr:colOff>
                    <xdr:row>11</xdr:row>
                    <xdr:rowOff>0</xdr:rowOff>
                  </from>
                  <to>
                    <xdr:col>103</xdr:col>
                    <xdr:colOff>139700</xdr:colOff>
                    <xdr:row>13</xdr:row>
                    <xdr:rowOff>101600</xdr:rowOff>
                  </to>
                </anchor>
              </controlPr>
            </control>
          </mc:Choice>
          <mc:Fallback/>
        </mc:AlternateContent>
        <mc:AlternateContent xmlns:mc="http://schemas.openxmlformats.org/markup-compatibility/2006">
          <mc:Choice Requires="x14">
            <control shapeId="16449" r:id="rId8" name="Button 65">
              <controlPr defaultSize="0" print="0" autoFill="0" autoPict="0" macro="[0]!clofil">
                <anchor moveWithCells="1" sizeWithCells="1">
                  <from>
                    <xdr:col>119</xdr:col>
                    <xdr:colOff>25400</xdr:colOff>
                    <xdr:row>11</xdr:row>
                    <xdr:rowOff>0</xdr:rowOff>
                  </from>
                  <to>
                    <xdr:col>125</xdr:col>
                    <xdr:colOff>177800</xdr:colOff>
                    <xdr:row>13</xdr:row>
                    <xdr:rowOff>101600</xdr:rowOff>
                  </to>
                </anchor>
              </controlPr>
            </control>
          </mc:Choice>
          <mc:Fallback/>
        </mc:AlternateContent>
        <mc:AlternateContent xmlns:mc="http://schemas.openxmlformats.org/markup-compatibility/2006">
          <mc:Choice Requires="x14">
            <control shapeId="16401" r:id="rId9" name="Button 17">
              <controlPr defaultSize="0" print="0" autoFill="0" autoPict="0" macro="[0]!p4p">
                <anchor moveWithCells="1" sizeWithCells="1">
                  <from>
                    <xdr:col>122</xdr:col>
                    <xdr:colOff>12700</xdr:colOff>
                    <xdr:row>34</xdr:row>
                    <xdr:rowOff>152400</xdr:rowOff>
                  </from>
                  <to>
                    <xdr:col>126</xdr:col>
                    <xdr:colOff>215900</xdr:colOff>
                    <xdr:row>36</xdr:row>
                    <xdr:rowOff>215900</xdr:rowOff>
                  </to>
                </anchor>
              </controlPr>
            </control>
          </mc:Choice>
          <mc:Fallback/>
        </mc:AlternateContent>
        <mc:AlternateContent xmlns:mc="http://schemas.openxmlformats.org/markup-compatibility/2006">
          <mc:Choice Requires="x14">
            <control shapeId="16410" r:id="rId10" name="Scroll Bar 26">
              <controlPr defaultSize="0" autoPict="0">
                <anchor moveWithCells="1">
                  <from>
                    <xdr:col>116</xdr:col>
                    <xdr:colOff>12700</xdr:colOff>
                    <xdr:row>34</xdr:row>
                    <xdr:rowOff>0</xdr:rowOff>
                  </from>
                  <to>
                    <xdr:col>117</xdr:col>
                    <xdr:colOff>25400</xdr:colOff>
                    <xdr:row>39</xdr:row>
                    <xdr:rowOff>12700</xdr:rowOff>
                  </to>
                </anchor>
              </controlPr>
            </control>
          </mc:Choice>
          <mc:Fallback/>
        </mc:AlternateContent>
        <mc:AlternateContent xmlns:mc="http://schemas.openxmlformats.org/markup-compatibility/2006">
          <mc:Choice Requires="x14">
            <control shapeId="16399" r:id="rId11" name="Button 15">
              <controlPr defaultSize="0" print="0" autoFill="0" autoPict="0" macro="[0]!p3p">
                <anchor moveWithCells="1" sizeWithCells="1">
                  <from>
                    <xdr:col>101</xdr:col>
                    <xdr:colOff>25400</xdr:colOff>
                    <xdr:row>34</xdr:row>
                    <xdr:rowOff>152400</xdr:rowOff>
                  </from>
                  <to>
                    <xdr:col>106</xdr:col>
                    <xdr:colOff>25400</xdr:colOff>
                    <xdr:row>37</xdr:row>
                    <xdr:rowOff>0</xdr:rowOff>
                  </to>
                </anchor>
              </controlPr>
            </control>
          </mc:Choice>
          <mc:Fallback/>
        </mc:AlternateContent>
        <mc:AlternateContent xmlns:mc="http://schemas.openxmlformats.org/markup-compatibility/2006">
          <mc:Choice Requires="x14">
            <control shapeId="16408" r:id="rId12" name="Scroll Bar 24">
              <controlPr defaultSize="0" autoPict="0">
                <anchor moveWithCells="1">
                  <from>
                    <xdr:col>95</xdr:col>
                    <xdr:colOff>12700</xdr:colOff>
                    <xdr:row>34</xdr:row>
                    <xdr:rowOff>25400</xdr:rowOff>
                  </from>
                  <to>
                    <xdr:col>96</xdr:col>
                    <xdr:colOff>25400</xdr:colOff>
                    <xdr:row>39</xdr:row>
                    <xdr:rowOff>25400</xdr:rowOff>
                  </to>
                </anchor>
              </controlPr>
            </control>
          </mc:Choice>
          <mc:Fallback/>
        </mc:AlternateContent>
        <mc:AlternateContent xmlns:mc="http://schemas.openxmlformats.org/markup-compatibility/2006">
          <mc:Choice Requires="x14">
            <control shapeId="16471" r:id="rId13" name="Button 87">
              <controlPr defaultSize="0" print="0" autoFill="0" autoPict="0" macro="[0]!buy">
                <anchor moveWithCells="1" sizeWithCells="1">
                  <from>
                    <xdr:col>107</xdr:col>
                    <xdr:colOff>177800</xdr:colOff>
                    <xdr:row>28</xdr:row>
                    <xdr:rowOff>101600</xdr:rowOff>
                  </from>
                  <to>
                    <xdr:col>114</xdr:col>
                    <xdr:colOff>50800</xdr:colOff>
                    <xdr:row>30</xdr:row>
                    <xdr:rowOff>139700</xdr:rowOff>
                  </to>
                </anchor>
              </controlPr>
            </control>
          </mc:Choice>
          <mc:Fallback/>
        </mc:AlternateContent>
        <mc:AlternateContent xmlns:mc="http://schemas.openxmlformats.org/markup-compatibility/2006">
          <mc:Choice Requires="x14">
            <control shapeId="16473" r:id="rId14" name="Button 89">
              <controlPr defaultSize="0" print="0" autoFill="0" autoPict="0" macro="[0]!sell">
                <anchor moveWithCells="1" sizeWithCells="1">
                  <from>
                    <xdr:col>107</xdr:col>
                    <xdr:colOff>177800</xdr:colOff>
                    <xdr:row>34</xdr:row>
                    <xdr:rowOff>0</xdr:rowOff>
                  </from>
                  <to>
                    <xdr:col>114</xdr:col>
                    <xdr:colOff>50800</xdr:colOff>
                    <xdr:row>36</xdr:row>
                    <xdr:rowOff>38100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219" id="{C7CDCD43-C7A1-CB41-8E08-A128FCDE6928}">
            <xm:f>AND(NOT(K4=""),K4=cal!$BB$1)</xm:f>
            <x14: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410" id="{81F6EB7A-FC29-0946-8B09-DA8606CD9397}">
            <xm:f>AND(NOT(K4=""),K4=cal!$BC$1)</xm:f>
            <x14:dxf>
              <font>
                <color rgb="FFC00000"/>
              </font>
              <fill>
                <patternFill>
                  <bgColor theme="1"/>
                </patternFill>
              </fill>
              <border>
                <right style="thin">
                  <color theme="0"/>
                </right>
                <bottom style="thin">
                  <color theme="0"/>
                </bottom>
              </border>
            </x14:dxf>
          </x14:cfRule>
          <xm:sqref>T17 AF18 K38 U42 BM41 BF45 AI45 AS44 AY41 AR37 BH35 BP34 BX33 AJ29 CB20 CD14 BY8 BV17 BP14 BH15 BF21 AX28 AX22 AR23 AT16 AZ16 BB10 BH6 AZ4 AT4 AN4 AF8</xm:sqref>
        </x14:conditionalFormatting>
        <x14:conditionalFormatting xmlns:xm="http://schemas.microsoft.com/office/excel/2006/main">
          <x14:cfRule type="expression" priority="218" id="{B21D892F-BF8C-7046-BC91-E36615A2BC1F}">
            <xm:f>AND(NOT(M4=""),M4=cal!$BB$1)</xm:f>
            <x14: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405" id="{B37C2B79-F9F2-EE4B-983C-CE3F7125F1C1}">
            <xm:f>AND(NOT(M4=""),M4=cal!$BC$1)</xm:f>
            <x14:dxf>
              <font>
                <color rgb="FF00B050"/>
              </font>
              <fill>
                <patternFill>
                  <bgColor theme="1"/>
                </patternFill>
              </fill>
              <border>
                <right style="thin">
                  <color theme="0"/>
                </right>
                <bottom style="thin">
                  <color theme="0"/>
                </bottom>
              </border>
            </x14:dxf>
          </x14:cfRule>
          <xm:sqref>V17 M38 W42 AH18 AP14 AL29 AK45 AU44 AT37 BA41 BH45 BO41 BJ35 BR34 BZ33 CD20 CF14 CA8 BR14 BJ15 BH21 AZ28 AZ22 AT23 AH8 AP4 AV4 BB4 BJ6 BD10 BB16 AV16</xm:sqref>
        </x14:conditionalFormatting>
        <x14:conditionalFormatting xmlns:xm="http://schemas.microsoft.com/office/excel/2006/main">
          <x14:cfRule type="expression" priority="217" id="{B2FEECCC-13EE-5A48-872C-44182560A746}">
            <xm:f>AND(NOT(K6=""),K6=cal!$BB$1)</xm:f>
            <x14:dxf>
              <font>
                <b val="0"/>
                <i val="0"/>
                <color theme="9" tint="-0.24994659260841701"/>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400" id="{08D80110-6560-3846-8753-684EE5A48180}">
            <xm:f>AND(NOT(K6=""),K6=cal!$BC$1)</xm:f>
            <x14:dxf>
              <font>
                <color theme="9" tint="-0.24994659260841701"/>
              </font>
              <fill>
                <patternFill>
                  <bgColor theme="1"/>
                </patternFill>
              </fill>
            </x14:dxf>
          </x14:cfRule>
          <xm:sqref>T19 AF20 AJ31 K40 U44 AI47 AR39 AS46 AY43 BF47 BM43 BH37 BP36 BX35 BY10 CD16 CB22 BV19 BP16 BH17 BF23 AX30 AX24 AR25 AT18 AZ18 BB12 BH8 AZ6 AT6 AN6 AF10</xm:sqref>
        </x14:conditionalFormatting>
        <x14:conditionalFormatting xmlns:xm="http://schemas.microsoft.com/office/excel/2006/main">
          <x14:cfRule type="expression" priority="216" id="{00EDCD23-D7A6-414E-815B-6339A93DC743}">
            <xm:f>AND(NOT(M6=""),M6=cal!$BB$1)</xm:f>
            <x14: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395" id="{94D99F94-9028-A844-A569-EBFBE946C783}">
            <xm:f>AND(NOT(M6=""),M6=cal!$BC$1)</xm:f>
            <x14:dxf>
              <font>
                <color rgb="FF0070C0"/>
              </font>
              <fill>
                <patternFill>
                  <bgColor theme="1"/>
                </patternFill>
              </fill>
            </x14:dxf>
          </x14:cfRule>
          <xm:sqref>V19 AT39 AU46 BH47 BO43 BJ37 BR36 BZ35 CD22 BX19 CF16 CA10 BR16 BJ17 BH23 AZ30 AZ24 AT25 AV18 BB18 BD12 BJ8 BB6 AV6 AP6 AH10 AP16 AL31 M40 W44 AK47</xm:sqref>
        </x14:conditionalFormatting>
        <x14:conditionalFormatting xmlns:xm="http://schemas.microsoft.com/office/excel/2006/main">
          <x14:cfRule type="expression" priority="241" id="{41FEDB2F-4045-3642-B4C3-3B799AB930A3}">
            <xm:f>AND(NOT(N15=""),N15=cal!$BB$1)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962" id="{C0F7AB57-4D5D-6749-83E9-5DC0E97E3369}">
            <xm:f>AND(NOT(N15=""),N15=cal!$BC$1)</xm:f>
            <x14:dxf>
              <font>
                <color rgb="FFC00000"/>
              </font>
              <fill>
                <patternFill>
                  <bgColor theme="1"/>
                </patternFill>
              </fill>
            </x14:dxf>
          </x14:cfRule>
          <xm:sqref>N15</xm:sqref>
        </x14:conditionalFormatting>
        <x14:conditionalFormatting xmlns:xm="http://schemas.microsoft.com/office/excel/2006/main">
          <x14:cfRule type="expression" priority="240" id="{0D6A580D-8AB1-394B-8EE5-A307D270CDED}">
            <xm:f>AND(NOT(P15=""),P15=cal!$BB$1)</xm:f>
            <x14: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961" id="{25579F36-691C-804E-9E60-751A4723208E}">
            <xm:f>AND(NOT(P15=""),P15=cal!$BC$1)</xm:f>
            <x14:dxf>
              <font>
                <color rgb="FF00B050"/>
              </font>
              <fill>
                <patternFill>
                  <bgColor theme="1"/>
                </patternFill>
              </fill>
            </x14:dxf>
          </x14:cfRule>
          <xm:sqref>P15 AB36 BC35 BP20 BF27 AN21</xm:sqref>
        </x14:conditionalFormatting>
        <x14:conditionalFormatting xmlns:xm="http://schemas.microsoft.com/office/excel/2006/main">
          <x14:cfRule type="expression" priority="239" id="{000BF711-28F8-7548-B95B-65532A01BDB7}">
            <xm:f>AND(NOT(I17=""),I17=cal!$BB$1)</xm:f>
            <x14: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960" id="{5F83FB4C-B6ED-9243-B96C-6E7FAC685625}">
            <xm:f>AND(NOT(I17=""),I17=cal!$BC$1)</xm:f>
            <x14:dxf>
              <font>
                <color rgb="FFFFC000"/>
              </font>
              <fill>
                <patternFill>
                  <bgColor theme="1"/>
                </patternFill>
              </fill>
            </x14:dxf>
          </x14:cfRule>
          <xm:sqref>N17 I33 Z38 BA37 BD29 AL23</xm:sqref>
        </x14:conditionalFormatting>
        <x14:conditionalFormatting xmlns:xm="http://schemas.microsoft.com/office/excel/2006/main">
          <x14:cfRule type="expression" priority="238" id="{92A6716F-A1AE-9345-8425-B06433AD4448}">
            <xm:f>AND(NOT(K17=""),K17=cal!$BB$1)</xm:f>
            <x14: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959" id="{A87DF5CA-237D-CF4F-885A-070AB0EFE49B}">
            <xm:f>AND(NOT(K17=""),K17=cal!$BC$1)</xm:f>
            <x14:dxf>
              <font>
                <color rgb="FF0070C0"/>
              </font>
              <fill>
                <patternFill>
                  <bgColor theme="1"/>
                </patternFill>
              </fill>
            </x14:dxf>
          </x14:cfRule>
          <xm:sqref>P17 K33 AB38 BP22 BF29 AN23</xm:sqref>
        </x14:conditionalFormatting>
        <x14:conditionalFormatting xmlns:xm="http://schemas.microsoft.com/office/excel/2006/main">
          <x14:cfRule type="expression" priority="1449" id="{1EC0BE5D-FF38-47DB-8B9E-839061053EF1}">
            <xm:f>cal!$BB$1=$CS$19</xm:f>
            <x14:dxf>
              <font>
                <b/>
                <i val="0"/>
                <color rgb="FFC0000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x14:dxf>
          </x14:cfRule>
          <xm:sqref>CS19:CW23</xm:sqref>
        </x14:conditionalFormatting>
        <x14:conditionalFormatting xmlns:xm="http://schemas.microsoft.com/office/excel/2006/main">
          <x14:cfRule type="expression" priority="1448" id="{D3A5E1C6-1508-4EAC-ADC4-D0DBA7B95D58}">
            <xm:f>cal!$BB$1=$DN$19</xm:f>
            <x14:dxf>
              <font>
                <b/>
                <i val="0"/>
                <color rgb="FF00B05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x14:dxf>
          </x14:cfRule>
          <xm:sqref>DN19:DR23</xm:sqref>
        </x14:conditionalFormatting>
        <x14:conditionalFormatting xmlns:xm="http://schemas.microsoft.com/office/excel/2006/main">
          <x14:cfRule type="expression" priority="1447" id="{16373338-4945-4D79-8221-ACE27276523E}">
            <xm:f>cal!$BB$1=$CS$35</xm:f>
            <x14:dxf>
              <font>
                <b/>
                <i val="0"/>
                <color theme="9" tint="-0.24994659260841701"/>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x14:dxf>
          </x14:cfRule>
          <xm:sqref>CS35:CW39</xm:sqref>
        </x14:conditionalFormatting>
        <x14:conditionalFormatting xmlns:xm="http://schemas.microsoft.com/office/excel/2006/main">
          <x14:cfRule type="expression" priority="1446" id="{7F1E776B-3964-4D11-A35B-1904134738BC}">
            <xm:f>cal!$BB$1=$DN$35</xm:f>
            <x14:dxf>
              <font>
                <b/>
                <i val="0"/>
                <color rgb="FF0070C0"/>
              </font>
              <fill>
                <patternFill patternType="solid">
                  <fgColor indexed="64"/>
                  <bgColor rgb="FFFFFF00"/>
                </patternFill>
              </fill>
              <border>
                <left style="thin">
                  <color theme="0" tint="-4.9989318521683403E-2"/>
                </left>
                <right style="thin">
                  <color theme="1" tint="0.24994659260841701"/>
                </right>
                <top style="thin">
                  <color theme="0" tint="-4.9989318521683403E-2"/>
                </top>
                <bottom style="thin">
                  <color theme="1" tint="0.24994659260841701"/>
                </bottom>
              </border>
            </x14:dxf>
          </x14:cfRule>
          <xm:sqref>DN35:DR39</xm:sqref>
        </x14:conditionalFormatting>
        <x14:conditionalFormatting xmlns:xm="http://schemas.microsoft.com/office/excel/2006/main">
          <x14:cfRule type="expression" priority="236" id="{61D09709-93A3-BC48-ABB8-72C9FE4A6D59}">
            <xm:f>AND(NOT(AL21=""),AL21=cal!$BB$1)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37" id="{24E4A748-DE59-B148-ABE4-A410B8FECF78}">
            <xm:f>AND(NOT(AL21=""),AL21=cal!$BC$1)</xm:f>
            <x14:dxf>
              <font>
                <color rgb="FFC00000"/>
              </font>
              <fill>
                <patternFill>
                  <bgColor theme="1"/>
                </patternFill>
              </fill>
            </x14:dxf>
          </x14:cfRule>
          <xm:sqref>AL21</xm:sqref>
        </x14:conditionalFormatting>
        <x14:conditionalFormatting xmlns:xm="http://schemas.microsoft.com/office/excel/2006/main">
          <x14:cfRule type="expression" priority="234" id="{469EFC42-C26F-1D46-AFA3-608568D86500}">
            <xm:f>AND(NOT(BD27=""),BD27=cal!$BB$1)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35" id="{DE09534D-05FB-254D-A101-3ECEAB2D9354}">
            <xm:f>AND(NOT(BD27=""),BD27=cal!$BC$1)</xm:f>
            <x14:dxf>
              <font>
                <color rgb="FFC00000"/>
              </font>
              <fill>
                <patternFill>
                  <bgColor theme="1"/>
                </patternFill>
              </fill>
            </x14:dxf>
          </x14:cfRule>
          <xm:sqref>BD27</xm:sqref>
        </x14:conditionalFormatting>
        <x14:conditionalFormatting xmlns:xm="http://schemas.microsoft.com/office/excel/2006/main">
          <x14:cfRule type="expression" priority="232" id="{CB1E6EE6-3193-2E42-99A3-EC263B25775D}">
            <xm:f>AND(NOT(BN20=""),BN20=cal!$BB$1)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33" id="{CE08FC30-F7B5-574D-8EF1-DB7E39F4C2C5}">
            <xm:f>AND(NOT(BN20=""),BN20=cal!$BC$1)</xm:f>
            <x14:dxf>
              <font>
                <color rgb="FFC00000"/>
              </font>
              <fill>
                <patternFill>
                  <bgColor theme="1"/>
                </patternFill>
              </fill>
            </x14:dxf>
          </x14:cfRule>
          <xm:sqref>BN20</xm:sqref>
        </x14:conditionalFormatting>
        <x14:conditionalFormatting xmlns:xm="http://schemas.microsoft.com/office/excel/2006/main">
          <x14:cfRule type="expression" priority="230" id="{ABF93E9B-0C08-024E-98AE-8541EF5186EE}">
            <xm:f>AND(NOT(BA35=""),BA35=cal!$BB$1)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31" id="{2FCF43D9-F594-5E4A-BAB0-AEE6E82088B4}">
            <xm:f>AND(NOT(BA35=""),BA35=cal!$BC$1)</xm:f>
            <x14:dxf>
              <font>
                <color rgb="FFC00000"/>
              </font>
              <fill>
                <patternFill>
                  <bgColor theme="1"/>
                </patternFill>
              </fill>
            </x14:dxf>
          </x14:cfRule>
          <xm:sqref>BA35</xm:sqref>
        </x14:conditionalFormatting>
        <x14:conditionalFormatting xmlns:xm="http://schemas.microsoft.com/office/excel/2006/main">
          <x14:cfRule type="expression" priority="228" id="{CB202437-D378-DC41-AE1C-8E074A32ABF2}">
            <xm:f>AND(NOT(Z36=""),Z36=cal!$BB$1)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29" id="{98D97613-35C5-2440-87ED-255F97218F99}">
            <xm:f>AND(NOT(Z36=""),Z36=cal!$BC$1)</xm:f>
            <x14:dxf>
              <font>
                <color rgb="FFC00000"/>
              </font>
              <fill>
                <patternFill>
                  <bgColor theme="1"/>
                </patternFill>
              </fill>
            </x14:dxf>
          </x14:cfRule>
          <xm:sqref>Z36</xm:sqref>
        </x14:conditionalFormatting>
        <x14:conditionalFormatting xmlns:xm="http://schemas.microsoft.com/office/excel/2006/main">
          <x14:cfRule type="expression" priority="226" id="{3861DD07-34DD-2548-A9F8-5087AFBA5426}">
            <xm:f>AND(NOT(I31=""),I31=cal!$BB$1)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27" id="{469591EC-3638-6043-A64B-4DC2BECBA2DB}">
            <xm:f>AND(NOT(I31=""),I31=cal!$BC$1)</xm:f>
            <x14:dxf>
              <font>
                <color rgb="FFC00000"/>
              </font>
              <fill>
                <patternFill>
                  <bgColor theme="1"/>
                </patternFill>
              </fill>
            </x14:dxf>
          </x14:cfRule>
          <xm:sqref>I31</xm:sqref>
        </x14:conditionalFormatting>
        <x14:conditionalFormatting xmlns:xm="http://schemas.microsoft.com/office/excel/2006/main">
          <x14:cfRule type="expression" priority="224" id="{D9327CF6-488D-1D40-ACEC-8ACDB374D90F}">
            <xm:f>AND(NOT(K31=""),K31=cal!$BB$1)</xm:f>
            <x14: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25" id="{11E99812-C6C4-4A40-B90F-100CD99F04A4}">
            <xm:f>AND(NOT(K31=""),K31=cal!$BC$1)</xm:f>
            <x14:dxf>
              <font>
                <color rgb="FF00B050"/>
              </font>
              <fill>
                <patternFill>
                  <bgColor theme="1"/>
                </patternFill>
              </fill>
            </x14:dxf>
          </x14:cfRule>
          <xm:sqref>K31</xm:sqref>
        </x14:conditionalFormatting>
        <x14:conditionalFormatting xmlns:xm="http://schemas.microsoft.com/office/excel/2006/main">
          <x14:cfRule type="expression" priority="222" id="{0AAE72FF-02F4-2148-888D-871F3BF00458}">
            <xm:f>AND(NOT(BN22=""),BN22=cal!$BB$1)</xm:f>
            <x14: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23" id="{3135DC09-9918-6E46-B530-3BC2FAEC52CC}">
            <xm:f>AND(NOT(BN22=""),BN22=cal!$BC$1)</xm:f>
            <x14:dxf>
              <font>
                <color rgb="FFFFC000"/>
              </font>
              <fill>
                <patternFill>
                  <bgColor theme="1"/>
                </patternFill>
              </fill>
            </x14:dxf>
          </x14:cfRule>
          <xm:sqref>BN22</xm:sqref>
        </x14:conditionalFormatting>
        <x14:conditionalFormatting xmlns:xm="http://schemas.microsoft.com/office/excel/2006/main">
          <x14:cfRule type="expression" priority="220" id="{51FFE16F-9EBD-AB47-8F6B-6CFCE658B435}">
            <xm:f>AND(NOT(BC37=""),BC37=cal!$BB$1)</xm:f>
            <x14: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21" id="{D4D4CBF5-2F18-B741-B7F1-210F572665CC}">
            <xm:f>AND(NOT(BC37=""),BC37=cal!$BC$1)</xm:f>
            <x14:dxf>
              <font>
                <color rgb="FF0070C0"/>
              </font>
              <fill>
                <patternFill>
                  <bgColor theme="1"/>
                </patternFill>
              </fill>
            </x14:dxf>
          </x14:cfRule>
          <xm:sqref>BC37</xm:sqref>
        </x14:conditionalFormatting>
        <x14:conditionalFormatting xmlns:xm="http://schemas.microsoft.com/office/excel/2006/main">
          <x14:cfRule type="expression" priority="210" id="{C955570D-1DF0-9D48-BF9B-FF997ABBA1D9}">
            <xm:f>AND(NOT(Z11=""),Z11=cal!$BB$1)</xm:f>
            <x14: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11" id="{98830FA0-FD55-694B-AAA7-E9CB112359A8}">
            <xm:f>AND(NOT(Z11=""),Z11=cal!$BC$1)</xm:f>
            <x14:dxf>
              <font>
                <color rgb="FFC00000"/>
              </font>
              <fill>
                <patternFill>
                  <bgColor theme="1"/>
                </patternFill>
              </fill>
              <border>
                <right style="thin">
                  <color theme="0"/>
                </right>
                <bottom style="thin">
                  <color theme="0"/>
                </bottom>
              </border>
            </x14:dxf>
          </x14:cfRule>
          <xm:sqref>Z11</xm:sqref>
        </x14:conditionalFormatting>
        <x14:conditionalFormatting xmlns:xm="http://schemas.microsoft.com/office/excel/2006/main">
          <x14:cfRule type="expression" priority="204" id="{230DC89C-8E40-304D-AAFD-4050844F621C}">
            <xm:f>AND(NOT(AB11=""),AB11=cal!$BB$1)</xm:f>
            <x14: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05" id="{747ED383-9C4D-184F-AB98-BBA287D1C377}">
            <xm:f>AND(NOT(AB11=""),AB11=cal!$BC$1)</xm:f>
            <x14:dxf>
              <font>
                <color rgb="FF00B050"/>
              </font>
              <fill>
                <patternFill>
                  <bgColor theme="1"/>
                </patternFill>
              </fill>
              <border>
                <right style="thin">
                  <color theme="0"/>
                </right>
                <bottom style="thin">
                  <color theme="0"/>
                </bottom>
              </border>
            </x14:dxf>
          </x14:cfRule>
          <xm:sqref>AB11</xm:sqref>
        </x14:conditionalFormatting>
        <x14:conditionalFormatting xmlns:xm="http://schemas.microsoft.com/office/excel/2006/main">
          <x14:cfRule type="expression" priority="198" id="{AAE29E4B-F82F-3C46-BF8B-BC9351D72B18}">
            <xm:f>AND(NOT(Z13=""),Z13=cal!$BB$1)</xm:f>
            <x14:dxf>
              <font>
                <b val="0"/>
                <i val="0"/>
                <color rgb="FFFF66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99" id="{D6A8FEF1-4100-DF43-8669-2E8498CDC808}">
            <xm:f>AND(NOT(Z13=""),Z13=cal!$BC$1)</xm:f>
            <x14:dxf>
              <font>
                <color rgb="FFFFC000"/>
              </font>
              <fill>
                <patternFill>
                  <bgColor theme="1"/>
                </patternFill>
              </fill>
            </x14:dxf>
          </x14:cfRule>
          <xm:sqref>Z13</xm:sqref>
        </x14:conditionalFormatting>
        <x14:conditionalFormatting xmlns:xm="http://schemas.microsoft.com/office/excel/2006/main">
          <x14:cfRule type="expression" priority="192" id="{5B6E288A-390A-1847-BD39-11B8BE5E1A72}">
            <xm:f>AND(NOT(AB13=""),AB13=cal!$BB$1)</xm:f>
            <x14: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93" id="{CC7B0C41-12C2-2842-AC5A-C12B739E5BBB}">
            <xm:f>AND(NOT(AB13=""),AB13=cal!$BC$1)</xm:f>
            <x14:dxf>
              <font>
                <color rgb="FF0070C0"/>
              </font>
              <fill>
                <patternFill>
                  <bgColor theme="1"/>
                </patternFill>
              </fill>
            </x14:dxf>
          </x14:cfRule>
          <xm:sqref>AB13</xm:sqref>
        </x14:conditionalFormatting>
        <x14:conditionalFormatting xmlns:xm="http://schemas.microsoft.com/office/excel/2006/main">
          <x14:cfRule type="expression" priority="186" id="{3679412A-1FCE-6C48-AAB1-90DFE5D232B6}">
            <xm:f>AND(NOT(AN14=""),AN14=cal!$BB$1)</xm:f>
            <x14:dxf>
              <font>
                <b val="0"/>
                <i val="0"/>
                <color rgb="FF800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87" id="{75039799-562E-C54D-81BA-29A015366947}">
            <xm:f>AND(NOT(AN14=""),AN14=cal!$BC$1)</xm:f>
            <x14:dxf>
              <font>
                <color rgb="FFC00000"/>
              </font>
              <fill>
                <patternFill>
                  <bgColor theme="1"/>
                </patternFill>
              </fill>
              <border>
                <right style="thin">
                  <color theme="0"/>
                </right>
                <bottom style="thin">
                  <color theme="0"/>
                </bottom>
              </border>
            </x14:dxf>
          </x14:cfRule>
          <xm:sqref>AN14</xm:sqref>
        </x14:conditionalFormatting>
        <x14:conditionalFormatting xmlns:xm="http://schemas.microsoft.com/office/excel/2006/main">
          <x14:cfRule type="expression" priority="180" id="{D10A50FB-9387-CC42-BAAC-15C77189142D}">
            <xm:f>AND(NOT(BX17=""),BX17=cal!$BB$1)</xm:f>
            <x14:dxf>
              <font>
                <b val="0"/>
                <i val="0"/>
                <color rgb="FF0080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81" id="{DEB7A866-6EA3-BC44-AD35-10E5AF9F2D53}">
            <xm:f>AND(NOT(BX17=""),BX17=cal!$BC$1)</xm:f>
            <x14:dxf>
              <font>
                <color rgb="FF00B050"/>
              </font>
              <fill>
                <patternFill>
                  <bgColor theme="1"/>
                </patternFill>
              </fill>
              <border>
                <right style="thin">
                  <color theme="0"/>
                </right>
                <bottom style="thin">
                  <color theme="0"/>
                </bottom>
              </border>
            </x14:dxf>
          </x14:cfRule>
          <xm:sqref>BX17</xm:sqref>
        </x14:conditionalFormatting>
        <x14:conditionalFormatting xmlns:xm="http://schemas.microsoft.com/office/excel/2006/main">
          <x14:cfRule type="expression" priority="174" id="{AD335831-F59B-3943-991F-691561B4B192}">
            <xm:f>AND(NOT(AN16=""),AN16=cal!$BB$1)</xm:f>
            <x14:dxf>
              <font>
                <b val="0"/>
                <i val="0"/>
                <color rgb="FFFF6600"/>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75" id="{0496ABBA-7A9A-7D4E-B4D2-BA055001C1FF}">
            <xm:f>AND(NOT(AN16=""),AN16=cal!$BC$1)</xm:f>
            <x14:dxf>
              <font>
                <color rgb="FFFFC000"/>
              </font>
              <fill>
                <patternFill>
                  <bgColor theme="1"/>
                </patternFill>
              </fill>
            </x14:dxf>
          </x14:cfRule>
          <xm:sqref>AN16</xm:sqref>
        </x14:conditionalFormatting>
        <x14:conditionalFormatting xmlns:xm="http://schemas.microsoft.com/office/excel/2006/main">
          <x14:cfRule type="expression" priority="168" id="{9F682CA0-9E1F-1A42-A9FF-D6B5CA98F0C2}">
            <xm:f>AND(NOT(BA43=""),BA43=cal!$BB$1)</xm:f>
            <x14: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69" id="{AF61FA40-AAD8-E649-915C-85D60BE75609}">
            <xm:f>AND(NOT(BA43=""),BA43=cal!$BC$1)</xm:f>
            <x14:dxf>
              <font>
                <color rgb="FF0070C0"/>
              </font>
              <fill>
                <patternFill>
                  <bgColor theme="1"/>
                </patternFill>
              </fill>
            </x14:dxf>
          </x14:cfRule>
          <xm:sqref>BA43</xm:sqref>
        </x14:conditionalFormatting>
        <x14:conditionalFormatting xmlns:xm="http://schemas.microsoft.com/office/excel/2006/main">
          <x14:cfRule type="expression" priority="162" id="{93EA0BCE-F07D-3C4F-850A-620A34E72E1A}">
            <xm:f>AND(NOT(AH20=""),AH20=cal!$BB$1)</xm:f>
            <x14:dxf>
              <font>
                <b val="0"/>
                <i val="0"/>
                <color rgb="FF0000FF"/>
              </font>
              <fill>
                <patternFill patternType="solid">
                  <fgColor indexed="64"/>
                  <bgColor theme="0" tint="-0.249977111117893"/>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163" id="{4DB6815F-06A5-1647-B439-97C319E519AE}">
            <xm:f>AND(NOT(AH20=""),AH20=cal!$BC$1)</xm:f>
            <x14:dxf>
              <font>
                <color rgb="FF0070C0"/>
              </font>
              <fill>
                <patternFill>
                  <bgColor theme="1"/>
                </patternFill>
              </fill>
            </x14:dxf>
          </x14:cfRule>
          <xm:sqref>AH20</xm:sqref>
        </x14:conditionalFormatting>
        <x14:conditionalFormatting xmlns:xm="http://schemas.microsoft.com/office/excel/2006/main">
          <x14:cfRule type="expression" priority="124" id="{EA003E71-15A2-445E-8D5A-A20C7E1697D8}">
            <xm:f>OR(cal!$BC$1=E3,cal!$BC$1=G3,cal!$BC$1=E5,cal!$BC$1=G5)</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S16:W16 D2:H2</xm:sqref>
        </x14:conditionalFormatting>
        <x14:conditionalFormatting xmlns:xm="http://schemas.microsoft.com/office/excel/2006/main">
          <x14:cfRule type="expression" priority="123" id="{FD295ABE-DC3C-4EFB-867C-95F1B3922888}">
            <xm:f>OR(cal!$BC$1=Z11,cal!$BC$1=AB11,cal!$BC$1=Z13,cal!$BC$1=AB13)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Y10:AC10</xm:sqref>
        </x14:conditionalFormatting>
        <x14:conditionalFormatting xmlns:xm="http://schemas.microsoft.com/office/excel/2006/main">
          <x14:cfRule type="expression" priority="122" id="{4ACFA9D4-39F5-4966-84B4-EBF5A0520CE5}">
            <xm:f>OR(cal!$BC$1=AF8,cal!$BC$1=AH8,cal!$BC$1=AF10,cal!$BC$1=AH10)</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AE7:AI7</xm:sqref>
        </x14:conditionalFormatting>
        <x14:conditionalFormatting xmlns:xm="http://schemas.microsoft.com/office/excel/2006/main">
          <x14:cfRule type="expression" priority="121" id="{C1E45A57-B444-4408-AB98-9B0A7189BDE8}">
            <xm:f>OR(cal!$BC$1=AN4,cal!$BC$1=AP4,cal!$BC$1=AN6,cal!$BC$1=AP6)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AM3:AQ3</xm:sqref>
        </x14:conditionalFormatting>
        <x14:conditionalFormatting xmlns:xm="http://schemas.microsoft.com/office/excel/2006/main">
          <x14:cfRule type="expression" priority="120" id="{24781161-905D-47AE-BC52-B1B743E97FBC}">
            <xm:f>OR(cal!$BC$1=AT4,cal!$BC$1=AV4,cal!$BC$1=AT6,cal!$BC$1=AV6)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AS3:AW3</xm:sqref>
        </x14:conditionalFormatting>
        <x14:conditionalFormatting xmlns:xm="http://schemas.microsoft.com/office/excel/2006/main">
          <x14:cfRule type="expression" priority="119" id="{2E45B368-7361-4A23-A0AE-6A6F7988EF48}">
            <xm:f>OR(cal!$BC$1=AZ4,cal!$BC$1=BB4,cal!$BC$1=AZ6,cal!$BC$1=BB6)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AY3:BC3</xm:sqref>
        </x14:conditionalFormatting>
        <x14:conditionalFormatting xmlns:xm="http://schemas.microsoft.com/office/excel/2006/main">
          <x14:cfRule type="expression" priority="118" id="{61DA1936-F86E-4D84-8F8B-3D8C2C006F81}">
            <xm:f>OR(cal!$BC$1=BH6,cal!$BC$1=BJ6,cal!$BC$1=BH8,cal!$BC$1=BJ8)</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BG5:BK5</xm:sqref>
        </x14:conditionalFormatting>
        <x14:conditionalFormatting xmlns:xm="http://schemas.microsoft.com/office/excel/2006/main">
          <x14:cfRule type="expression" priority="117" id="{E9CF1DA9-5F7C-470D-945B-324AA9508631}">
            <xm:f>OR(cal!$BC$1=BB10,cal!$BC$1=BD10,cal!$BC$1=BB12,cal!$BC$1=BD12)</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BA9:BE9</xm:sqref>
        </x14:conditionalFormatting>
        <x14:conditionalFormatting xmlns:xm="http://schemas.microsoft.com/office/excel/2006/main">
          <x14:cfRule type="expression" priority="115" id="{2BD7ED0D-5335-465E-9023-3A602D5FC8EB}">
            <xm:f>OR(cal!$BC$1=AZ16,cal!$BC$1=BB16,cal!$BC$1=AZ18,cal!$BC$1=BB18)</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AY15:BC15</xm:sqref>
        </x14:conditionalFormatting>
        <x14:conditionalFormatting xmlns:xm="http://schemas.microsoft.com/office/excel/2006/main">
          <x14:cfRule type="expression" priority="114" id="{FAD27F8B-85C0-41BB-A939-AD7DCFDF3E38}">
            <xm:f>OR(cal!$BC$1=AT16,cal!$BC$1=AV16,cal!$BC$1=AT18,cal!$BC$1=AV18)</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AS15:AW15</xm:sqref>
        </x14:conditionalFormatting>
        <x14:conditionalFormatting xmlns:xm="http://schemas.microsoft.com/office/excel/2006/main">
          <x14:cfRule type="expression" priority="113" id="{1C607087-DD6E-43C6-A442-EB0208F50790}">
            <xm:f>OR(cal!$BC$1=AR23,cal!$BC$1=AT23,cal!$BC$1=AR25,cal!$BC$1=AT25)</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AQ22:AU22</xm:sqref>
        </x14:conditionalFormatting>
        <x14:conditionalFormatting xmlns:xm="http://schemas.microsoft.com/office/excel/2006/main">
          <x14:cfRule type="expression" priority="112" id="{B6AD8823-7729-48BC-A3FA-32D0064B3AA4}">
            <xm:f>OR(cal!$BC$1=AX28,cal!$BC$1=AZ28,cal!$BC$1=AX30,cal!$BC$1=AZ30)</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AW27:BA27</xm:sqref>
        </x14:conditionalFormatting>
        <x14:conditionalFormatting xmlns:xm="http://schemas.microsoft.com/office/excel/2006/main">
          <x14:cfRule type="expression" priority="111" id="{279A62AE-E230-4A1A-8805-9722F6B03B85}">
            <xm:f>OR(cal!$BC$1=AX22,cal!$BC$1=AZ22,cal!$BC$1=AX24,cal!$BC$1=AZ24)</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AW21:BA21</xm:sqref>
        </x14:conditionalFormatting>
        <x14:conditionalFormatting xmlns:xm="http://schemas.microsoft.com/office/excel/2006/main">
          <x14:cfRule type="expression" priority="110" id="{2CA7C1EE-B212-4C0A-A634-62C39AEDEF06}">
            <xm:f>OR(cal!$BC$1=BD27,cal!$BC$1=BF27,cal!$BC$1=BD29,cal!$BC$1=BF29)</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BC26:BG26</xm:sqref>
        </x14:conditionalFormatting>
        <x14:conditionalFormatting xmlns:xm="http://schemas.microsoft.com/office/excel/2006/main">
          <x14:cfRule type="expression" priority="109" id="{FE9B2B07-07BF-4D49-B41B-52FD267E9BCF}">
            <xm:f>OR(cal!$BC$1=BF21,cal!$BC$1=BH21,cal!$BC$1=BF23,cal!$BC$1=BH23)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BE20:BI20</xm:sqref>
        </x14:conditionalFormatting>
        <x14:conditionalFormatting xmlns:xm="http://schemas.microsoft.com/office/excel/2006/main">
          <x14:cfRule type="expression" priority="108" id="{DE0B262F-AF25-46BE-9D03-4607D76F3844}">
            <xm:f>OR(cal!$BC$1=BH15,cal!$BC$1=BJ15,cal!$BC$1=BH17,cal!$BC$1=BJ17)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BG14:BK14</xm:sqref>
        </x14:conditionalFormatting>
        <x14:conditionalFormatting xmlns:xm="http://schemas.microsoft.com/office/excel/2006/main">
          <x14:cfRule type="expression" priority="107" id="{9F11492C-AB53-4697-8FA4-5F7682994CD7}">
            <xm:f>OR(cal!$BC$1=BP14,cal!$BC$1=BR14,cal!$BC$1=BP16,cal!$BC$1=BR16)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BO13:BS13</xm:sqref>
        </x14:conditionalFormatting>
        <x14:conditionalFormatting xmlns:xm="http://schemas.microsoft.com/office/excel/2006/main">
          <x14:cfRule type="expression" priority="106" id="{37136685-E4B9-4B83-BEF6-21FB9311597F}">
            <xm:f>OR(cal!$BC$1=BN20,cal!$BC$1=BP20,cal!$BC$1=BN22,cal!$BC$1=BP22)</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BM19:BQ19</xm:sqref>
        </x14:conditionalFormatting>
        <x14:conditionalFormatting xmlns:xm="http://schemas.microsoft.com/office/excel/2006/main">
          <x14:cfRule type="expression" priority="105" id="{F5B0A209-A678-4813-A1AE-5DE293EF11E0}">
            <xm:f>OR(cal!$BC$1=BY8,cal!$BC$1=CA8,cal!$BC$1=BY10,cal!$BC$1=CA10)</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BX7:CB7</xm:sqref>
        </x14:conditionalFormatting>
        <x14:conditionalFormatting xmlns:xm="http://schemas.microsoft.com/office/excel/2006/main">
          <x14:cfRule type="expression" priority="104" id="{D30265B5-678D-4883-8BA2-D27D6451F6FF}">
            <xm:f>OR(cal!$BC$1=CD14,cal!$BC$1=CF14,cal!$BC$1=CD16,cal!$BC$1=CF16)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CC13:CG13</xm:sqref>
        </x14:conditionalFormatting>
        <x14:conditionalFormatting xmlns:xm="http://schemas.microsoft.com/office/excel/2006/main">
          <x14:cfRule type="expression" priority="103" id="{81E291BE-6567-4E52-ABB1-100A5A0394CB}">
            <xm:f>OR(cal!$BC$1=BV17,cal!$BC$1=BX17,cal!$BC$1=BV19,cal!$BC$1=BX19)</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BU16:BY16</xm:sqref>
        </x14:conditionalFormatting>
        <x14:conditionalFormatting xmlns:xm="http://schemas.microsoft.com/office/excel/2006/main">
          <x14:cfRule type="expression" priority="102" id="{8B2891E3-968A-4843-A05C-35F2AB929E90}">
            <xm:f>OR(cal!$BC$1=CB20,cal!$BC$1=CD20,cal!$BC$1=CB22,cal!$BC$1=CD22)</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CA19:CE19</xm:sqref>
        </x14:conditionalFormatting>
        <x14:conditionalFormatting xmlns:xm="http://schemas.microsoft.com/office/excel/2006/main">
          <x14:cfRule type="expression" priority="101" id="{A63FB27F-1D43-426D-B935-4E99D4ABC032}">
            <xm:f>OR(cal!$BC$1=BX33,cal!$BC$1=BZ33,cal!$BC$1=BX35,cal!$BC$1=BZ35)</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BW32:CA32</xm:sqref>
        </x14:conditionalFormatting>
        <x14:conditionalFormatting xmlns:xm="http://schemas.microsoft.com/office/excel/2006/main">
          <x14:cfRule type="expression" priority="100" id="{55FD3720-906C-4B68-BC59-F62BACF38631}">
            <xm:f>OR(cal!$BC$1=BP34,cal!$BC$1=BR34,cal!$BC$1=BP36,cal!$BC$1=BR36)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BO33:BS33</xm:sqref>
        </x14:conditionalFormatting>
        <x14:conditionalFormatting xmlns:xm="http://schemas.microsoft.com/office/excel/2006/main">
          <x14:cfRule type="expression" priority="99" id="{E158AF32-8427-4781-929C-186FEE8B7EDC}">
            <xm:f>OR(cal!$BC$1=BH35,cal!$BC$1=BJ35,cal!$BC$1=BH37,cal!$BC$1=BJ37)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BG34:BK34</xm:sqref>
        </x14:conditionalFormatting>
        <x14:conditionalFormatting xmlns:xm="http://schemas.microsoft.com/office/excel/2006/main">
          <x14:cfRule type="expression" priority="98" id="{09B3C3B0-9924-429B-AFB2-6815D13B3F00}">
            <xm:f>OR(cal!$BC$1=BM41,cal!$BC$1=BO41,cal!$BC$1=BM43,cal!$BC$1=BO43)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BL40:BP40</xm:sqref>
        </x14:conditionalFormatting>
        <x14:conditionalFormatting xmlns:xm="http://schemas.microsoft.com/office/excel/2006/main">
          <x14:cfRule type="expression" priority="97" id="{BCAB9080-0B70-4022-BDA5-649AF1077642}">
            <xm:f>OR(cal!$BC$1=BA35,cal!$BC$1=BC35,cal!$BC$1=BA37,cal!$BC$1=BC37)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AZ34:BD34</xm:sqref>
        </x14:conditionalFormatting>
        <x14:conditionalFormatting xmlns:xm="http://schemas.microsoft.com/office/excel/2006/main">
          <x14:cfRule type="expression" priority="96" id="{A592A1CA-5E64-4BA0-AC96-798CD654C682}">
            <xm:f>OR(cal!$BC$1=BF45,cal!$BC$1=BH45,cal!$BC$1=BF47,cal!$BC$1=BH47)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BE44:BI44</xm:sqref>
        </x14:conditionalFormatting>
        <x14:conditionalFormatting xmlns:xm="http://schemas.microsoft.com/office/excel/2006/main">
          <x14:cfRule type="expression" priority="95" id="{998AAA2B-90C8-42AB-8AAD-24AF64CE39C8}">
            <xm:f>OR(cal!$BC$1=AY41,cal!$BC$1=BA41,cal!$BC$1=AY43,cal!$BC$1=BA43)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AX40:BB40</xm:sqref>
        </x14:conditionalFormatting>
        <x14:conditionalFormatting xmlns:xm="http://schemas.microsoft.com/office/excel/2006/main">
          <x14:cfRule type="expression" priority="94" id="{0CCF4641-DA65-4A64-A33B-6DEC5127EB01}">
            <xm:f>OR(cal!$BC$1=AR37,cal!$BC$1=AT37,cal!$BC$1=AR39,cal!$BC$1=AT39)</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AQ36:AU36</xm:sqref>
        </x14:conditionalFormatting>
        <x14:conditionalFormatting xmlns:xm="http://schemas.microsoft.com/office/excel/2006/main">
          <x14:cfRule type="expression" priority="93" id="{4D5213E8-FAF2-438C-87A2-162D43EEFC1C}">
            <xm:f>OR(cal!$BC$1=AS44,cal!$BC$1=AU44,cal!$BC$1=AS46,cal!$BC$1=AU46)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AR43:AV43</xm:sqref>
        </x14:conditionalFormatting>
        <x14:conditionalFormatting xmlns:xm="http://schemas.microsoft.com/office/excel/2006/main">
          <x14:cfRule type="expression" priority="92" id="{E629AFE0-DBD7-458D-A508-562C29B40631}">
            <xm:f>OR(cal!$BC$1=AI45,cal!$BC$1=AK45,cal!$BC$1=AI47,cal!$BC$1=AK47)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AH44:AL44</xm:sqref>
        </x14:conditionalFormatting>
        <x14:conditionalFormatting xmlns:xm="http://schemas.microsoft.com/office/excel/2006/main">
          <x14:cfRule type="expression" priority="90" id="{76985AF7-6824-45A9-9A5B-87C7C7212D2A}">
            <xm:f>OR(cal!$BC$1=Z36,cal!$BC$1=AB36,cal!$BC$1=Z38,cal!$BC$1=AB38)</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Y35:AC35</xm:sqref>
        </x14:conditionalFormatting>
        <x14:conditionalFormatting xmlns:xm="http://schemas.microsoft.com/office/excel/2006/main">
          <x14:cfRule type="expression" priority="89" id="{7B87B03C-C3C2-446E-BA64-F9EA0D6148F6}">
            <xm:f>OR(cal!$BC$1=U42,cal!$BC$1=W42,cal!$BC$1=U44,cal!$BC$1=W44)</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T41:X41</xm:sqref>
        </x14:conditionalFormatting>
        <x14:conditionalFormatting xmlns:xm="http://schemas.microsoft.com/office/excel/2006/main">
          <x14:cfRule type="expression" priority="88" id="{CF5A2E55-43FA-47C4-B626-D726D4B086CC}">
            <xm:f>OR(cal!$BC$1=K38,cal!$BC$1=M38,cal!$BC$1=K40,cal!$BC$1=M40)</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J37:N37</xm:sqref>
        </x14:conditionalFormatting>
        <x14:conditionalFormatting xmlns:xm="http://schemas.microsoft.com/office/excel/2006/main">
          <x14:cfRule type="expression" priority="87" id="{2941C8A6-EBE2-4400-99D5-0875FE131EC7}">
            <xm:f>OR(cal!$BC$1=I31,cal!$BC$1=K31,cal!$BC$1=I33,cal!$BC$1=K33)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H30:L30</xm:sqref>
        </x14:conditionalFormatting>
        <x14:conditionalFormatting xmlns:xm="http://schemas.microsoft.com/office/excel/2006/main">
          <x14:cfRule type="expression" priority="86" id="{361D600D-6672-42C3-8141-6CA2F59BC1AB}">
            <xm:f>OR(cal!$BC$1=AJ29,cal!$BC$1=AL29,cal!$BC$1=AJ31,cal!$BC$1=AL31)</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AI28:AM28</xm:sqref>
        </x14:conditionalFormatting>
        <x14:conditionalFormatting xmlns:xm="http://schemas.microsoft.com/office/excel/2006/main">
          <x14:cfRule type="expression" priority="85" id="{80E8D53C-946D-4239-9BCB-B4D3ECE76A35}">
            <xm:f>OR(cal!$BC$1=AL21,cal!$BC$1=AN21,cal!$BC$1=AL23,cal!$BC$1=AN23)</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AK20:AO20</xm:sqref>
        </x14:conditionalFormatting>
        <x14:conditionalFormatting xmlns:xm="http://schemas.microsoft.com/office/excel/2006/main">
          <x14:cfRule type="expression" priority="84" id="{18C5BB24-4078-4C9C-A439-67B7A3258DB3}">
            <xm:f>OR(cal!$BC$1=AN14,cal!$BC$1=AP14,cal!$BC$1=AN16,cal!$BC$1=AP16)</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AM13:AQ13</xm:sqref>
        </x14:conditionalFormatting>
        <x14:conditionalFormatting xmlns:xm="http://schemas.microsoft.com/office/excel/2006/main">
          <x14:cfRule type="expression" priority="83" id="{6AED5F96-7952-4BB9-BB90-9707B230B0D9}">
            <xm:f>OR(cal!$BC$1=AF18,cal!$BC$1=AH18,cal!$BC$1=AF20,cal!$BC$1=AH20)</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AE17:AI17</xm:sqref>
        </x14:conditionalFormatting>
        <x14:conditionalFormatting xmlns:xm="http://schemas.microsoft.com/office/excel/2006/main">
          <x14:cfRule type="expression" priority="82" id="{08F67B2B-194D-4ED0-9BA6-4DD80405ECEB}">
            <xm:f>OR(cal!$BC$1=N15,cal!$BC$1=P15,cal!$BC$1=N17,cal!$BC$1=P17)</xm:f>
            <x14:dxf>
              <font>
                <color rgb="FFFFFF00"/>
              </font>
              <fill>
                <patternFill>
                  <bgColor theme="1"/>
                </patternFill>
              </fill>
              <border>
                <left style="thin">
                  <color theme="1" tint="4.9989318521683403E-2"/>
                </left>
                <right style="thin">
                  <color theme="0"/>
                </right>
                <top style="thin">
                  <color theme="1" tint="4.9989318521683403E-2"/>
                </top>
                <bottom style="thin">
                  <color theme="0"/>
                </bottom>
                <vertical/>
                <horizontal/>
              </border>
            </x14:dxf>
          </x14:cfRule>
          <xm:sqref>M14:Q14</xm:sqref>
        </x14:conditionalFormatting>
        <x14:conditionalFormatting xmlns:xm="http://schemas.microsoft.com/office/excel/2006/main">
          <x14:cfRule type="expression" priority="81" id="{31677299-D64F-4F5F-B4FC-ECF44FB8548E}">
            <xm:f>OR(cal!$BC$1=$CS$19,cal!$BB$1=$CS$19)</xm:f>
            <x14: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CX22:DB23</xm:sqref>
        </x14:conditionalFormatting>
        <x14:conditionalFormatting xmlns:xm="http://schemas.microsoft.com/office/excel/2006/main">
          <x14:cfRule type="expression" priority="80" id="{D0EF3933-C403-4E72-9FC5-FB6507DA8A29}">
            <xm:f>OR(cal!$BC$1=$DN$19,cal!$BB$1=$DN$19)</xm:f>
            <x14: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DS22:DW23</xm:sqref>
        </x14:conditionalFormatting>
        <x14:conditionalFormatting xmlns:xm="http://schemas.microsoft.com/office/excel/2006/main">
          <x14:cfRule type="expression" priority="79" id="{1A5C43EC-A56F-42D8-96DC-CD098825CC2C}">
            <xm:f>OR(cal!$BC$1=$CS$35,cal!$BB$1=$CS$35)</xm:f>
            <x14: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CX38:DB39</xm:sqref>
        </x14:conditionalFormatting>
        <x14:conditionalFormatting xmlns:xm="http://schemas.microsoft.com/office/excel/2006/main">
          <x14:cfRule type="expression" priority="78" id="{4ABADFF9-2D1D-4F1D-BC45-F24059FF690A}">
            <xm:f>OR(cal!$BC$1=$DN$35,cal!$BB$1=$DN$35)</xm:f>
            <x14: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DS38:DW39</xm:sqref>
        </x14:conditionalFormatting>
        <x14:conditionalFormatting xmlns:xm="http://schemas.microsoft.com/office/excel/2006/main">
          <x14:cfRule type="expression" priority="77" id="{C0EFFC8C-DD56-CD4D-8203-74587A61D086}">
            <xm:f>cal!$BB$1=$CS$19</xm:f>
            <x14: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CX19:DB21</xm:sqref>
        </x14:conditionalFormatting>
        <x14:conditionalFormatting xmlns:xm="http://schemas.microsoft.com/office/excel/2006/main">
          <x14:cfRule type="expression" priority="76" id="{D3284F0E-487A-E54F-8495-2298415EB2E5}">
            <xm:f>cal!$BB$1=$DN$19</xm:f>
            <x14: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DS19:DW21</xm:sqref>
        </x14:conditionalFormatting>
        <x14:conditionalFormatting xmlns:xm="http://schemas.microsoft.com/office/excel/2006/main">
          <x14:cfRule type="expression" priority="74" id="{D0D87445-39B7-7E4C-8F47-A3CDA2DD7137}">
            <xm:f>cal!$BB$1=$CS$35</xm:f>
            <x14: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CX35:DB37</xm:sqref>
        </x14:conditionalFormatting>
        <x14:conditionalFormatting xmlns:xm="http://schemas.microsoft.com/office/excel/2006/main">
          <x14:cfRule type="expression" priority="73" id="{51333277-6919-AB4D-8C92-310F49DED82D}">
            <xm:f>cal!$BB$1=$DN$35</xm:f>
            <x14:dxf>
              <font>
                <color rgb="FFFFFF00"/>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DS35:DW37</xm:sqref>
        </x14:conditionalFormatting>
        <x14:conditionalFormatting xmlns:xm="http://schemas.microsoft.com/office/excel/2006/main">
          <x14:cfRule type="expression" priority="72" id="{215207DC-2E6D-214E-BEFC-701DB6D041E1}">
            <xm:f>OR(AND(BA18="",OR(NOT(AZ16=""),NOT(BB16=""),NOT(AZ18=""),NOT(BB18=""))),cal!$BO$10="o")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AY19:BC19</xm:sqref>
        </x14:conditionalFormatting>
        <x14:conditionalFormatting xmlns:xm="http://schemas.microsoft.com/office/excel/2006/main">
          <x14:cfRule type="expression" priority="70" id="{2FE80510-0488-0142-A5ED-BE5D025A0159}">
            <xm:f>OR(AND(AY30="",OR(NOT(AX28=""),NOT(AZ28=""),NOT(AX30=""),NOT(AZ30=""))),cal!$BO$14="o")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AW31:BA31</xm:sqref>
        </x14:conditionalFormatting>
        <x14:conditionalFormatting xmlns:xm="http://schemas.microsoft.com/office/excel/2006/main">
          <x14:cfRule type="expression" priority="69" id="{A777CB58-5D73-2D40-BE61-E8ED686E5A4C}">
            <xm:f>OR(AND(BG47="",OR(NOT(BF45=""),NOT(BH45=""),NOT(BF47=""),NOT(BH47=""))),cal!$BO$28="o")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BE48:BI48</xm:sqref>
        </x14:conditionalFormatting>
        <x14:conditionalFormatting xmlns:xm="http://schemas.microsoft.com/office/excel/2006/main">
          <x14:cfRule type="expression" priority="68" id="{AAAB93B5-6F7C-4344-9B86-29596111DC1C}">
            <xm:f>OR(AND(AJ47="",OR(NOT(AI45=""),NOT(AK45=""),NOT(AI47=""),NOT(AK47=""))),cal!$BO$33="o")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AH48:AL48</xm:sqref>
        </x14:conditionalFormatting>
        <x14:conditionalFormatting xmlns:xm="http://schemas.microsoft.com/office/excel/2006/main">
          <x14:cfRule type="expression" priority="67" id="{B1BB6776-A024-7141-A3F7-42166F9E73CC}">
            <xm:f>OR(AND(BA6="",OR(NOT(AZ4=""),NOT(BB4=""),NOT(AZ6=""),NOT(BB6=""))),cal!$BO$7="o")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AY7:BC7</xm:sqref>
        </x14:conditionalFormatting>
        <x14:conditionalFormatting xmlns:xm="http://schemas.microsoft.com/office/excel/2006/main">
          <x14:cfRule type="expression" priority="66" id="{18B7656D-9EE0-C940-B6E2-861A6D83E825}">
            <xm:f>OR(AND(AY24="",OR(NOT(AX22=""),NOT(AZ22=""),NOT(AX24=""),NOT(AZ24=""))),cal!$BO$13="o")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AW25:BA25</xm:sqref>
        </x14:conditionalFormatting>
        <x14:conditionalFormatting xmlns:xm="http://schemas.microsoft.com/office/excel/2006/main">
          <x14:cfRule type="expression" priority="65" id="{0EE8439A-7387-0245-8AB5-6D8EBA1047DB}">
            <xm:f>OR(AND(AT46="",OR(NOT(AS44=""),NOT(AU44=""),NOT(AS46=""),NOT(AU46=""))),cal!$BO$29="o")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AR47:AV47</xm:sqref>
        </x14:conditionalFormatting>
        <x14:conditionalFormatting xmlns:xm="http://schemas.microsoft.com/office/excel/2006/main">
          <x14:cfRule type="expression" priority="64" id="{BB7311C0-69BA-654C-9165-6048763DBA78}">
            <xm:f>OR(AND(BN43="",OR(NOT(BM41=""),NOT(BO41=""),NOT(BM43=""),NOT(BO43=""))),cal!$BO$27="o")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BL44:BP44</xm:sqref>
        </x14:conditionalFormatting>
        <x14:conditionalFormatting xmlns:xm="http://schemas.microsoft.com/office/excel/2006/main">
          <x14:cfRule type="expression" priority="62" id="{49AD4CB6-0B8F-024B-B92A-65B6155392D1}">
            <xm:f>OR(AND(AO16="",OR(NOT(AN14=""),NOT(AP14=""),NOT(AN16=""),NOT(AP16=""))),cal!$BO$40="o")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AM17:AQ17</xm:sqref>
        </x14:conditionalFormatting>
        <x14:conditionalFormatting xmlns:xm="http://schemas.microsoft.com/office/excel/2006/main">
          <x14:cfRule type="expression" priority="61" id="{E723D29E-9034-D541-91FE-4C9CEC0E7AAF}">
            <xm:f>OR(cal!$BO$5="o",AND(AO6="",OR(NOT(AN4=""),NOT(AP4=""),NOT(AN6=""),NOT(AP6=""))))</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AM7:AQ7</xm:sqref>
        </x14:conditionalFormatting>
        <x14:conditionalFormatting xmlns:xm="http://schemas.microsoft.com/office/excel/2006/main">
          <x14:cfRule type="expression" priority="60" id="{24A43306-C402-B14F-B031-26593DD702EE}">
            <xm:f>OR(AND(AS39="",OR(NOT(AR37=""),NOT(AT37=""),NOT(AR39=""),NOT(AT39=""))),cal!$BO$30="o")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AQ40:AU40</xm:sqref>
        </x14:conditionalFormatting>
        <x14:conditionalFormatting xmlns:xm="http://schemas.microsoft.com/office/excel/2006/main">
          <x14:cfRule type="expression" priority="59" id="{D1365ADF-DB81-BC42-AD72-F95C85C62589}">
            <xm:f>OR(AND(CC22="",OR(NOT(CB20=""),NOT(CD20=""),NOT(CB22=""),NOT(CD22=""))),cal!$BO$23="o")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CA23:CE23</xm:sqref>
        </x14:conditionalFormatting>
        <x14:conditionalFormatting xmlns:xm="http://schemas.microsoft.com/office/excel/2006/main">
          <x14:cfRule type="expression" priority="58" id="{56DCECE4-4B15-0748-B68C-CAF8919D83DB}">
            <xm:f>OR(AND(V44="",OR(NOT(U42=""),NOT(W42=""),NOT(U44=""),NOT(W44=""))),cal!$BO$34="o")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T45:X45</xm:sqref>
        </x14:conditionalFormatting>
        <x14:conditionalFormatting xmlns:xm="http://schemas.microsoft.com/office/excel/2006/main">
          <x14:cfRule type="expression" priority="57" id="{619A2BCD-2028-7C4C-A77D-DB8FDA022156}">
            <xm:f>OR(AND(BI17="",OR(NOT(BH15=""),NOT(BJ15=""),NOT(BH17=""),NOT(BJ17=""))),cal!$BO$17="o")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BG18:BK18</xm:sqref>
        </x14:conditionalFormatting>
        <x14:conditionalFormatting xmlns:xm="http://schemas.microsoft.com/office/excel/2006/main">
          <x14:cfRule type="expression" priority="56" id="{D12D8B5A-F14B-204C-BE50-0498AA2D92AE}">
            <xm:f>OR(AND(BQ16="",OR(NOT(BP14=""),NOT(BR14=""),NOT(BP16=""),NOT(BR16=""))),cal!$BO$19="o")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BO17:BS17</xm:sqref>
        </x14:conditionalFormatting>
        <x14:conditionalFormatting xmlns:xm="http://schemas.microsoft.com/office/excel/2006/main">
          <x14:cfRule type="expression" priority="55" id="{A2C23F5A-5402-8544-BA71-FA255A357B18}">
            <xm:f>OR(AND(BW19="",OR(NOT(BV17=""),NOT(BX17=""),NOT(BV19=""),NOT(BX19=""))),cal!$BO$22="o")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BU20:BY20</xm:sqref>
        </x14:conditionalFormatting>
        <x14:conditionalFormatting xmlns:xm="http://schemas.microsoft.com/office/excel/2006/main">
          <x14:cfRule type="expression" priority="31" id="{1055DF27-2699-458B-AD24-27880001DCF0}">
            <xm:f>OR(cal!$BO$4="o",AND(AG10="",OR(NOT(AF8=""),NOT(AH8=""),NOT(AF10=""),NOT(AH10=""))))</xm:f>
            <x14:dxf>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AE11:AI11</xm:sqref>
        </x14:conditionalFormatting>
        <x14:conditionalFormatting xmlns:xm="http://schemas.microsoft.com/office/excel/2006/main">
          <x14:cfRule type="expression" priority="53" id="{E4096C07-7832-1549-9328-34E4EE6A5171}">
            <xm:f>OR(AND(BY35="",OR(NOT(BX33=""),NOT(BZ33=""),NOT(BX35=""),NOT(BZ35=""))),cal!$BO$24="o")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BW36:CA36</xm:sqref>
        </x14:conditionalFormatting>
        <x14:conditionalFormatting xmlns:xm="http://schemas.microsoft.com/office/excel/2006/main">
          <x14:cfRule type="expression" priority="52" id="{EBF89721-621B-9E42-A477-204CF088F405}">
            <xm:f>OR(AND(AS25="",OR(NOT(AR23=""),NOT(AT23=""),NOT(AR25=""),NOT(AT25=""))),cal!$BO$12="o")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AQ26:AU26</xm:sqref>
        </x14:conditionalFormatting>
        <x14:conditionalFormatting xmlns:xm="http://schemas.microsoft.com/office/excel/2006/main">
          <x14:cfRule type="expression" priority="51" id="{ACC3D0D1-7119-9847-B048-37B746DF9F12}">
            <xm:f>OR(AND(L40="",OR(NOT(K38=""),NOT(M38=""),NOT(K40=""),NOT(M40=""))),cal!$BO$36="o")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J41:N41</xm:sqref>
        </x14:conditionalFormatting>
        <x14:conditionalFormatting xmlns:xm="http://schemas.microsoft.com/office/excel/2006/main">
          <x14:cfRule type="expression" priority="50" id="{C6762DFB-9121-2749-8E51-49C2A2FC4B22}">
            <xm:f>OR(AND(U19="",OR(NOT(T17=""),NOT(V17=""),NOT(T19=""),NOT(V19=""))),cal!$BO$2="o")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S20:W20</xm:sqref>
        </x14:conditionalFormatting>
        <x14:conditionalFormatting xmlns:xm="http://schemas.microsoft.com/office/excel/2006/main">
          <x14:cfRule type="expression" priority="49" id="{F785B64D-C045-D846-B966-FD7978A3D101}">
            <xm:f>OR(AND(AA13="",OR(NOT(Z11=""),NOT(AB11=""),NOT(Z13=""),NOT(AB13=""))),cal!$BO$3="o")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Y14:AC14</xm:sqref>
        </x14:conditionalFormatting>
        <x14:conditionalFormatting xmlns:xm="http://schemas.microsoft.com/office/excel/2006/main">
          <x14:cfRule type="expression" priority="48" id="{7F5C0DB4-E3EA-6241-8840-885349E9BBF8}">
            <xm:f>OR(AND(AU6="",OR(NOT(AT4=""),NOT(AV4=""),NOT(AT6=""),NOT(AV6=""))),cal!$BO$6="o")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AS7:AW7</xm:sqref>
        </x14:conditionalFormatting>
        <x14:conditionalFormatting xmlns:xm="http://schemas.microsoft.com/office/excel/2006/main">
          <x14:cfRule type="expression" priority="47" id="{05734D25-E7DF-4E42-896C-85671D8E3070}">
            <xm:f>OR(AND(BI8="",OR(NOT(BH6=""),NOT(BJ6=""),NOT(BH8=""),NOT(BJ8=""))),cal!$BO$8="o")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BG9:BK9</xm:sqref>
        </x14:conditionalFormatting>
        <x14:conditionalFormatting xmlns:xm="http://schemas.microsoft.com/office/excel/2006/main">
          <x14:cfRule type="expression" priority="46" id="{5CA5F901-2D39-5644-842E-9C2736B0000E}">
            <xm:f>OR(AND(BC12="",OR(NOT(BB10=""),NOT(BD10=""),NOT(BB12=""),NOT(BD12=""))),cal!$BO$9="o")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BA13:BE13</xm:sqref>
        </x14:conditionalFormatting>
        <x14:conditionalFormatting xmlns:xm="http://schemas.microsoft.com/office/excel/2006/main">
          <x14:cfRule type="expression" priority="45" id="{31E7D97F-7C66-6C45-AF82-1A7C588FC1DF}">
            <xm:f>OR(AND(AU18="",OR(NOT(AT16=""),NOT(AV16=""),NOT(AT18=""),NOT(AV18=""))),cal!$BO$11="o")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AS19:AW19</xm:sqref>
        </x14:conditionalFormatting>
        <x14:conditionalFormatting xmlns:xm="http://schemas.microsoft.com/office/excel/2006/main">
          <x14:cfRule type="expression" priority="44" id="{D5EBE77B-6006-4249-96DE-F3CEB72A2295}">
            <xm:f>OR(AND(BG23="",OR(NOT(BF21=""),NOT(BH21=""),NOT(BF23=""),NOT(BH23=""))),cal!$BO$16="o")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BE24:BI24</xm:sqref>
        </x14:conditionalFormatting>
        <x14:conditionalFormatting xmlns:xm="http://schemas.microsoft.com/office/excel/2006/main">
          <x14:cfRule type="expression" priority="43" id="{2EBEFE69-BA70-DD46-8577-E6F2BF2E2C01}">
            <xm:f>OR(AND(BZ10="",OR(NOT(BY8=""),NOT(CA8=""),NOT(BY10=""),NOT(CA10=""))),cal!$BO$20="o")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BX11:CB11</xm:sqref>
        </x14:conditionalFormatting>
        <x14:conditionalFormatting xmlns:xm="http://schemas.microsoft.com/office/excel/2006/main">
          <x14:cfRule type="expression" priority="42" id="{84D596D9-E8DC-744E-A45C-BD87F536C188}">
            <xm:f>OR(AND(CE16="",OR(NOT(CD14=""),NOT(CF14=""),NOT(CD16=""),NOT(CF16=""))),cal!$BO$21="o")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CC17:CG17</xm:sqref>
        </x14:conditionalFormatting>
        <x14:conditionalFormatting xmlns:xm="http://schemas.microsoft.com/office/excel/2006/main">
          <x14:cfRule type="expression" priority="41" id="{CAF3CDE8-171B-C842-B275-72FC38EA7B03}">
            <xm:f>OR(AND(BQ36="",OR(NOT(BP34=""),NOT(BR34=""),NOT(BP36=""),NOT(BR36=""))),cal!$BO$25="o")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BO37:BS37</xm:sqref>
        </x14:conditionalFormatting>
        <x14:conditionalFormatting xmlns:xm="http://schemas.microsoft.com/office/excel/2006/main">
          <x14:cfRule type="expression" priority="39" id="{3EDE5A02-2124-444A-B4DC-2F75AF7CE7FE}">
            <xm:f>OR(AND(AZ43="",OR(NOT(AY41=""),NOT(BA41=""),NOT(AY43=""),NOT(BA43=""))),cal!$BO$31="o")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AX44:BB44</xm:sqref>
        </x14:conditionalFormatting>
        <x14:conditionalFormatting xmlns:xm="http://schemas.microsoft.com/office/excel/2006/main">
          <x14:cfRule type="expression" priority="38" id="{1FCF5BFF-0B84-374A-B1F7-D98805B83720}">
            <xm:f>OR(AND(AK31="",OR(NOT(AJ29=""),NOT(AL29=""),NOT(AJ31=""),NOT(AL31=""))),cal!$BO$38="o")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AI32:AM32</xm:sqref>
        </x14:conditionalFormatting>
        <x14:conditionalFormatting xmlns:xm="http://schemas.microsoft.com/office/excel/2006/main">
          <x14:cfRule type="expression" priority="37" id="{BF1FE1F8-4CE9-F444-8FDE-E8478591358D}">
            <xm:f>OR(AND(AG20="",OR(NOT(AF18=""),NOT(AH18=""),NOT(AF20=""),NOT(AH20=""))),cal!$BO$41="o")</xm:f>
            <x14:dxf>
              <font>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AE21:AI21</xm:sqref>
        </x14:conditionalFormatting>
        <x14:conditionalFormatting xmlns:xm="http://schemas.microsoft.com/office/excel/2006/main">
          <x14:cfRule type="expression" priority="32" id="{1C1E850F-1733-42EA-8B84-F21B6CE64AF9}">
            <xm:f>OR(AND(BI37="",OR(NOT(BH35=""),NOT(BJ35=""),NOT(BH37=""),NOT(BJ37=""))),cal!$BO$26="o")</xm:f>
            <x14:dxf>
              <font>
                <color auto="1"/>
              </font>
              <fill>
                <patternFill>
                  <bgColor rgb="FFFFFF00"/>
                </patternFill>
              </fill>
              <border>
                <left style="thin">
                  <color theme="0" tint="-4.9989318521683403E-2"/>
                </left>
                <right style="thin">
                  <color theme="1" tint="0.24994659260841701"/>
                </right>
                <top style="thin">
                  <color theme="0" tint="-4.9989318521683403E-2"/>
                </top>
                <bottom style="thin">
                  <color theme="1" tint="0.24994659260841701"/>
                </bottom>
                <vertical/>
                <horizontal/>
              </border>
            </x14:dxf>
          </x14:cfRule>
          <xm:sqref>BG38:BK38</xm:sqref>
        </x14:conditionalFormatting>
        <x14:conditionalFormatting xmlns:xm="http://schemas.microsoft.com/office/excel/2006/main">
          <x14:cfRule type="expression" priority="26" id="{FA288B56-DEEF-4BCD-B18B-975AFC66F009}">
            <xm:f>AND(NOT(E3=""),E3=cal!$BB$1)</xm:f>
            <x14:dxf>
              <font>
                <b val="0"/>
                <i val="0"/>
                <color rgb="FF800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30" id="{3B9E9EE8-2B50-498D-A0BC-4F2D2997AF00}">
            <xm:f>AND(NOT(E3=""),E3=cal!$BC$1)</xm:f>
            <x14:dxf>
              <font>
                <color rgb="FFC00000"/>
              </font>
              <fill>
                <patternFill>
                  <bgColor theme="1"/>
                </patternFill>
              </fill>
            </x14:dxf>
          </x14:cfRule>
          <xm:sqref>E3</xm:sqref>
        </x14:conditionalFormatting>
        <x14:conditionalFormatting xmlns:xm="http://schemas.microsoft.com/office/excel/2006/main">
          <x14:cfRule type="expression" priority="25" id="{F06F9BA7-8CD5-44AA-B8FB-A56375CC1B37}">
            <xm:f>AND(NOT(G3=""),G3=cal!$BB$1)</xm:f>
            <x14:dxf>
              <font>
                <b val="0"/>
                <i val="0"/>
                <color rgb="FF0080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9" id="{8C98FB5A-7A83-4753-AFEB-70A3F8E5738F}">
            <xm:f>AND(NOT(G3=""),G3=cal!$BC$1)</xm:f>
            <x14:dxf>
              <font>
                <color rgb="FF00B050"/>
              </font>
              <fill>
                <patternFill>
                  <bgColor theme="1"/>
                </patternFill>
              </fill>
            </x14:dxf>
          </x14:cfRule>
          <xm:sqref>G3</xm:sqref>
        </x14:conditionalFormatting>
        <x14:conditionalFormatting xmlns:xm="http://schemas.microsoft.com/office/excel/2006/main">
          <x14:cfRule type="expression" priority="24" id="{EBF7F2C4-36D4-4902-B1B2-01F6BDAF4A9A}">
            <xm:f>AND(NOT(E5=""),E5=cal!$BB$1)</xm:f>
            <x14:dxf>
              <font>
                <b val="0"/>
                <i val="0"/>
                <color rgb="FFFF6600"/>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8" id="{1E9CB4EB-1D90-497D-A0C1-90CCCD602F3B}">
            <xm:f>AND(NOT(E5=""),E5=cal!$BC$1)</xm:f>
            <x14:dxf>
              <font>
                <color rgb="FFFFC000"/>
              </font>
              <fill>
                <patternFill>
                  <bgColor theme="1"/>
                </patternFill>
              </fill>
            </x14:dxf>
          </x14:cfRule>
          <xm:sqref>E5</xm:sqref>
        </x14:conditionalFormatting>
        <x14:conditionalFormatting xmlns:xm="http://schemas.microsoft.com/office/excel/2006/main">
          <x14:cfRule type="expression" priority="23" id="{F9860249-2965-4D05-A39F-4A6310CE9E3B}">
            <xm:f>AND(NOT(G5=""),G5=cal!$BB$1)</xm:f>
            <x14:dxf>
              <font>
                <b val="0"/>
                <i val="0"/>
                <color rgb="FF3366FF"/>
              </font>
              <fill>
                <patternFill patternType="solid">
                  <fgColor indexed="64"/>
                  <bgColor theme="0" tint="-0.14999847407452621"/>
                </patternFill>
              </fill>
              <border>
                <left style="thin">
                  <color theme="0" tint="-4.9989318521683403E-2"/>
                </left>
                <right style="thin">
                  <color theme="1" tint="0.34998626667073579"/>
                </right>
                <top style="thin">
                  <color theme="0" tint="-4.9989318521683403E-2"/>
                </top>
                <bottom style="thin">
                  <color theme="1" tint="0.34998626667073579"/>
                </bottom>
              </border>
            </x14:dxf>
          </x14:cfRule>
          <x14:cfRule type="expression" priority="27" id="{50B3FC7C-E2F0-47C4-9039-FF5A0C067619}">
            <xm:f>AND(NOT(G5=""),G5=cal!$BC$1)</xm:f>
            <x14:dxf>
              <font>
                <color rgb="FF0070C0"/>
              </font>
              <fill>
                <patternFill>
                  <bgColor theme="1"/>
                </patternFill>
              </fill>
            </x14:dxf>
          </x14:cfRule>
          <xm:sqref>G5</xm:sqref>
        </x14:conditionalFormatting>
        <x14:conditionalFormatting xmlns:xm="http://schemas.microsoft.com/office/excel/2006/main">
          <x14:cfRule type="expression" priority="4598" id="{C2A2F5FE-5D1A-4E47-B622-A82A85C145E0}">
            <xm:f>VLOOKUP(L6,cal!$BC$9:$BD$12,2,FALSE)=$DN$35</xm:f>
            <x14:dxf>
              <font>
                <b/>
                <i val="0"/>
                <color auto="1"/>
              </font>
              <fill>
                <patternFill>
                  <bgColor rgb="FF0070C0"/>
                </patternFill>
              </fill>
            </x14:dxf>
          </x14:cfRule>
          <x14:cfRule type="expression" priority="4599" id="{4D08DB46-F741-424A-8F31-7F316C3DD219}">
            <xm:f>VLOOKUP(L6,cal!$BC$9:$BD$12,2,FALSE)=$CS$35</xm:f>
            <x14:dxf>
              <font>
                <b/>
                <i val="0"/>
                <color auto="1"/>
              </font>
              <fill>
                <patternFill>
                  <bgColor theme="9" tint="-0.24994659260841701"/>
                </patternFill>
              </fill>
            </x14:dxf>
          </x14:cfRule>
          <x14:cfRule type="expression" priority="4600" id="{611ECABB-0DFF-45DE-9671-2164728C911F}">
            <xm:f>VLOOKUP(L6,cal!$BC$9:$BD$12,2,FALSE)=$DN$19</xm:f>
            <x14:dxf>
              <font>
                <b/>
                <i val="0"/>
                <color auto="1"/>
              </font>
              <fill>
                <patternFill>
                  <bgColor rgb="FF00B050"/>
                </patternFill>
              </fill>
            </x14:dxf>
          </x14:cfRule>
          <x14:cfRule type="expression" priority="4601" id="{01F033D4-C630-483C-9113-9D7B6ECC8143}">
            <xm:f>VLOOKUP(L6,cal!$BC$9:$BD$12,2,FALSE)=$CS$19</xm:f>
            <x14:dxf>
              <font>
                <b/>
                <i val="0"/>
                <color auto="1"/>
              </font>
              <fill>
                <patternFill>
                  <bgColor rgb="FFC00000"/>
                </patternFill>
              </fill>
            </x14:dxf>
          </x14:cfRule>
          <xm:sqref>T18:V18 Z12:AB12 AF9:AH9 AN5:AP5 AT5:AV5 AZ5:BB5 BH7:BJ7 BB11:BD11 AZ17:BB17 AT17:AV17 AR24:AT24 AX23:AZ23 AX29:AZ29 BF22:BH22 BH16:BJ16 BP15:BR15 BY9:CA9 CD15:CF15 BV18:BX18 CB21:CD21 BX34:BZ34 BP35:BR35 BH36:BJ36 BM42:BO42 BF46:BH46 AS45:AU45 AY42:BA42 AR38:AT38 AI46:AK46 U43:W43 K39:M39 AJ30:AL30 AN15:AP15 AF19:AH19</xm:sqref>
        </x14:conditionalFormatting>
        <x14:conditionalFormatting xmlns:xm="http://schemas.microsoft.com/office/excel/2006/main">
          <x14:cfRule type="expression" priority="4734" id="{609C86A2-9718-41CD-B9A5-9A34A09BD3A5}">
            <xm:f>AND(VLOOKUP(K5,cal!$BE:$BF,2,FALSE)&gt;0,VLOOKUP(L6,cal!$BC$9:$BD$12,2,FALSE)=$DN$35)</xm:f>
            <x14:dxf>
              <fill>
                <patternFill>
                  <bgColor rgb="FF0070C0"/>
                </patternFill>
              </fill>
            </x14:dxf>
          </x14:cfRule>
          <x14:cfRule type="expression" priority="4735" id="{5EA07120-F7B1-48D8-B715-19553B951DC2}">
            <xm:f>AND(VLOOKUP(K5,cal!$BE:$BF,2,FALSE)&gt;0,VLOOKUP(L6,cal!$BC$9:$BD$12,2,FALSE)=$CS$35)</xm:f>
            <x14:dxf>
              <fill>
                <patternFill>
                  <bgColor theme="9" tint="-0.24994659260841701"/>
                </patternFill>
              </fill>
            </x14:dxf>
          </x14:cfRule>
          <x14:cfRule type="expression" priority="4736" id="{7EDFDC90-DC27-4564-BB57-1B5CB74AFCC4}">
            <xm:f>AND(VLOOKUP(K5,cal!$BE:$BF,2,FALSE)&gt;0,VLOOKUP(L6,cal!$BC$9:$BD$12,2,FALSE)=$DN$19)</xm:f>
            <x14:dxf>
              <fill>
                <patternFill>
                  <bgColor rgb="FF00B050"/>
                </patternFill>
              </fill>
            </x14:dxf>
          </x14:cfRule>
          <x14:cfRule type="expression" priority="4737" id="{06885EF7-A7FA-4F8D-8E38-DF3D5450BE17}">
            <xm:f>AND(VLOOKUP(K5,cal!$BE:$BF,2,FALSE)&gt;0,VLOOKUP(L6,cal!$BC$9:$BD$12,2,FALSE)=$CS$19)</xm:f>
            <x14:dxf>
              <fill>
                <patternFill>
                  <bgColor rgb="FFC00000"/>
                </patternFill>
              </fill>
            </x14:dxf>
          </x14:cfRule>
          <xm:sqref>U17 AA11 AG8 AO4 AU4 BA4 BI6 BC10 BA16 AU16 AS23 AY22 AY28 BG21 BI15 BQ14 BZ8 CE14 BW17 CC20 BY33 BQ34 BI35 BN41 BG45 AT44 AZ41 AS37 AJ45 V42 L38 AK29 AO14 AG18</xm:sqref>
        </x14:conditionalFormatting>
        <x14:conditionalFormatting xmlns:xm="http://schemas.microsoft.com/office/excel/2006/main">
          <x14:cfRule type="expression" priority="5006" id="{F16F2414-0492-45C2-9871-4269FB067321}">
            <xm:f>AND(K4="",VLOOKUP(K5,cal!$BE:$BF,2,FALSE)&gt;2,VLOOKUP(L6,cal!$BC$9:$BD$12,2,FALSE)=$DN$35)</xm:f>
            <x14:dxf>
              <fill>
                <patternFill>
                  <bgColor rgb="FF0070C0"/>
                </patternFill>
              </fill>
            </x14:dxf>
          </x14:cfRule>
          <x14:cfRule type="expression" priority="5007" id="{6D6CDA49-0086-4D2D-BED5-F156C962D472}">
            <xm:f>AND(K4="",VLOOKUP(K5,cal!$BE:$BF,2,FALSE)&gt;2,VLOOKUP(L6,cal!$BC$9:$BD$12,2,FALSE)=$CS$35)</xm:f>
            <x14:dxf>
              <fill>
                <patternFill>
                  <bgColor theme="9" tint="-0.24994659260841701"/>
                </patternFill>
              </fill>
            </x14:dxf>
          </x14:cfRule>
          <x14:cfRule type="expression" priority="5008" id="{0DF1CDD6-C0D7-45CA-B112-6F74357A60FE}">
            <xm:f>AND(K4="",VLOOKUP(K5,cal!$BE:$BF,2,FALSE)&gt;2,VLOOKUP(L6,cal!$BC$9:$BD$12,2,FALSE)=$DN$19)</xm:f>
            <x14:dxf>
              <fill>
                <patternFill>
                  <bgColor rgb="FF00B050"/>
                </patternFill>
              </fill>
            </x14:dxf>
          </x14:cfRule>
          <x14:cfRule type="expression" priority="5009" id="{9F1822B1-1B79-40D0-81AA-AC31EBC02B9B}">
            <xm:f>AND(K4="",VLOOKUP(K5,cal!$BE:$BF,2,FALSE)&gt;2,VLOOKUP(L6,cal!$BC$9:$BD$12,2,FALSE)=$CS$19)</xm:f>
            <x14:dxf>
              <fill>
                <patternFill>
                  <bgColor rgb="FFC00000"/>
                </patternFill>
              </fill>
            </x14:dxf>
          </x14:cfRule>
          <xm:sqref>T17 Z11 AN14 AF18 K38 U42 BM41 BF45 AI45 AS44 AY41 AR37 BH35 BP34 BX33 AJ29 CB20 CD14 BY8 BV17 BP14 BH15 BF21 AX28 AX22 AR23 AT16 AZ16 BB10 BH6 AZ4 AT4 AN4 AF8</xm:sqref>
        </x14:conditionalFormatting>
        <x14:conditionalFormatting xmlns:xm="http://schemas.microsoft.com/office/excel/2006/main">
          <x14:cfRule type="expression" priority="5142" id="{4155DCA9-799A-4C31-8F5B-16A41D650287}">
            <xm:f>AND(M4="",VLOOKUP(K5,cal!$BE:$BF,2,FALSE)&gt;2,VLOOKUP(L6,cal!$BC$9:$BD$12,2,FALSE)=$DN$35)</xm:f>
            <x14:dxf>
              <fill>
                <patternFill>
                  <bgColor rgb="FF0070C0"/>
                </patternFill>
              </fill>
            </x14:dxf>
          </x14:cfRule>
          <x14:cfRule type="expression" priority="5143" id="{E953CBB0-FA14-47F0-884F-6EE21E9F0EAE}">
            <xm:f>AND(M4="",VLOOKUP(K5,cal!$BE:$BF,2,FALSE)&gt;2,VLOOKUP(L6,cal!$BC$9:$BD$12,2,FALSE)=$CS$35)</xm:f>
            <x14:dxf>
              <fill>
                <patternFill>
                  <bgColor theme="9" tint="-0.24994659260841701"/>
                </patternFill>
              </fill>
            </x14:dxf>
          </x14:cfRule>
          <x14:cfRule type="expression" priority="5144" id="{1A1E2EA6-B3C1-46DB-A465-E5783787CAAC}">
            <xm:f>AND(M4="",VLOOKUP(K5,cal!$BE:$BF,2,FALSE)&gt;2,VLOOKUP(L6,cal!$BC$9:$BD$12,2,FALSE)=$DN$19)</xm:f>
            <x14:dxf>
              <fill>
                <patternFill>
                  <bgColor rgb="FF00B050"/>
                </patternFill>
              </fill>
            </x14:dxf>
          </x14:cfRule>
          <x14:cfRule type="expression" priority="5145" id="{7A729B0D-7454-4297-9D08-2B9F36F7891A}">
            <xm:f>AND(M4="",VLOOKUP(K5,cal!$BE:$BF,2,FALSE)&gt;2,VLOOKUP(L6,cal!$BC$9:$BD$12,2,FALSE)=$CS$19)</xm:f>
            <x14:dxf>
              <fill>
                <patternFill>
                  <bgColor rgb="FFC00000"/>
                </patternFill>
              </fill>
            </x14:dxf>
          </x14:cfRule>
          <xm:sqref>V17 AB11 BX17 M38 W42 AH18 AP14 AL29 AK45 AU44 AT37 BA41 BH45 BO41 BJ35 BR34 BZ33 CD20 CF14 CA8 BR14 BJ15 BH21 AZ28 AZ22 AT23 AH8 AP4 AV4 BB4 BJ6 BD10 BB16 AV16</xm:sqref>
        </x14:conditionalFormatting>
        <x14:conditionalFormatting xmlns:xm="http://schemas.microsoft.com/office/excel/2006/main">
          <x14:cfRule type="expression" priority="5278" id="{69742632-B659-4BE2-86D3-60C31EE667E4}">
            <xm:f>AND(K6="",VLOOKUP(K5,cal!$BE:$BF,2,FALSE)&gt;2,VLOOKUP(L6,cal!$BC$9:$BD$12,2,FALSE)=$DN$35)</xm:f>
            <x14:dxf>
              <fill>
                <patternFill>
                  <bgColor rgb="FF0070C0"/>
                </patternFill>
              </fill>
            </x14:dxf>
          </x14:cfRule>
          <x14:cfRule type="expression" priority="5279" id="{ED40C1E9-2013-4655-87FF-0C5F5CF69A07}">
            <xm:f>AND(K6="",VLOOKUP(K5,cal!$BE:$BF,2,FALSE)&gt;2,VLOOKUP(L6,cal!$BC$9:$BD$12,2,FALSE)=$CS$35)</xm:f>
            <x14:dxf>
              <fill>
                <patternFill>
                  <bgColor theme="9" tint="-0.24994659260841701"/>
                </patternFill>
              </fill>
            </x14:dxf>
          </x14:cfRule>
          <x14:cfRule type="expression" priority="5280" id="{25FC534D-D459-4B2C-A5C8-DA9079042D4F}">
            <xm:f>AND(K6="",VLOOKUP(K5,cal!$BE:$BF,2,FALSE)&gt;2,VLOOKUP(L6,cal!$BC$9:$BD$12,2,FALSE)=$DN$19)</xm:f>
            <x14:dxf>
              <fill>
                <patternFill>
                  <bgColor rgb="FF00B050"/>
                </patternFill>
              </fill>
            </x14:dxf>
          </x14:cfRule>
          <x14:cfRule type="expression" priority="5281" id="{8BA90ACE-566E-4C5E-B3EA-483CE67CC927}">
            <xm:f>AND(K6="",VLOOKUP(K5,cal!$BE:$BF,2,FALSE)&gt;2,VLOOKUP(L6,cal!$BC$9:$BD$12,2,FALSE)=$CS$19)</xm:f>
            <x14:dxf>
              <fill>
                <patternFill>
                  <bgColor rgb="FFC00000"/>
                </patternFill>
              </fill>
            </x14:dxf>
          </x14:cfRule>
          <xm:sqref>T19 Z13 AN16 AF20 AJ31 K40 U44 AI47 AR39 AS46 AY43 BF47 BM43 BH37 BP36 BX35 BY10 CD16 CB22 BV19 BP16 BH17 BF23 AX30 AX24 AR25 AT18 AZ18 BB12 BH8 AZ6 AT6 AN6 AF10</xm:sqref>
        </x14:conditionalFormatting>
        <x14:conditionalFormatting xmlns:xm="http://schemas.microsoft.com/office/excel/2006/main">
          <x14:cfRule type="expression" priority="5414" id="{63A3D485-F2B0-43D3-8C76-06D26C629CDE}">
            <xm:f>AND(M6="",VLOOKUP(K5,cal!$BE:$BF,2,FALSE)&gt;2,VLOOKUP(L6,cal!$BC$9:$BD$12,2,FALSE)=$DN$35)</xm:f>
            <x14:dxf>
              <fill>
                <patternFill>
                  <bgColor rgb="FF0070C0"/>
                </patternFill>
              </fill>
            </x14:dxf>
          </x14:cfRule>
          <x14:cfRule type="expression" priority="5415" id="{4BD46F79-F402-4374-BEAE-DC654B5C6A95}">
            <xm:f>AND(M6="",VLOOKUP(K5,cal!$BE:$BF,2,FALSE)&gt;2,VLOOKUP(L6,cal!$BC$9:$BD$12,2,FALSE)=$CS$35)</xm:f>
            <x14:dxf>
              <fill>
                <patternFill>
                  <bgColor theme="9" tint="-0.24994659260841701"/>
                </patternFill>
              </fill>
            </x14:dxf>
          </x14:cfRule>
          <x14:cfRule type="expression" priority="5416" id="{C9083A31-A301-42D3-8396-09BC85A741B0}">
            <xm:f>AND(M6="",VLOOKUP(K5,cal!$BE:$BF,2,FALSE)&gt;2,VLOOKUP(L6,cal!$BC$9:$BD$12,2,FALSE)=$DN$19)</xm:f>
            <x14:dxf>
              <fill>
                <patternFill>
                  <bgColor rgb="FF00B050"/>
                </patternFill>
              </fill>
            </x14:dxf>
          </x14:cfRule>
          <x14:cfRule type="expression" priority="5417" id="{A7E24732-9EB6-4ED1-BB63-18F536A8E824}">
            <xm:f>AND(M6="",VLOOKUP(K5,cal!$BE:$BF,2,FALSE)&gt;2,VLOOKUP(L6,cal!$BC$9:$BD$12,2,FALSE)=$CS$19)</xm:f>
            <x14:dxf>
              <fill>
                <patternFill>
                  <bgColor rgb="FFC00000"/>
                </patternFill>
              </fill>
            </x14:dxf>
          </x14:cfRule>
          <xm:sqref>V19 AB13 BA43 AT39 AU46 BH47 BO43 BJ37 BR36 BZ35 CD22 BX19 CF16 CA10 BR16 BJ17 BH23 AZ30 AZ24 AT25 AV18 BB18 BD12 BJ8 BB6 AV6 AP6 AH10 AH20 AP16 AL31 M40 W44 AK47</xm:sqref>
        </x14:conditionalFormatting>
        <x14:conditionalFormatting xmlns:xm="http://schemas.microsoft.com/office/excel/2006/main">
          <x14:cfRule type="expression" priority="4870" id="{4577D80C-B063-4E80-A5F7-6ADEDADD1364}">
            <xm:f>AND(VLOOKUP(T5,cal!$BE:$BF,2,FALSE)&gt;1,VLOOKUP(U6,cal!$BC$9:$BD$12,2,FALSE)=$DN$35)</xm:f>
            <x14:dxf>
              <font>
                <color rgb="FF0070C0"/>
              </font>
              <fill>
                <patternFill>
                  <bgColor rgb="FF0070C0"/>
                </patternFill>
              </fill>
            </x14:dxf>
          </x14:cfRule>
          <x14:cfRule type="expression" priority="4871" id="{7A8965A3-482B-44DF-99DC-80E077CCB23A}">
            <xm:f>AND(VLOOKUP(T5,cal!$BE:$BF,2,FALSE)&gt;1,VLOOKUP(U6,cal!$BC$9:$BD$12,2,FALSE)=$CS$35)</xm:f>
            <x14:dxf>
              <font>
                <color theme="9" tint="-0.24994659260841701"/>
              </font>
              <fill>
                <patternFill>
                  <bgColor theme="9" tint="-0.24994659260841701"/>
                </patternFill>
              </fill>
            </x14:dxf>
          </x14:cfRule>
          <x14:cfRule type="expression" priority="4872" id="{6FCB09D6-4C9C-4C92-BD36-73187F27579E}">
            <xm:f>AND(VLOOKUP(T5,cal!$BE:$BF,2,FALSE)&gt;1,VLOOKUP(U6,cal!$BC$9:$BD$12,2,FALSE)=$DN$19)</xm:f>
            <x14:dxf>
              <font>
                <color rgb="FF00B050"/>
              </font>
              <fill>
                <patternFill>
                  <bgColor rgb="FF00B050"/>
                </patternFill>
              </fill>
            </x14:dxf>
          </x14:cfRule>
          <x14:cfRule type="expression" priority="4873" id="{75924C27-9F37-40F0-92AD-E9BD973A451C}">
            <xm:f>AND(VLOOKUP(T5,cal!$BE:$BF,2,FALSE)&gt;1,VLOOKUP(U6,cal!$BC$9:$BD$12,2,FALSE)=$CS$19)</xm:f>
            <x14:dxf>
              <font>
                <color rgb="FFC00000"/>
              </font>
              <fill>
                <patternFill>
                  <bgColor rgb="FFC00000"/>
                </patternFill>
              </fill>
            </x14:dxf>
          </x14:cfRule>
          <xm:sqref>U19 AA13 AG10 AO6 AU6 BA6 BI8 BC12 BA18 AU18 AS25 AY24 AY30 BG23 BQ16 BZ10 CE16 BW19 CC22 BY35 BQ36 BI37</xm:sqref>
        </x14:conditionalFormatting>
        <x14:conditionalFormatting xmlns:xm="http://schemas.microsoft.com/office/excel/2006/main">
          <x14:cfRule type="expression" priority="8" id="{467A260A-4CF6-BF46-A158-79B2438E3DCD}">
            <xm:f>AND(VLOOKUP(K15,cal!$BE:$BF,2,FALSE)&gt;1,VLOOKUP(L16,cal!$BC$9:$BD$12,2,FALSE)=$DN$35)</xm:f>
            <x14:dxf>
              <font>
                <color rgb="FF0070C0"/>
              </font>
              <fill>
                <patternFill>
                  <bgColor rgb="FF0070C0"/>
                </patternFill>
              </fill>
            </x14:dxf>
          </x14:cfRule>
          <x14:cfRule type="expression" priority="9" id="{EF8A7A6C-BCB7-4E4F-834B-E36B8F555B13}">
            <xm:f>AND(VLOOKUP(K15,cal!$BE:$BF,2,FALSE)&gt;1,VLOOKUP(L16,cal!$BC$9:$BD$12,2,FALSE)=$CS$35)</xm:f>
            <x14:dxf>
              <font>
                <color theme="9" tint="-0.24994659260841701"/>
              </font>
              <fill>
                <patternFill>
                  <bgColor theme="9" tint="-0.24994659260841701"/>
                </patternFill>
              </fill>
            </x14:dxf>
          </x14:cfRule>
          <x14:cfRule type="expression" priority="10" id="{FA310622-35F8-2545-A9AB-82A5DD414514}">
            <xm:f>AND(VLOOKUP(K15,cal!$BE:$BF,2,FALSE)&gt;1,VLOOKUP(L16,cal!$BC$9:$BD$12,2,FALSE)=$DN$19)</xm:f>
            <x14:dxf>
              <font>
                <color rgb="FF00B050"/>
              </font>
              <fill>
                <patternFill>
                  <bgColor rgb="FF00B050"/>
                </patternFill>
              </fill>
            </x14:dxf>
          </x14:cfRule>
          <x14:cfRule type="expression" priority="11" id="{42BBB214-CCB4-B54F-B8FB-1EFB6D2BB06D}">
            <xm:f>AND(VLOOKUP(K15,cal!$BE:$BF,2,FALSE)&gt;1,VLOOKUP(L16,cal!$BC$9:$BD$12,2,FALSE)=$CS$19)</xm:f>
            <x14:dxf>
              <font>
                <color rgb="FFC00000"/>
              </font>
              <fill>
                <patternFill>
                  <bgColor rgb="FFC00000"/>
                </patternFill>
              </fill>
            </x14:dxf>
          </x14:cfRule>
          <xm:sqref>AG20 AO16 AK31 L40 V44 AJ47 AS39 AT46 BG47 BN43</xm:sqref>
        </x14:conditionalFormatting>
        <x14:conditionalFormatting xmlns:xm="http://schemas.microsoft.com/office/excel/2006/main">
          <x14:cfRule type="expression" priority="7" id="{3D31189D-156A-6C46-AF3F-D9FCB6D8055C}">
            <xm:f>VLOOKUP(VLOOKUP(U6,cal!$BC$9:$BD$12,2,FALSE),cal!$AQ$2:$AV$5,6,FALSE)&lt;0</xm:f>
            <x14:dxf>
              <font>
                <b val="0"/>
                <i val="0"/>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S20 Y14 AE11 AM7 AS7 AY7 BG9 BA13 AY19 AS19 AQ26 AW25 AW31 BE24 BG18 BO17 BX11 CC17 BU20 CA23 BW36 BO37 BG38</xm:sqref>
        </x14:conditionalFormatting>
        <x14:conditionalFormatting xmlns:xm="http://schemas.microsoft.com/office/excel/2006/main">
          <x14:cfRule type="expression" priority="6" id="{2C2CA244-5EDB-234D-84A4-DCEDB0174C55}">
            <xm:f>VLOOKUP(VLOOKUP(L16,cal!$BC$9:$BD$12,2,FALSE),cal!$AQ$2:$AV$5,6,FALSE)&lt;0</xm:f>
            <x14:dxf>
              <font>
                <b val="0"/>
                <i val="0"/>
                <color auto="1"/>
              </font>
              <fill>
                <patternFill patternType="solid">
                  <fgColor indexed="64"/>
                  <bgColor rgb="FFFFFF00"/>
                </patternFill>
              </fill>
              <border>
                <left style="thin">
                  <color theme="0" tint="-4.9989318521683403E-2"/>
                </left>
                <right style="thin">
                  <color theme="1" tint="0.249977111117893"/>
                </right>
                <top style="thin">
                  <color theme="0" tint="-4.9989318521683403E-2"/>
                </top>
                <bottom style="thin">
                  <color theme="1" tint="0.249977111117893"/>
                </bottom>
              </border>
            </x14:dxf>
          </x14:cfRule>
          <xm:sqref>BL44 BE48 AR47 AQ40 AX44 AH48 T45 J41 AI32 AM17 AE21</xm:sqref>
        </x14:conditionalFormatting>
        <x14:conditionalFormatting xmlns:xm="http://schemas.microsoft.com/office/excel/2006/main">
          <x14:cfRule type="expression" priority="2" id="{273F85E2-64CA-8C42-B6F9-88E6CA2A1C2F}">
            <xm:f>AND(VLOOKUP(AY42,cal!$BE:$BF,2,FALSE)&gt;1,VLOOKUP(AZ43,cal!$BC$9:$BD$12,2,FALSE)=$DN$35)</xm:f>
            <x14:dxf>
              <font>
                <color rgb="FF0070C0"/>
              </font>
              <fill>
                <patternFill>
                  <bgColor rgb="FF0070C0"/>
                </patternFill>
              </fill>
            </x14:dxf>
          </x14:cfRule>
          <x14:cfRule type="expression" priority="3" id="{CA56180C-B339-1542-9589-E817738BE5F0}">
            <xm:f>AND(VLOOKUP(AY42,cal!$BE:$BF,2,FALSE)&gt;1,VLOOKUP(AZ43,cal!$BC$9:$BD$12,2,FALSE)=$CS$35)</xm:f>
            <x14:dxf>
              <font>
                <color theme="9" tint="-0.24994659260841701"/>
              </font>
              <fill>
                <patternFill>
                  <bgColor theme="9" tint="-0.24994659260841701"/>
                </patternFill>
              </fill>
            </x14:dxf>
          </x14:cfRule>
          <x14:cfRule type="expression" priority="4" id="{330DCBB3-B235-7941-86ED-BE95CC88C8E5}">
            <xm:f>AND(VLOOKUP(AY42,cal!$BE:$BF,2,FALSE)&gt;1,VLOOKUP(AZ43,cal!$BC$9:$BD$12,2,FALSE)=$DN$19)</xm:f>
            <x14:dxf>
              <font>
                <color rgb="FF00B050"/>
              </font>
              <fill>
                <patternFill>
                  <bgColor rgb="FF00B050"/>
                </patternFill>
              </fill>
            </x14:dxf>
          </x14:cfRule>
          <x14:cfRule type="expression" priority="5" id="{5AD3A22A-303F-1648-B566-110903F01C63}">
            <xm:f>AND(VLOOKUP(AY42,cal!$BE:$BF,2,FALSE)&gt;1,VLOOKUP(AZ43,cal!$BC$9:$BD$12,2,FALSE)=$CS$19)</xm:f>
            <x14:dxf>
              <font>
                <color rgb="FFC00000"/>
              </font>
              <fill>
                <patternFill>
                  <bgColor rgb="FFC00000"/>
                </patternFill>
              </fill>
            </x14:dxf>
          </x14:cfRule>
          <xm:sqref>AZ43</xm:sqref>
        </x14:conditionalFormatting>
        <x14:conditionalFormatting xmlns:xm="http://schemas.microsoft.com/office/excel/2006/main">
          <x14:cfRule type="expression" priority="1" id="{FB7A1E84-DE74-C243-A335-A4FB225F96BC}">
            <xm:f>OR(AND(cal!$AV$2&lt;0,cal!$AW$2&gt;0),AND(cal!$AV$3&lt;0,cal!$AW$3&gt;0),AND(cal!$AV$4&lt;0,cal!$AW$4&gt;0),AND(cal!$AV$5&lt;0,cal!$AW$5&gt;0))</xm:f>
            <x14:dxf>
              <font>
                <color auto="1"/>
              </font>
              <fill>
                <patternFill patternType="solid">
                  <fgColor indexed="64"/>
                  <bgColor rgb="FFFFFF00"/>
                </patternFill>
              </fill>
            </x14:dxf>
          </x14:cfRule>
          <xm:sqref>DD34:DK37</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enableFormatConditionsCalculation="0"/>
  <dimension ref="B1:BP48"/>
  <sheetViews>
    <sheetView zoomScale="85" zoomScaleNormal="85" zoomScalePageLayoutView="85" workbookViewId="0">
      <selection activeCell="B3" sqref="B3"/>
    </sheetView>
  </sheetViews>
  <sheetFormatPr baseColWidth="10" defaultColWidth="8.83203125" defaultRowHeight="15" x14ac:dyDescent="0"/>
  <cols>
    <col min="1" max="1" width="1.5" style="209" customWidth="1"/>
    <col min="2" max="3" width="4.6640625" style="209" hidden="1" customWidth="1"/>
    <col min="4" max="4" width="4.5" style="209" hidden="1" customWidth="1"/>
    <col min="5" max="11" width="5.83203125" style="209" hidden="1" customWidth="1"/>
    <col min="12" max="12" width="4.33203125" style="209" hidden="1" customWidth="1"/>
    <col min="13" max="13" width="4.6640625" style="209" hidden="1" customWidth="1"/>
    <col min="14" max="14" width="4.5" style="209" hidden="1" customWidth="1"/>
    <col min="15" max="21" width="5.83203125" style="209" hidden="1" customWidth="1"/>
    <col min="22" max="22" width="4.33203125" style="209" hidden="1" customWidth="1"/>
    <col min="23" max="23" width="4.6640625" style="209" hidden="1" customWidth="1"/>
    <col min="24" max="24" width="4.5" style="209" hidden="1" customWidth="1"/>
    <col min="25" max="31" width="5.83203125" style="209" hidden="1" customWidth="1"/>
    <col min="32" max="32" width="4.33203125" style="209" hidden="1" customWidth="1"/>
    <col min="33" max="33" width="4.6640625" style="209" hidden="1" customWidth="1"/>
    <col min="34" max="34" width="4.5" style="209" hidden="1" customWidth="1"/>
    <col min="35" max="41" width="5.83203125" style="209" hidden="1" customWidth="1"/>
    <col min="42" max="42" width="2.6640625" style="209" hidden="1" customWidth="1"/>
    <col min="43" max="43" width="2.5" style="209" hidden="1" customWidth="1"/>
    <col min="44" max="47" width="6.83203125" style="209" hidden="1" customWidth="1"/>
    <col min="48" max="48" width="7.6640625" style="209" hidden="1" customWidth="1"/>
    <col min="49" max="49" width="5.5" style="209" hidden="1" customWidth="1"/>
    <col min="50" max="53" width="6.83203125" style="209" hidden="1" customWidth="1"/>
    <col min="54" max="54" width="2.5" style="209" hidden="1" customWidth="1"/>
    <col min="55" max="55" width="2.1640625" style="209" hidden="1" customWidth="1"/>
    <col min="56" max="56" width="2.5" style="209" hidden="1" customWidth="1"/>
    <col min="57" max="57" width="4.5" style="209" hidden="1" customWidth="1"/>
    <col min="58" max="58" width="3" style="209" hidden="1" customWidth="1"/>
    <col min="59" max="59" width="4.33203125" style="209" hidden="1" customWidth="1"/>
    <col min="60" max="60" width="7" style="209" hidden="1" customWidth="1"/>
    <col min="61" max="61" width="6.83203125" style="209" hidden="1" customWidth="1"/>
    <col min="62" max="62" width="7" style="209" hidden="1" customWidth="1"/>
    <col min="63" max="63" width="2.6640625" style="209" hidden="1" customWidth="1"/>
    <col min="64" max="64" width="3.1640625" style="209" hidden="1" customWidth="1"/>
    <col min="65" max="67" width="2.6640625" style="209" hidden="1" customWidth="1"/>
    <col min="68" max="68" width="2.83203125" style="209" hidden="1" customWidth="1"/>
    <col min="69" max="16384" width="8.83203125" style="209"/>
  </cols>
  <sheetData>
    <row r="1" spans="2:68" ht="45">
      <c r="B1" s="229" t="str">
        <f>pla!CS19</f>
        <v>P</v>
      </c>
      <c r="C1" s="230" t="s">
        <v>216</v>
      </c>
      <c r="D1" s="230" t="s">
        <v>217</v>
      </c>
      <c r="E1" s="230" t="s">
        <v>218</v>
      </c>
      <c r="F1" s="230" t="s">
        <v>219</v>
      </c>
      <c r="G1" s="230" t="s">
        <v>220</v>
      </c>
      <c r="H1" s="230" t="s">
        <v>221</v>
      </c>
      <c r="I1" s="230" t="s">
        <v>222</v>
      </c>
      <c r="J1" s="230" t="s">
        <v>223</v>
      </c>
      <c r="K1" s="231" t="s">
        <v>245</v>
      </c>
      <c r="L1" s="229" t="str">
        <f>pla!DN19</f>
        <v>Q</v>
      </c>
      <c r="M1" s="230" t="s">
        <v>216</v>
      </c>
      <c r="N1" s="230" t="s">
        <v>217</v>
      </c>
      <c r="O1" s="230" t="s">
        <v>218</v>
      </c>
      <c r="P1" s="230" t="s">
        <v>219</v>
      </c>
      <c r="Q1" s="230" t="s">
        <v>220</v>
      </c>
      <c r="R1" s="230" t="s">
        <v>221</v>
      </c>
      <c r="S1" s="230" t="s">
        <v>222</v>
      </c>
      <c r="T1" s="230" t="s">
        <v>223</v>
      </c>
      <c r="U1" s="231" t="s">
        <v>245</v>
      </c>
      <c r="V1" s="229" t="str">
        <f>pla!CS35</f>
        <v>d</v>
      </c>
      <c r="W1" s="230" t="s">
        <v>216</v>
      </c>
      <c r="X1" s="230" t="s">
        <v>217</v>
      </c>
      <c r="Y1" s="230" t="s">
        <v>218</v>
      </c>
      <c r="Z1" s="230" t="s">
        <v>219</v>
      </c>
      <c r="AA1" s="230" t="s">
        <v>220</v>
      </c>
      <c r="AB1" s="230" t="s">
        <v>221</v>
      </c>
      <c r="AC1" s="230" t="s">
        <v>222</v>
      </c>
      <c r="AD1" s="230" t="s">
        <v>223</v>
      </c>
      <c r="AE1" s="231" t="s">
        <v>245</v>
      </c>
      <c r="AF1" s="229" t="str">
        <f>pla!DN35</f>
        <v>N</v>
      </c>
      <c r="AG1" s="230" t="s">
        <v>216</v>
      </c>
      <c r="AH1" s="230" t="s">
        <v>217</v>
      </c>
      <c r="AI1" s="230" t="s">
        <v>218</v>
      </c>
      <c r="AJ1" s="230" t="s">
        <v>219</v>
      </c>
      <c r="AK1" s="230" t="s">
        <v>220</v>
      </c>
      <c r="AL1" s="230" t="s">
        <v>221</v>
      </c>
      <c r="AM1" s="230" t="s">
        <v>222</v>
      </c>
      <c r="AN1" s="230" t="s">
        <v>223</v>
      </c>
      <c r="AO1" s="231" t="s">
        <v>245</v>
      </c>
      <c r="AP1" s="246"/>
      <c r="AQ1" s="244"/>
      <c r="AR1" s="242" t="s">
        <v>182</v>
      </c>
      <c r="AS1" s="242" t="s">
        <v>181</v>
      </c>
      <c r="AT1" s="243" t="s">
        <v>183</v>
      </c>
      <c r="AU1" s="244" t="s">
        <v>184</v>
      </c>
      <c r="AV1" s="247" t="s">
        <v>185</v>
      </c>
      <c r="AW1" s="245" t="s">
        <v>186</v>
      </c>
      <c r="AX1" s="244" t="s">
        <v>215</v>
      </c>
      <c r="AY1" s="245" t="s">
        <v>214</v>
      </c>
      <c r="AZ1" s="243" t="s">
        <v>0</v>
      </c>
      <c r="BA1" s="244" t="s">
        <v>213</v>
      </c>
      <c r="BB1" s="250" t="str">
        <f>VLOOKUP("x",BB2:BC5,2,FALSE)</f>
        <v>P</v>
      </c>
      <c r="BC1" s="243" t="str">
        <f>IF(COUNTIF(BA2:BA5,0)=4,"o",VLOOKUP("x",BB2:BD5,3,FALSE))</f>
        <v>o</v>
      </c>
      <c r="BD1" s="244" t="str">
        <f>IFERROR(VLOOKUP(BC1,AQ2:BA5,10,FALSE),"")</f>
        <v/>
      </c>
      <c r="BE1" s="215" t="s">
        <v>64</v>
      </c>
      <c r="BF1" s="215" t="s">
        <v>143</v>
      </c>
      <c r="BG1" s="215" t="s">
        <v>144</v>
      </c>
      <c r="BH1" s="216" t="s">
        <v>240</v>
      </c>
      <c r="BI1" s="215" t="s">
        <v>241</v>
      </c>
      <c r="BJ1" s="215" t="s">
        <v>242</v>
      </c>
      <c r="BK1" s="209" t="str">
        <f>AQ2</f>
        <v>P</v>
      </c>
      <c r="BL1" s="209" t="str">
        <f>AQ3</f>
        <v>Q</v>
      </c>
      <c r="BM1" s="209" t="str">
        <f>AQ4</f>
        <v>d</v>
      </c>
      <c r="BN1" s="209" t="str">
        <f>AQ5</f>
        <v>N</v>
      </c>
      <c r="BP1" s="209" t="s">
        <v>250</v>
      </c>
    </row>
    <row r="2" spans="2:68">
      <c r="B2" s="232" t="s">
        <v>196</v>
      </c>
      <c r="C2" s="233">
        <v>0</v>
      </c>
      <c r="D2" s="233">
        <v>0</v>
      </c>
      <c r="E2" s="233">
        <v>20000</v>
      </c>
      <c r="F2" s="233"/>
      <c r="G2" s="233">
        <v>0</v>
      </c>
      <c r="H2" s="233"/>
      <c r="I2" s="233">
        <v>0</v>
      </c>
      <c r="J2" s="233">
        <v>0</v>
      </c>
      <c r="K2" s="234"/>
      <c r="L2" s="232" t="s">
        <v>196</v>
      </c>
      <c r="M2" s="233">
        <v>0</v>
      </c>
      <c r="N2" s="233">
        <v>0</v>
      </c>
      <c r="O2" s="233">
        <v>20000</v>
      </c>
      <c r="P2" s="233"/>
      <c r="Q2" s="233">
        <v>0</v>
      </c>
      <c r="R2" s="233"/>
      <c r="S2" s="233">
        <v>0</v>
      </c>
      <c r="T2" s="233">
        <v>0</v>
      </c>
      <c r="U2" s="234"/>
      <c r="V2" s="232" t="s">
        <v>196</v>
      </c>
      <c r="W2" s="233">
        <v>0</v>
      </c>
      <c r="X2" s="233">
        <v>0</v>
      </c>
      <c r="Y2" s="233">
        <v>20000</v>
      </c>
      <c r="Z2" s="233"/>
      <c r="AA2" s="233">
        <v>0</v>
      </c>
      <c r="AB2" s="233"/>
      <c r="AC2" s="233">
        <v>0</v>
      </c>
      <c r="AD2" s="233">
        <v>0</v>
      </c>
      <c r="AE2" s="234"/>
      <c r="AF2" s="232" t="s">
        <v>196</v>
      </c>
      <c r="AG2" s="233">
        <v>0</v>
      </c>
      <c r="AH2" s="233">
        <v>0</v>
      </c>
      <c r="AI2" s="233">
        <v>20000</v>
      </c>
      <c r="AJ2" s="233"/>
      <c r="AK2" s="233">
        <v>0</v>
      </c>
      <c r="AL2" s="233"/>
      <c r="AM2" s="233">
        <v>0</v>
      </c>
      <c r="AN2" s="233">
        <v>0</v>
      </c>
      <c r="AO2" s="234"/>
      <c r="AP2" s="257">
        <f>IF(AY9="",5,1)</f>
        <v>1</v>
      </c>
      <c r="AQ2" s="258" t="str">
        <f>B1</f>
        <v>P</v>
      </c>
      <c r="AR2" s="240">
        <f>SUM(E:E)</f>
        <v>20000</v>
      </c>
      <c r="AS2" s="240">
        <f>SUM(I:I)</f>
        <v>0</v>
      </c>
      <c r="AT2" s="209">
        <f>SUM(G:G)</f>
        <v>0</v>
      </c>
      <c r="AU2" s="236">
        <f>-SUMIFS($Q:$Q,$P:$P,$AQ2)-SUMIFS($AA:$AA,$Z:$Z,$AQ2)-SUMIFS($AK:$AK,$AJ:$AJ,$AQ2)-SUMIFS($G:$G,$F:$F,$AQ2)</f>
        <v>0</v>
      </c>
      <c r="AV2" s="248">
        <f t="shared" ref="AV2:AV5" si="0">SUM(AR2:AU2)-AX2</f>
        <v>20000</v>
      </c>
      <c r="AW2" s="235">
        <f>IF(AQ2="",0,COUNTIF(BH:BH,AQ2))</f>
        <v>0</v>
      </c>
      <c r="AX2" s="236">
        <f>IF(AQ2="",0,SUMIF(BH:BH,AQ2,BI:BI))</f>
        <v>0</v>
      </c>
      <c r="AY2" s="235">
        <f>VLOOKUP("o",B:D,2,FALSE)</f>
        <v>0</v>
      </c>
      <c r="AZ2" s="209">
        <f>VLOOKUP("o",B:D,3,FALSE)</f>
        <v>0</v>
      </c>
      <c r="BA2" s="236">
        <f>COUNTA(C:C)-2</f>
        <v>0</v>
      </c>
      <c r="BB2" s="235" t="str">
        <f>IF(BC5="",IF(BC4="",IF(BA9=BA10,"x",""),IF(BA9=BA11,"x","")),IF(BA9=BA12,"x",""))</f>
        <v>x</v>
      </c>
      <c r="BC2" s="209" t="str">
        <f>IF(VLOOKUP(SMALL($AP$2:$AP$5,1),$AP$2:$AQ$5,1,FALSE)=5,"",VLOOKUP(SMALL($AP$2:$AP$5,1),$AP$2:$AQ$5,2,FALSE))</f>
        <v>P</v>
      </c>
      <c r="BD2" s="236" t="str">
        <f>IF(BC5="",IF(BC4="",BC3,BC4),BC5)</f>
        <v>N</v>
      </c>
      <c r="BE2" s="209">
        <v>1</v>
      </c>
      <c r="BF2" s="209">
        <v>0</v>
      </c>
      <c r="BG2" s="209" t="str">
        <f t="shared" ref="BG2:BG41" si="1">TEXT(BE2,"00")&amp;BF2</f>
        <v>010</v>
      </c>
      <c r="BH2" s="217" t="str">
        <f>IFERROR(VLOOKUP(pla!U19,$BC$9:$BD$12,2,FALSE),"")</f>
        <v/>
      </c>
      <c r="BI2" s="209">
        <f>VLOOKUP(BG2,lok!C:H,5,FALSE)</f>
        <v>1200</v>
      </c>
      <c r="BJ2" s="209">
        <f>VLOOKUP(BG2,lok!C:H,6,FALSE)</f>
        <v>320</v>
      </c>
      <c r="BK2" s="209" t="str">
        <f>IF(AND(VLOOKUP(BK$1,$AQ$2:$AZ$5,6,FALSE)-VLOOKUP(VLOOKUP($BK$1,$AQ$2:$AZ$5,10,FALSE),lok!$T:$Z,7,FALSE)&gt;0,VLOOKUP($BK$1,$AQ$2:$AZ$5,10,FALSE)=BE2,$BH2=BK$1),IF(BF2=3,"",IF(COUNTIFS(D:D,BE2,K:K,BF2)=0,"","o")),"")</f>
        <v/>
      </c>
      <c r="BL2" s="209" t="str">
        <f>IF(AND(VLOOKUP(BL$1,$AQ$2:$AZ$5,6,FALSE)-VLOOKUP(VLOOKUP($BL$1,$AQ$2:$AZ$5,10,FALSE),lok!$T:$Z,7,FALSE)&gt;0,VLOOKUP($BL$1,$AQ$2:$AZ$5,10,FALSE)=BE2,$BH2=BL$1),IF(BF2=3,"",IF(COUNTIFS(N:N,BE2,U:U,BF2)=0,"","o")),"")</f>
        <v/>
      </c>
      <c r="BM2" s="209" t="str">
        <f>IF(AND(VLOOKUP(BM$1,$AQ$2:$AZ$5,6,FALSE)-VLOOKUP(VLOOKUP($BM$1,$AQ$2:$AZ$5,10,FALSE),lok!$T:$Z,7,FALSE)&gt;0,VLOOKUP($BM$1,$AQ$2:$AZ$5,10,FALSE)=BE2,$BH2=BM$1),IF(BF2=3,"",IF(COUNTIFS(X:X,BE2,AE:AE,BF2)=0,"","o")),"")</f>
        <v/>
      </c>
      <c r="BN2" s="209" t="str">
        <f>IF(AND(VLOOKUP(BN$1,$AQ$2:$AZ$5,6,FALSE)-VLOOKUP(VLOOKUP($BN$1,$AQ$2:$AZ$5,10,FALSE),lok!$T:$Z,7,FALSE)&gt;0,VLOOKUP($BN$1,$AQ$2:$AZ$5,10,FALSE)=BE2,$BH2=BN$1),IF(BF2=3,"",IF(COUNTIFS(AH:AH,BE2,AO:AO,BF2)=0,"","o")),"")</f>
        <v/>
      </c>
      <c r="BO2" s="209" t="str">
        <f>IF(COUNTIF(BK2:BN2,"o")&gt;0,"o","")</f>
        <v/>
      </c>
      <c r="BP2" s="209">
        <f>IF(BF2+1&gt;3,3,BF2+1)</f>
        <v>1</v>
      </c>
    </row>
    <row r="3" spans="2:68">
      <c r="AP3" s="235">
        <f>IF(AY10="",5,IF(COUNTIF(AP$2:AP2,5)=1,1,2))</f>
        <v>2</v>
      </c>
      <c r="AQ3" s="236" t="str">
        <f>L1</f>
        <v>Q</v>
      </c>
      <c r="AR3" s="240">
        <f>SUM(O:O)</f>
        <v>20000</v>
      </c>
      <c r="AS3" s="240">
        <f>SUM(S:S)</f>
        <v>0</v>
      </c>
      <c r="AT3" s="209">
        <f>SUM(Q:Q)</f>
        <v>0</v>
      </c>
      <c r="AU3" s="236">
        <f>-SUMIFS($Q:$Q,$P:$P,$AQ3)-SUMIFS($AA:$AA,$Z:$Z,$AQ3)-SUMIFS($AK:$AK,$AJ:$AJ,$AQ3)-SUMIFS($G:$G,$F:$F,$AQ3)</f>
        <v>0</v>
      </c>
      <c r="AV3" s="248">
        <f t="shared" si="0"/>
        <v>20000</v>
      </c>
      <c r="AW3" s="235">
        <f>IF(AQ3="",0,COUNTIF(BH:BH,AQ3))</f>
        <v>0</v>
      </c>
      <c r="AX3" s="236">
        <f>IF(AQ3="",0,SUMIF(BH:BH,AQ3,BI:BI))</f>
        <v>0</v>
      </c>
      <c r="AY3" s="235">
        <f>VLOOKUP("o",L:N,2,FALSE)</f>
        <v>0</v>
      </c>
      <c r="AZ3" s="209">
        <f>VLOOKUP("o",L:N,3,FALSE)</f>
        <v>0</v>
      </c>
      <c r="BA3" s="236">
        <f>COUNTA(M:M)-2</f>
        <v>0</v>
      </c>
      <c r="BB3" s="235" t="str">
        <f>IF(BC3="","",IF(BA9=BA10,"","x"))</f>
        <v/>
      </c>
      <c r="BC3" s="209" t="str">
        <f>IF(VLOOKUP(SMALL($AP$2:$AP$5,2),$AP$2:$AQ$5,1,FALSE)=5,"",VLOOKUP(SMALL($AP$2:$AP$5,2),$AP$2:$AQ$5,2,FALSE))</f>
        <v>Q</v>
      </c>
      <c r="BD3" s="236" t="str">
        <f>IF(BC3="","",BC2)</f>
        <v>P</v>
      </c>
      <c r="BE3" s="209">
        <v>2</v>
      </c>
      <c r="BF3" s="209">
        <v>0</v>
      </c>
      <c r="BG3" s="209" t="str">
        <f t="shared" si="1"/>
        <v>020</v>
      </c>
      <c r="BH3" s="217" t="str">
        <f>IFERROR(VLOOKUP(pla!AA13,$BC$9:$BD$12,2,FALSE),"")</f>
        <v/>
      </c>
      <c r="BI3" s="209">
        <f>VLOOKUP(BG3,lok!C:H,5,FALSE)</f>
        <v>900</v>
      </c>
      <c r="BJ3" s="209">
        <f>VLOOKUP(BG3,lok!C:H,6,FALSE)</f>
        <v>240</v>
      </c>
      <c r="BK3" s="209" t="str">
        <f>IF(AND(VLOOKUP(BK$1,$AQ$2:$AZ$5,6,FALSE)-VLOOKUP(VLOOKUP($BK$1,$AQ$2:$AZ$5,10,FALSE),lok!$T:$Z,7,FALSE)&gt;0,VLOOKUP($BK$1,$AQ$2:$AZ$5,10,FALSE)=BE3,$BH3=BK$1),IF(BF3=3,"",IF(COUNTIFS(D:D,BE3,K:K,BF3)=0,"","o")),"")</f>
        <v/>
      </c>
      <c r="BL3" s="209" t="str">
        <f>IF(AND(VLOOKUP(BL$1,$AQ$2:$AZ$5,6,FALSE)-VLOOKUP(VLOOKUP($BL$1,$AQ$2:$AZ$5,10,FALSE),lok!$T:$Z,7,FALSE)&gt;0,VLOOKUP($BL$1,$AQ$2:$AZ$5,10,FALSE)=BE3,$BH3=BL$1),IF(BF3=3,"",IF(COUNTIFS(N:N,BE3,U:U,BF3)=0,"","o")),"")</f>
        <v/>
      </c>
      <c r="BM3" s="209" t="str">
        <f>IF(AND(VLOOKUP(BM$1,$AQ$2:$AZ$5,6,FALSE)-VLOOKUP(VLOOKUP($BM$1,$AQ$2:$AZ$5,10,FALSE),lok!$T:$Z,7,FALSE)&gt;0,VLOOKUP($BM$1,$AQ$2:$AZ$5,10,FALSE)=BE3,$BH3=BM$1),IF(BF3=3,"",IF(COUNTIFS(X:X,BE3,AE:AE,BF3)=0,"","o")),"")</f>
        <v/>
      </c>
      <c r="BN3" s="209" t="str">
        <f>IF(AND(VLOOKUP(BN$1,$AQ$2:$AZ$5,6,FALSE)-VLOOKUP(VLOOKUP($BN$1,$AQ$2:$AZ$5,10,FALSE),lok!$T:$Z,7,FALSE)&gt;0,VLOOKUP($BN$1,$AQ$2:$AZ$5,10,FALSE)=BE3,$BH3=BN$1),IF(BF3=3,"",IF(COUNTIFS(AH:AH,BE3,AO:AO,BF3)=0,"","o")),"")</f>
        <v/>
      </c>
      <c r="BO3" s="209" t="str">
        <f t="shared" ref="BO3:BO14" si="2">IF(COUNTIF(BK3:BN3,"o")&gt;0,"o","")</f>
        <v/>
      </c>
      <c r="BP3" s="209">
        <f t="shared" ref="BP3:BP14" si="3">IF(BF3+1&gt;3,3,BF3+1)</f>
        <v>1</v>
      </c>
    </row>
    <row r="4" spans="2:68">
      <c r="AP4" s="235">
        <f>IF(AY11="",5,IF(COUNTIF(AP$2:AP3,5)=1,2,IF(COUNTIF(AP$2:AP3,5)=2,1,3)))</f>
        <v>3</v>
      </c>
      <c r="AQ4" s="236" t="str">
        <f>V1</f>
        <v>d</v>
      </c>
      <c r="AR4" s="240">
        <f>SUM(Y:Y)</f>
        <v>20000</v>
      </c>
      <c r="AS4" s="240">
        <f>SUM(AC:AC)</f>
        <v>0</v>
      </c>
      <c r="AT4" s="209">
        <f>SUM(AA:AA)</f>
        <v>0</v>
      </c>
      <c r="AU4" s="236">
        <f>-SUMIFS($Q:$Q,$P:$P,$AQ4)-SUMIFS($AA:$AA,$Z:$Z,$AQ4)-SUMIFS($AK:$AK,$AJ:$AJ,$AQ4)-SUMIFS($G:$G,$F:$F,$AQ4)</f>
        <v>0</v>
      </c>
      <c r="AV4" s="248">
        <f t="shared" si="0"/>
        <v>20000</v>
      </c>
      <c r="AW4" s="235">
        <f>IF(AQ4="",0,COUNTIF(BH:BH,AQ4))</f>
        <v>0</v>
      </c>
      <c r="AX4" s="236">
        <f>IF(AQ4="",0,SUMIF(BH:BH,AQ4,BI:BI))</f>
        <v>0</v>
      </c>
      <c r="AY4" s="235">
        <f>VLOOKUP("o",V:X,2,FALSE)</f>
        <v>0</v>
      </c>
      <c r="AZ4" s="209">
        <f>VLOOKUP("o",V:X,3,FALSE)</f>
        <v>0</v>
      </c>
      <c r="BA4" s="236">
        <f>COUNTA(W:W)-2</f>
        <v>0</v>
      </c>
      <c r="BB4" s="235" t="str">
        <f>IF(BC4="","",IF(BA10=BA11,"","x"))</f>
        <v/>
      </c>
      <c r="BC4" s="209" t="str">
        <f>IF(VLOOKUP(SMALL($AP$2:$AP$5,3),$AP$2:$AQ$5,1,FALSE)=5,"",VLOOKUP(SMALL($AP$2:$AP$5,3),$AP$2:$AQ$5,2,FALSE))</f>
        <v>d</v>
      </c>
      <c r="BD4" s="236" t="str">
        <f>IF(BC4="","",BC3)</f>
        <v>Q</v>
      </c>
      <c r="BE4" s="209">
        <v>3</v>
      </c>
      <c r="BF4" s="209">
        <v>0</v>
      </c>
      <c r="BG4" s="209" t="str">
        <f t="shared" si="1"/>
        <v>030</v>
      </c>
      <c r="BH4" s="217" t="str">
        <f>IFERROR(VLOOKUP(pla!AG10,$BC$9:$BD$12,2,FALSE),"")</f>
        <v/>
      </c>
      <c r="BI4" s="209">
        <f>VLOOKUP(BG4,lok!C:H,5,FALSE)</f>
        <v>1500</v>
      </c>
      <c r="BJ4" s="209">
        <f>VLOOKUP(BG4,lok!C:H,6,FALSE)</f>
        <v>400</v>
      </c>
      <c r="BK4" s="209" t="str">
        <f>IF(AND(VLOOKUP(BK$1,$AQ$2:$AZ$5,6,FALSE)-VLOOKUP(VLOOKUP($BK$1,$AQ$2:$AZ$5,10,FALSE),lok!$T:$Z,7,FALSE)&gt;0,VLOOKUP($BK$1,$AQ$2:$AZ$5,10,FALSE)=BE4,$BH4=BK$1),IF(BF4=3,"",IF(COUNTIFS(D:D,BE4,K:K,BF4)=0,"","o")),"")</f>
        <v/>
      </c>
      <c r="BL4" s="209" t="str">
        <f>IF(AND(VLOOKUP(BL$1,$AQ$2:$AZ$5,6,FALSE)-VLOOKUP(VLOOKUP($BL$1,$AQ$2:$AZ$5,10,FALSE),lok!$T:$Z,7,FALSE)&gt;0,VLOOKUP($BL$1,$AQ$2:$AZ$5,10,FALSE)=BE4,$BH4=BL$1),IF(BF4=3,"",IF(COUNTIFS(N:N,BE4,U:U,BF4)=0,"","o")),"")</f>
        <v/>
      </c>
      <c r="BM4" s="209" t="str">
        <f>IF(AND(VLOOKUP(BM$1,$AQ$2:$AZ$5,6,FALSE)-VLOOKUP(VLOOKUP($BM$1,$AQ$2:$AZ$5,10,FALSE),lok!$T:$Z,7,FALSE)&gt;0,VLOOKUP($BM$1,$AQ$2:$AZ$5,10,FALSE)=BE4,$BH4=BM$1),IF(BF4=3,"",IF(COUNTIFS(X:X,BE4,AE:AE,BF4)=0,"","o")),"")</f>
        <v/>
      </c>
      <c r="BN4" s="209" t="str">
        <f>IF(AND(VLOOKUP(BN$1,$AQ$2:$AZ$5,6,FALSE)-VLOOKUP(VLOOKUP($BN$1,$AQ$2:$AZ$5,10,FALSE),lok!$T:$Z,7,FALSE)&gt;0,VLOOKUP($BN$1,$AQ$2:$AZ$5,10,FALSE)=BE4,$BH4=BN$1),IF(BF4=3,"",IF(COUNTIFS(AH:AH,BE4,AO:AO,BF4)=0,"","o")),"")</f>
        <v/>
      </c>
      <c r="BO4" s="209" t="str">
        <f t="shared" si="2"/>
        <v/>
      </c>
      <c r="BP4" s="209">
        <f t="shared" si="3"/>
        <v>1</v>
      </c>
    </row>
    <row r="5" spans="2:68">
      <c r="AP5" s="237">
        <f>IF(AY12="",5,IF(COUNTIF(AP$2:AP4,5)=1,3,IF(COUNTIF(AP$2:AP4,5)=2,2,IF(COUNTIF(AP$2:AP4,5)=3,1,4))))</f>
        <v>4</v>
      </c>
      <c r="AQ5" s="238" t="str">
        <f>AF1</f>
        <v>N</v>
      </c>
      <c r="AR5" s="241">
        <f>SUM(AI:AI)</f>
        <v>20000</v>
      </c>
      <c r="AS5" s="241">
        <f>SUM(AM:AM)</f>
        <v>0</v>
      </c>
      <c r="AT5" s="239">
        <f>SUM(AK:AK)</f>
        <v>0</v>
      </c>
      <c r="AU5" s="238">
        <f>-SUMIFS($Q:$Q,$P:$P,$AQ5)-SUMIFS($AA:$AA,$Z:$Z,$AQ5)-SUMIFS($AK:$AK,$AJ:$AJ,$AQ5)-SUMIFS($G:$G,$F:$F,$AQ5)</f>
        <v>0</v>
      </c>
      <c r="AV5" s="249">
        <f t="shared" si="0"/>
        <v>20000</v>
      </c>
      <c r="AW5" s="237">
        <f>IF(AQ5="",0,COUNTIF(BH:BH,AQ5))</f>
        <v>0</v>
      </c>
      <c r="AX5" s="238">
        <f>IF(AQ5="",0,SUMIF(BH:BH,AQ5,BI:BI))</f>
        <v>0</v>
      </c>
      <c r="AY5" s="237">
        <f>VLOOKUP("o",AF:AH,2,FALSE)</f>
        <v>0</v>
      </c>
      <c r="AZ5" s="239">
        <f>VLOOKUP("o",AF:AH,3,FALSE)</f>
        <v>0</v>
      </c>
      <c r="BA5" s="238">
        <f>COUNTA(AG:AG)-2</f>
        <v>0</v>
      </c>
      <c r="BB5" s="237" t="str">
        <f>IF(BC5="","",IF(BA11=BA12,"","x"))</f>
        <v/>
      </c>
      <c r="BC5" s="239" t="str">
        <f>IF(VLOOKUP(SMALL($AP$2:$AP$5,4),$AP$2:$AQ$5,1,FALSE)=5,"",VLOOKUP(SMALL($AP$2:$AP$5,4),$AP$2:$AQ$5,2,FALSE))</f>
        <v>N</v>
      </c>
      <c r="BD5" s="238" t="str">
        <f t="shared" ref="BD5" si="4">IF(BC5="","",BC4)</f>
        <v>d</v>
      </c>
      <c r="BE5" s="209">
        <v>4</v>
      </c>
      <c r="BF5" s="209">
        <v>0</v>
      </c>
      <c r="BG5" s="209" t="str">
        <f t="shared" si="1"/>
        <v>040</v>
      </c>
      <c r="BH5" s="217" t="str">
        <f>IFERROR(VLOOKUP(pla!AO6,$BC$9:$BD$12,2,FALSE),"")</f>
        <v/>
      </c>
      <c r="BI5" s="209">
        <f>VLOOKUP(BG5,lok!C:H,5,FALSE)</f>
        <v>600</v>
      </c>
      <c r="BJ5" s="209">
        <f>VLOOKUP(BG5,lok!C:H,6,FALSE)</f>
        <v>160</v>
      </c>
      <c r="BK5" s="209" t="str">
        <f>IF(AND(VLOOKUP(BK$1,$AQ$2:$AZ$5,6,FALSE)-VLOOKUP(VLOOKUP($BK$1,$AQ$2:$AZ$5,10,FALSE),lok!$T:$Z,7,FALSE)&gt;0,VLOOKUP($BK$1,$AQ$2:$AZ$5,10,FALSE)=BE5,$BH5=BK$1),IF(BF5=3,"",IF(COUNTIFS(D:D,BE5,K:K,BF5)=0,"","o")),"")</f>
        <v/>
      </c>
      <c r="BL5" s="209" t="str">
        <f>IF(AND(VLOOKUP(BL$1,$AQ$2:$AZ$5,6,FALSE)-VLOOKUP(VLOOKUP($BL$1,$AQ$2:$AZ$5,10,FALSE),lok!$T:$Z,7,FALSE)&gt;0,VLOOKUP($BL$1,$AQ$2:$AZ$5,10,FALSE)=BE5,$BH5=BL$1),IF(BF5=3,"",IF(COUNTIFS(N:N,BE5,U:U,BF5)=0,"","o")),"")</f>
        <v/>
      </c>
      <c r="BM5" s="209" t="str">
        <f>IF(AND(VLOOKUP(BM$1,$AQ$2:$AZ$5,6,FALSE)-VLOOKUP(VLOOKUP($BM$1,$AQ$2:$AZ$5,10,FALSE),lok!$T:$Z,7,FALSE)&gt;0,VLOOKUP($BM$1,$AQ$2:$AZ$5,10,FALSE)=BE5,$BH5=BM$1),IF(BF5=3,"",IF(COUNTIFS(X:X,BE5,AE:AE,BF5)=0,"","o")),"")</f>
        <v/>
      </c>
      <c r="BN5" s="209" t="str">
        <f>IF(AND(VLOOKUP(BN$1,$AQ$2:$AZ$5,6,FALSE)-VLOOKUP(VLOOKUP($BN$1,$AQ$2:$AZ$5,10,FALSE),lok!$T:$Z,7,FALSE)&gt;0,VLOOKUP($BN$1,$AQ$2:$AZ$5,10,FALSE)=BE5,$BH5=BN$1),IF(BF5=3,"",IF(COUNTIFS(AH:AH,BE5,AO:AO,BF5)=0,"","o")),"")</f>
        <v/>
      </c>
      <c r="BO5" s="209" t="str">
        <f t="shared" si="2"/>
        <v/>
      </c>
      <c r="BP5" s="209">
        <f t="shared" si="3"/>
        <v>1</v>
      </c>
    </row>
    <row r="6" spans="2:68">
      <c r="BE6" s="209">
        <v>5</v>
      </c>
      <c r="BF6" s="209">
        <v>0</v>
      </c>
      <c r="BG6" s="209" t="str">
        <f t="shared" si="1"/>
        <v>050</v>
      </c>
      <c r="BH6" s="217" t="str">
        <f>IFERROR(VLOOKUP(pla!AU6,$BC$9:$BD$12,2,FALSE),"")</f>
        <v/>
      </c>
      <c r="BI6" s="209">
        <f>VLOOKUP(BG6,lok!C:H,5,FALSE)</f>
        <v>1200</v>
      </c>
      <c r="BJ6" s="209">
        <f>VLOOKUP(BG6,lok!C:H,6,FALSE)</f>
        <v>320</v>
      </c>
      <c r="BK6" s="209" t="str">
        <f>IF(AND(VLOOKUP(BK$1,$AQ$2:$AZ$5,6,FALSE)-VLOOKUP(VLOOKUP($BK$1,$AQ$2:$AZ$5,10,FALSE),lok!$T:$Z,7,FALSE)&gt;0,VLOOKUP($BK$1,$AQ$2:$AZ$5,10,FALSE)=BE6,$BH6=BK$1),IF(BF6=3,"",IF(COUNTIFS(D:D,BE6,K:K,BF6)=0,"","o")),"")</f>
        <v/>
      </c>
      <c r="BL6" s="209" t="str">
        <f>IF(AND(VLOOKUP(BL$1,$AQ$2:$AZ$5,6,FALSE)-VLOOKUP(VLOOKUP($BL$1,$AQ$2:$AZ$5,10,FALSE),lok!$T:$Z,7,FALSE)&gt;0,VLOOKUP($BL$1,$AQ$2:$AZ$5,10,FALSE)=BE6,$BH6=BL$1),IF(BF6=3,"",IF(COUNTIFS(N:N,BE6,U:U,BF6)=0,"","o")),"")</f>
        <v/>
      </c>
      <c r="BM6" s="209" t="str">
        <f>IF(AND(VLOOKUP(BM$1,$AQ$2:$AZ$5,6,FALSE)-VLOOKUP(VLOOKUP($BM$1,$AQ$2:$AZ$5,10,FALSE),lok!$T:$Z,7,FALSE)&gt;0,VLOOKUP($BM$1,$AQ$2:$AZ$5,10,FALSE)=BE6,$BH6=BM$1),IF(BF6=3,"",IF(COUNTIFS(X:X,BE6,AE:AE,BF6)=0,"","o")),"")</f>
        <v/>
      </c>
      <c r="BN6" s="209" t="str">
        <f>IF(AND(VLOOKUP(BN$1,$AQ$2:$AZ$5,6,FALSE)-VLOOKUP(VLOOKUP($BN$1,$AQ$2:$AZ$5,10,FALSE),lok!$T:$Z,7,FALSE)&gt;0,VLOOKUP($BN$1,$AQ$2:$AZ$5,10,FALSE)=BE6,$BH6=BN$1),IF(BF6=3,"",IF(COUNTIFS(AH:AH,BE6,AO:AO,BF6)=0,"","o")),"")</f>
        <v/>
      </c>
      <c r="BO6" s="209" t="str">
        <f t="shared" si="2"/>
        <v/>
      </c>
      <c r="BP6" s="209">
        <f t="shared" si="3"/>
        <v>1</v>
      </c>
    </row>
    <row r="7" spans="2:68">
      <c r="BC7" s="209" t="str">
        <f>IFERROR(IF(BC1="","",VLOOKUP(BC1,BB9:BC12,2,FALSE)),"")</f>
        <v/>
      </c>
      <c r="BE7" s="209">
        <v>6</v>
      </c>
      <c r="BF7" s="209">
        <v>0</v>
      </c>
      <c r="BG7" s="209" t="str">
        <f t="shared" si="1"/>
        <v>060</v>
      </c>
      <c r="BH7" s="217" t="str">
        <f>IFERROR(VLOOKUP(pla!BA6,$BC$9:$BD$12,2,FALSE),"")</f>
        <v/>
      </c>
      <c r="BI7" s="209">
        <f>VLOOKUP(BG7,lok!C:H,5,FALSE)</f>
        <v>2100</v>
      </c>
      <c r="BJ7" s="209">
        <f>VLOOKUP(BG7,lok!C:H,6,FALSE)</f>
        <v>560</v>
      </c>
      <c r="BK7" s="209" t="str">
        <f>IF(AND(VLOOKUP(BK$1,$AQ$2:$AZ$5,6,FALSE)-VLOOKUP(VLOOKUP($BK$1,$AQ$2:$AZ$5,10,FALSE),lok!$T:$Z,7,FALSE)&gt;0,VLOOKUP($BK$1,$AQ$2:$AZ$5,10,FALSE)=BE7,$BH7=BK$1),IF(BF7=3,"",IF(COUNTIFS(D:D,BE7,K:K,BF7)=0,"","o")),"")</f>
        <v/>
      </c>
      <c r="BL7" s="209" t="str">
        <f>IF(AND(VLOOKUP(BL$1,$AQ$2:$AZ$5,6,FALSE)-VLOOKUP(VLOOKUP($BL$1,$AQ$2:$AZ$5,10,FALSE),lok!$T:$Z,7,FALSE)&gt;0,VLOOKUP($BL$1,$AQ$2:$AZ$5,10,FALSE)=BE7,$BH7=BL$1),IF(BF7=3,"",IF(COUNTIFS(N:N,BE7,U:U,BF7)=0,"","o")),"")</f>
        <v/>
      </c>
      <c r="BM7" s="209" t="str">
        <f>IF(AND(VLOOKUP(BM$1,$AQ$2:$AZ$5,6,FALSE)-VLOOKUP(VLOOKUP($BM$1,$AQ$2:$AZ$5,10,FALSE),lok!$T:$Z,7,FALSE)&gt;0,VLOOKUP($BM$1,$AQ$2:$AZ$5,10,FALSE)=BE7,$BH7=BM$1),IF(BF7=3,"",IF(COUNTIFS(X:X,BE7,AE:AE,BF7)=0,"","o")),"")</f>
        <v/>
      </c>
      <c r="BN7" s="209" t="str">
        <f>IF(AND(VLOOKUP(BN$1,$AQ$2:$AZ$5,6,FALSE)-VLOOKUP(VLOOKUP($BN$1,$AQ$2:$AZ$5,10,FALSE),lok!$T:$Z,7,FALSE)&gt;0,VLOOKUP($BN$1,$AQ$2:$AZ$5,10,FALSE)=BE7,$BH7=BN$1),IF(BF7=3,"",IF(COUNTIFS(AH:AH,BE7,AO:AO,BF7)=0,"","o")),"")</f>
        <v/>
      </c>
      <c r="BO7" s="209" t="str">
        <f t="shared" si="2"/>
        <v/>
      </c>
      <c r="BP7" s="209">
        <f t="shared" si="3"/>
        <v>1</v>
      </c>
    </row>
    <row r="8" spans="2:68">
      <c r="BE8" s="209">
        <v>7</v>
      </c>
      <c r="BF8" s="209">
        <v>0</v>
      </c>
      <c r="BG8" s="209" t="str">
        <f t="shared" si="1"/>
        <v>070</v>
      </c>
      <c r="BH8" s="217" t="str">
        <f>IFERROR(VLOOKUP(pla!BI8,$BC$9:$BD$12,2,FALSE),"")</f>
        <v/>
      </c>
      <c r="BI8" s="209">
        <f>VLOOKUP(BG8,lok!C:H,5,FALSE)</f>
        <v>1500</v>
      </c>
      <c r="BJ8" s="209">
        <f>VLOOKUP(BG8,lok!C:H,6,FALSE)</f>
        <v>400</v>
      </c>
      <c r="BK8" s="209" t="str">
        <f>IF(AND(VLOOKUP(BK$1,$AQ$2:$AZ$5,6,FALSE)-VLOOKUP(VLOOKUP($BK$1,$AQ$2:$AZ$5,10,FALSE),lok!$T:$Z,7,FALSE)&gt;0,VLOOKUP($BK$1,$AQ$2:$AZ$5,10,FALSE)=BE8,$BH8=BK$1),IF(BF8=3,"",IF(COUNTIFS(D:D,BE8,K:K,BF8)=0,"","o")),"")</f>
        <v/>
      </c>
      <c r="BL8" s="209" t="str">
        <f>IF(AND(VLOOKUP(BL$1,$AQ$2:$AZ$5,6,FALSE)-VLOOKUP(VLOOKUP($BL$1,$AQ$2:$AZ$5,10,FALSE),lok!$T:$Z,7,FALSE)&gt;0,VLOOKUP($BL$1,$AQ$2:$AZ$5,10,FALSE)=BE8,$BH8=BL$1),IF(BF8=3,"",IF(COUNTIFS(N:N,BE8,U:U,BF8)=0,"","o")),"")</f>
        <v/>
      </c>
      <c r="BM8" s="209" t="str">
        <f>IF(AND(VLOOKUP(BM$1,$AQ$2:$AZ$5,6,FALSE)-VLOOKUP(VLOOKUP($BM$1,$AQ$2:$AZ$5,10,FALSE),lok!$T:$Z,7,FALSE)&gt;0,VLOOKUP($BM$1,$AQ$2:$AZ$5,10,FALSE)=BE8,$BH8=BM$1),IF(BF8=3,"",IF(COUNTIFS(X:X,BE8,AE:AE,BF8)=0,"","o")),"")</f>
        <v/>
      </c>
      <c r="BN8" s="209" t="str">
        <f>IF(AND(VLOOKUP(BN$1,$AQ$2:$AZ$5,6,FALSE)-VLOOKUP(VLOOKUP($BN$1,$AQ$2:$AZ$5,10,FALSE),lok!$T:$Z,7,FALSE)&gt;0,VLOOKUP($BN$1,$AQ$2:$AZ$5,10,FALSE)=BE8,$BH8=BN$1),IF(BF8=3,"",IF(COUNTIFS(AH:AH,BE8,AO:AO,BF8)=0,"","o")),"")</f>
        <v/>
      </c>
      <c r="BO8" s="209" t="str">
        <f t="shared" si="2"/>
        <v/>
      </c>
      <c r="BP8" s="209">
        <f t="shared" si="3"/>
        <v>1</v>
      </c>
    </row>
    <row r="9" spans="2:68">
      <c r="AW9" s="209" t="str">
        <f>AQ2</f>
        <v>P</v>
      </c>
      <c r="AX9" s="209" t="str">
        <f>IF(AV2+AX2&lt;0,"x","")</f>
        <v/>
      </c>
      <c r="AY9" s="209" t="str">
        <f>IF(VLOOKUP(AQ2,$AW$9:$AX$12,2,FALSE)="x","",AQ2)</f>
        <v>P</v>
      </c>
      <c r="AZ9" s="209">
        <f>IF(AY9="","",VLOOKUP(AY9,$AQ$2:$BA$5,11,FALSE))</f>
        <v>0</v>
      </c>
      <c r="BA9" s="209">
        <f t="shared" ref="BA9:BA11" si="5">IFERROR(VLOOKUP(BC2,$AQ$2:$BB$5,11,FALSE),"")</f>
        <v>0</v>
      </c>
      <c r="BB9" s="209" t="str">
        <f>AQ2</f>
        <v>P</v>
      </c>
      <c r="BC9" s="209" t="s">
        <v>224</v>
      </c>
      <c r="BD9" s="209" t="str">
        <f>AQ2</f>
        <v>P</v>
      </c>
      <c r="BE9" s="209">
        <v>8</v>
      </c>
      <c r="BF9" s="209">
        <v>0</v>
      </c>
      <c r="BG9" s="209" t="str">
        <f t="shared" si="1"/>
        <v>080</v>
      </c>
      <c r="BH9" s="217" t="str">
        <f>IFERROR(VLOOKUP(pla!BC12,$BC$9:$BD$12,2,FALSE),"")</f>
        <v/>
      </c>
      <c r="BI9" s="209">
        <f>VLOOKUP(BG9,lok!C:H,5,FALSE)</f>
        <v>1800</v>
      </c>
      <c r="BJ9" s="209">
        <f>VLOOKUP(BG9,lok!C:H,6,FALSE)</f>
        <v>480</v>
      </c>
      <c r="BK9" s="209" t="str">
        <f>IF(AND(VLOOKUP(BK$1,$AQ$2:$AZ$5,6,FALSE)-VLOOKUP(VLOOKUP($BK$1,$AQ$2:$AZ$5,10,FALSE),lok!$T:$Z,7,FALSE)&gt;0,VLOOKUP($BK$1,$AQ$2:$AZ$5,10,FALSE)=BE9,$BH9=BK$1),IF(BF9=3,"",IF(COUNTIFS(D:D,BE9,K:K,BF9)=0,"","o")),"")</f>
        <v/>
      </c>
      <c r="BL9" s="209" t="str">
        <f>IF(AND(VLOOKUP(BL$1,$AQ$2:$AZ$5,6,FALSE)-VLOOKUP(VLOOKUP($BL$1,$AQ$2:$AZ$5,10,FALSE),lok!$T:$Z,7,FALSE)&gt;0,VLOOKUP($BL$1,$AQ$2:$AZ$5,10,FALSE)=BE9,$BH9=BL$1),IF(BF9=3,"",IF(COUNTIFS(N:N,BE9,U:U,BF9)=0,"","o")),"")</f>
        <v/>
      </c>
      <c r="BM9" s="209" t="str">
        <f>IF(AND(VLOOKUP(BM$1,$AQ$2:$AZ$5,6,FALSE)-VLOOKUP(VLOOKUP($BM$1,$AQ$2:$AZ$5,10,FALSE),lok!$T:$Z,7,FALSE)&gt;0,VLOOKUP($BM$1,$AQ$2:$AZ$5,10,FALSE)=BE9,$BH9=BM$1),IF(BF9=3,"",IF(COUNTIFS(X:X,BE9,AE:AE,BF9)=0,"","o")),"")</f>
        <v/>
      </c>
      <c r="BN9" s="209" t="str">
        <f>IF(AND(VLOOKUP(BN$1,$AQ$2:$AZ$5,6,FALSE)-VLOOKUP(VLOOKUP($BN$1,$AQ$2:$AZ$5,10,FALSE),lok!$T:$Z,7,FALSE)&gt;0,VLOOKUP($BN$1,$AQ$2:$AZ$5,10,FALSE)=BE9,$BH9=BN$1),IF(BF9=3,"",IF(COUNTIFS(AH:AH,BE9,AO:AO,BF9)=0,"","o")),"")</f>
        <v/>
      </c>
      <c r="BO9" s="209" t="str">
        <f t="shared" si="2"/>
        <v/>
      </c>
      <c r="BP9" s="209">
        <f t="shared" si="3"/>
        <v>1</v>
      </c>
    </row>
    <row r="10" spans="2:68">
      <c r="AW10" s="209" t="str">
        <f>AQ3</f>
        <v>Q</v>
      </c>
      <c r="AX10" s="209" t="str">
        <f>IF(AV3+AX3&lt;0,"x","")</f>
        <v/>
      </c>
      <c r="AY10" s="209" t="str">
        <f>IF(VLOOKUP(AQ3,$AW$9:$AX$12,2,FALSE)="x","",AQ3)</f>
        <v>Q</v>
      </c>
      <c r="AZ10" s="209">
        <f t="shared" ref="AZ10:AZ12" si="6">IF(AY10="","",VLOOKUP(AY10,$AQ$2:$BA$5,11,FALSE))</f>
        <v>0</v>
      </c>
      <c r="BA10" s="209">
        <f t="shared" si="5"/>
        <v>0</v>
      </c>
      <c r="BB10" s="209" t="str">
        <f>AQ3</f>
        <v>Q</v>
      </c>
      <c r="BC10" s="209" t="s">
        <v>225</v>
      </c>
      <c r="BD10" s="209" t="str">
        <f>AQ3</f>
        <v>Q</v>
      </c>
      <c r="BE10" s="209">
        <v>9</v>
      </c>
      <c r="BF10" s="209">
        <v>0</v>
      </c>
      <c r="BG10" s="209" t="str">
        <f t="shared" si="1"/>
        <v>090</v>
      </c>
      <c r="BH10" s="217" t="str">
        <f>IFERROR(VLOOKUP(pla!BA18,$BC$9:$BD$12,2,FALSE),"")</f>
        <v/>
      </c>
      <c r="BI10" s="209">
        <f>VLOOKUP(BG10,lok!C:H,5,FALSE)</f>
        <v>3000</v>
      </c>
      <c r="BJ10" s="209">
        <f>VLOOKUP(BG10,lok!C:H,6,FALSE)</f>
        <v>800</v>
      </c>
      <c r="BK10" s="209" t="str">
        <f>IF(AND(VLOOKUP(BK$1,$AQ$2:$AZ$5,6,FALSE)-VLOOKUP(VLOOKUP($BK$1,$AQ$2:$AZ$5,10,FALSE),lok!$T:$Z,7,FALSE)&gt;0,VLOOKUP($BK$1,$AQ$2:$AZ$5,10,FALSE)=BE10,$BH10=BK$1),IF(BF10=3,"",IF(COUNTIFS(D:D,BE10,K:K,BF10)=0,"","o")),"")</f>
        <v/>
      </c>
      <c r="BL10" s="209" t="str">
        <f>IF(AND(VLOOKUP(BL$1,$AQ$2:$AZ$5,6,FALSE)-VLOOKUP(VLOOKUP($BL$1,$AQ$2:$AZ$5,10,FALSE),lok!$T:$Z,7,FALSE)&gt;0,VLOOKUP($BL$1,$AQ$2:$AZ$5,10,FALSE)=BE10,$BH10=BL$1),IF(BF10=3,"",IF(COUNTIFS(N:N,BE10,U:U,BF10)=0,"","o")),"")</f>
        <v/>
      </c>
      <c r="BM10" s="209" t="str">
        <f>IF(AND(VLOOKUP(BM$1,$AQ$2:$AZ$5,6,FALSE)-VLOOKUP(VLOOKUP($BM$1,$AQ$2:$AZ$5,10,FALSE),lok!$T:$Z,7,FALSE)&gt;0,VLOOKUP($BM$1,$AQ$2:$AZ$5,10,FALSE)=BE10,$BH10=BM$1),IF(BF10=3,"",IF(COUNTIFS(X:X,BE10,AE:AE,BF10)=0,"","o")),"")</f>
        <v/>
      </c>
      <c r="BN10" s="209" t="str">
        <f>IF(AND(VLOOKUP(BN$1,$AQ$2:$AZ$5,6,FALSE)-VLOOKUP(VLOOKUP($BN$1,$AQ$2:$AZ$5,10,FALSE),lok!$T:$Z,7,FALSE)&gt;0,VLOOKUP($BN$1,$AQ$2:$AZ$5,10,FALSE)=BE10,$BH10=BN$1),IF(BF10=3,"",IF(COUNTIFS(AH:AH,BE10,AO:AO,BF10)=0,"","o")),"")</f>
        <v/>
      </c>
      <c r="BO10" s="209" t="str">
        <f t="shared" si="2"/>
        <v/>
      </c>
      <c r="BP10" s="209">
        <f t="shared" si="3"/>
        <v>1</v>
      </c>
    </row>
    <row r="11" spans="2:68">
      <c r="AW11" s="209" t="str">
        <f>AQ4</f>
        <v>d</v>
      </c>
      <c r="AX11" s="209" t="str">
        <f>IF(AV4+AX4&lt;0,"x","")</f>
        <v/>
      </c>
      <c r="AY11" s="209" t="str">
        <f>IF(VLOOKUP(AQ4,$AW$9:$AX$12,2,FALSE)="x","",AQ4)</f>
        <v>d</v>
      </c>
      <c r="AZ11" s="209">
        <f t="shared" si="6"/>
        <v>0</v>
      </c>
      <c r="BA11" s="209">
        <f t="shared" si="5"/>
        <v>0</v>
      </c>
      <c r="BB11" s="209" t="str">
        <f>AQ4</f>
        <v>d</v>
      </c>
      <c r="BC11" s="209" t="s">
        <v>226</v>
      </c>
      <c r="BD11" s="209" t="str">
        <f>AQ4</f>
        <v>d</v>
      </c>
      <c r="BE11" s="209">
        <v>10</v>
      </c>
      <c r="BF11" s="209">
        <v>0</v>
      </c>
      <c r="BG11" s="209" t="str">
        <f t="shared" si="1"/>
        <v>100</v>
      </c>
      <c r="BH11" s="217" t="str">
        <f>IFERROR(VLOOKUP(pla!AU18,$BC$9:$BD$12,2,FALSE),"")</f>
        <v/>
      </c>
      <c r="BI11" s="209">
        <f>VLOOKUP(BG11,lok!C:H,5,FALSE)</f>
        <v>1200</v>
      </c>
      <c r="BJ11" s="209">
        <f>VLOOKUP(BG11,lok!C:H,6,FALSE)</f>
        <v>320</v>
      </c>
      <c r="BK11" s="209" t="str">
        <f>IF(AND(VLOOKUP(BK$1,$AQ$2:$AZ$5,6,FALSE)-VLOOKUP(VLOOKUP($BK$1,$AQ$2:$AZ$5,10,FALSE),lok!$T:$Z,7,FALSE)&gt;0,VLOOKUP($BK$1,$AQ$2:$AZ$5,10,FALSE)=BE11,$BH11=BK$1),IF(BF11=3,"",IF(COUNTIFS(D:D,BE11,K:K,BF11)=0,"","o")),"")</f>
        <v/>
      </c>
      <c r="BL11" s="209" t="str">
        <f>IF(AND(VLOOKUP(BL$1,$AQ$2:$AZ$5,6,FALSE)-VLOOKUP(VLOOKUP($BL$1,$AQ$2:$AZ$5,10,FALSE),lok!$T:$Z,7,FALSE)&gt;0,VLOOKUP($BL$1,$AQ$2:$AZ$5,10,FALSE)=BE11,$BH11=BL$1),IF(BF11=3,"",IF(COUNTIFS(N:N,BE11,U:U,BF11)=0,"","o")),"")</f>
        <v/>
      </c>
      <c r="BM11" s="209" t="str">
        <f>IF(AND(VLOOKUP(BM$1,$AQ$2:$AZ$5,6,FALSE)-VLOOKUP(VLOOKUP($BM$1,$AQ$2:$AZ$5,10,FALSE),lok!$T:$Z,7,FALSE)&gt;0,VLOOKUP($BM$1,$AQ$2:$AZ$5,10,FALSE)=BE11,$BH11=BM$1),IF(BF11=3,"",IF(COUNTIFS(X:X,BE11,AE:AE,BF11)=0,"","o")),"")</f>
        <v/>
      </c>
      <c r="BN11" s="209" t="str">
        <f>IF(AND(VLOOKUP(BN$1,$AQ$2:$AZ$5,6,FALSE)-VLOOKUP(VLOOKUP($BN$1,$AQ$2:$AZ$5,10,FALSE),lok!$T:$Z,7,FALSE)&gt;0,VLOOKUP($BN$1,$AQ$2:$AZ$5,10,FALSE)=BE11,$BH11=BN$1),IF(BF11=3,"",IF(COUNTIFS(AH:AH,BE11,AO:AO,BF11)=0,"","o")),"")</f>
        <v/>
      </c>
      <c r="BO11" s="209" t="str">
        <f t="shared" si="2"/>
        <v/>
      </c>
      <c r="BP11" s="209">
        <f t="shared" si="3"/>
        <v>1</v>
      </c>
    </row>
    <row r="12" spans="2:68">
      <c r="AW12" s="209" t="str">
        <f>AQ5</f>
        <v>N</v>
      </c>
      <c r="AX12" s="209" t="str">
        <f>IF(AV5+AX5&lt;0,"x","")</f>
        <v/>
      </c>
      <c r="AY12" s="209" t="str">
        <f>IF(VLOOKUP(AQ5,$AW$9:$AX$12,2,FALSE)="x","",AQ5)</f>
        <v>N</v>
      </c>
      <c r="AZ12" s="209">
        <f t="shared" si="6"/>
        <v>0</v>
      </c>
      <c r="BA12" s="209">
        <f>IFERROR(VLOOKUP(BC5,$AQ$2:$BB$5,11,FALSE),"")</f>
        <v>0</v>
      </c>
      <c r="BB12" s="209" t="str">
        <f>AQ5</f>
        <v>N</v>
      </c>
      <c r="BC12" s="209" t="s">
        <v>227</v>
      </c>
      <c r="BD12" s="209" t="str">
        <f>AQ5</f>
        <v>N</v>
      </c>
      <c r="BE12" s="209">
        <v>11</v>
      </c>
      <c r="BF12" s="209">
        <v>0</v>
      </c>
      <c r="BG12" s="209" t="str">
        <f t="shared" si="1"/>
        <v>110</v>
      </c>
      <c r="BH12" s="217" t="str">
        <f>IFERROR(VLOOKUP(pla!AS25,$BC$9:$BD$12,2,FALSE),"")</f>
        <v/>
      </c>
      <c r="BI12" s="209">
        <f>VLOOKUP(BG12,lok!C:H,5,FALSE)</f>
        <v>900</v>
      </c>
      <c r="BJ12" s="209">
        <f>VLOOKUP(BG12,lok!C:H,6,FALSE)</f>
        <v>240</v>
      </c>
      <c r="BK12" s="209" t="str">
        <f>IF(AND(VLOOKUP(BK$1,$AQ$2:$AZ$5,6,FALSE)-VLOOKUP(VLOOKUP($BK$1,$AQ$2:$AZ$5,10,FALSE),lok!$T:$Z,7,FALSE)&gt;0,VLOOKUP($BK$1,$AQ$2:$AZ$5,10,FALSE)=BE12,$BH12=BK$1),IF(BF12=3,"",IF(COUNTIFS(D:D,BE12,K:K,BF12)=0,"","o")),"")</f>
        <v/>
      </c>
      <c r="BL12" s="209" t="str">
        <f>IF(AND(VLOOKUP(BL$1,$AQ$2:$AZ$5,6,FALSE)-VLOOKUP(VLOOKUP($BL$1,$AQ$2:$AZ$5,10,FALSE),lok!$T:$Z,7,FALSE)&gt;0,VLOOKUP($BL$1,$AQ$2:$AZ$5,10,FALSE)=BE12,$BH12=BL$1),IF(BF12=3,"",IF(COUNTIFS(N:N,BE12,U:U,BF12)=0,"","o")),"")</f>
        <v/>
      </c>
      <c r="BM12" s="209" t="str">
        <f>IF(AND(VLOOKUP(BM$1,$AQ$2:$AZ$5,6,FALSE)-VLOOKUP(VLOOKUP($BM$1,$AQ$2:$AZ$5,10,FALSE),lok!$T:$Z,7,FALSE)&gt;0,VLOOKUP($BM$1,$AQ$2:$AZ$5,10,FALSE)=BE12,$BH12=BM$1),IF(BF12=3,"",IF(COUNTIFS(X:X,BE12,AE:AE,BF12)=0,"","o")),"")</f>
        <v/>
      </c>
      <c r="BN12" s="209" t="str">
        <f>IF(AND(VLOOKUP(BN$1,$AQ$2:$AZ$5,6,FALSE)-VLOOKUP(VLOOKUP($BN$1,$AQ$2:$AZ$5,10,FALSE),lok!$T:$Z,7,FALSE)&gt;0,VLOOKUP($BN$1,$AQ$2:$AZ$5,10,FALSE)=BE12,$BH12=BN$1),IF(BF12=3,"",IF(COUNTIFS(AH:AH,BE12,AO:AO,BF12)=0,"","o")),"")</f>
        <v/>
      </c>
      <c r="BO12" s="209" t="str">
        <f t="shared" si="2"/>
        <v/>
      </c>
      <c r="BP12" s="209">
        <f t="shared" si="3"/>
        <v>1</v>
      </c>
    </row>
    <row r="13" spans="2:68">
      <c r="BE13" s="209">
        <v>12</v>
      </c>
      <c r="BF13" s="209">
        <v>0</v>
      </c>
      <c r="BG13" s="209" t="str">
        <f t="shared" si="1"/>
        <v>120</v>
      </c>
      <c r="BH13" s="217" t="str">
        <f>IFERROR(VLOOKUP(pla!AY24,$BC$9:$BD$12,2,FALSE),"")</f>
        <v/>
      </c>
      <c r="BI13" s="209">
        <f>VLOOKUP(BG13,lok!C:H,5,FALSE)</f>
        <v>1500</v>
      </c>
      <c r="BJ13" s="209">
        <f>VLOOKUP(BG13,lok!C:H,6,FALSE)</f>
        <v>400</v>
      </c>
      <c r="BK13" s="209" t="str">
        <f>IF(AND(VLOOKUP(BK$1,$AQ$2:$AZ$5,6,FALSE)-VLOOKUP(VLOOKUP($BK$1,$AQ$2:$AZ$5,10,FALSE),lok!$T:$Z,7,FALSE)&gt;0,VLOOKUP($BK$1,$AQ$2:$AZ$5,10,FALSE)=BE13,$BH13=BK$1),IF(BF13=3,"",IF(COUNTIFS(D:D,BE13,K:K,BF13)=0,"","o")),"")</f>
        <v/>
      </c>
      <c r="BL13" s="209" t="str">
        <f>IF(AND(VLOOKUP(BL$1,$AQ$2:$AZ$5,6,FALSE)-VLOOKUP(VLOOKUP($BL$1,$AQ$2:$AZ$5,10,FALSE),lok!$T:$Z,7,FALSE)&gt;0,VLOOKUP($BL$1,$AQ$2:$AZ$5,10,FALSE)=BE13,$BH13=BL$1),IF(BF13=3,"",IF(COUNTIFS(N:N,BE13,U:U,BF13)=0,"","o")),"")</f>
        <v/>
      </c>
      <c r="BM13" s="209" t="str">
        <f>IF(AND(VLOOKUP(BM$1,$AQ$2:$AZ$5,6,FALSE)-VLOOKUP(VLOOKUP($BM$1,$AQ$2:$AZ$5,10,FALSE),lok!$T:$Z,7,FALSE)&gt;0,VLOOKUP($BM$1,$AQ$2:$AZ$5,10,FALSE)=BE13,$BH13=BM$1),IF(BF13=3,"",IF(COUNTIFS(X:X,BE13,AE:AE,BF13)=0,"","o")),"")</f>
        <v/>
      </c>
      <c r="BN13" s="209" t="str">
        <f>IF(AND(VLOOKUP(BN$1,$AQ$2:$AZ$5,6,FALSE)-VLOOKUP(VLOOKUP($BN$1,$AQ$2:$AZ$5,10,FALSE),lok!$T:$Z,7,FALSE)&gt;0,VLOOKUP($BN$1,$AQ$2:$AZ$5,10,FALSE)=BE13,$BH13=BN$1),IF(BF13=3,"",IF(COUNTIFS(AH:AH,BE13,AO:AO,BF13)=0,"","o")),"")</f>
        <v/>
      </c>
      <c r="BO13" s="209" t="str">
        <f t="shared" si="2"/>
        <v/>
      </c>
      <c r="BP13" s="209">
        <f t="shared" si="3"/>
        <v>1</v>
      </c>
    </row>
    <row r="14" spans="2:68">
      <c r="BE14" s="209">
        <v>13</v>
      </c>
      <c r="BF14" s="209">
        <v>0</v>
      </c>
      <c r="BG14" s="209" t="str">
        <f t="shared" si="1"/>
        <v>130</v>
      </c>
      <c r="BH14" s="217" t="str">
        <f>IFERROR(VLOOKUP(pla!AY30,$BC$9:$BD$12,2,FALSE),"")</f>
        <v/>
      </c>
      <c r="BI14" s="209">
        <f>VLOOKUP(BG14,lok!C:H,5,FALSE)</f>
        <v>2400</v>
      </c>
      <c r="BJ14" s="209">
        <f>VLOOKUP(BG14,lok!C:H,6,FALSE)</f>
        <v>640</v>
      </c>
      <c r="BK14" s="209" t="str">
        <f>IF(AND(VLOOKUP(BK$1,$AQ$2:$AZ$5,6,FALSE)-VLOOKUP(VLOOKUP($BK$1,$AQ$2:$AZ$5,10,FALSE),lok!$T:$Z,7,FALSE)&gt;0,VLOOKUP($BK$1,$AQ$2:$AZ$5,10,FALSE)=BE14,$BH14=BK$1),IF(BF14=3,"",IF(COUNTIFS(D:D,BE14,K:K,BF14)=0,"","o")),"")</f>
        <v/>
      </c>
      <c r="BL14" s="209" t="str">
        <f>IF(AND(VLOOKUP(BL$1,$AQ$2:$AZ$5,6,FALSE)-VLOOKUP(VLOOKUP($BL$1,$AQ$2:$AZ$5,10,FALSE),lok!$T:$Z,7,FALSE)&gt;0,VLOOKUP($BL$1,$AQ$2:$AZ$5,10,FALSE)=BE14,$BH14=BL$1),IF(BF14=3,"",IF(COUNTIFS(N:N,BE14,U:U,BF14)=0,"","o")),"")</f>
        <v/>
      </c>
      <c r="BM14" s="209" t="str">
        <f>IF(AND(VLOOKUP(BM$1,$AQ$2:$AZ$5,6,FALSE)-VLOOKUP(VLOOKUP($BM$1,$AQ$2:$AZ$5,10,FALSE),lok!$T:$Z,7,FALSE)&gt;0,VLOOKUP($BM$1,$AQ$2:$AZ$5,10,FALSE)=BE14,$BH14=BM$1),IF(BF14=3,"",IF(COUNTIFS(X:X,BE14,AE:AE,BF14)=0,"","o")),"")</f>
        <v/>
      </c>
      <c r="BN14" s="209" t="str">
        <f>IF(AND(VLOOKUP(BN$1,$AQ$2:$AZ$5,6,FALSE)-VLOOKUP(VLOOKUP($BN$1,$AQ$2:$AZ$5,10,FALSE),lok!$T:$Z,7,FALSE)&gt;0,VLOOKUP($BN$1,$AQ$2:$AZ$5,10,FALSE)=BE14,$BH14=BN$1),IF(BF14=3,"",IF(COUNTIFS(AH:AH,BE14,AO:AO,BF14)=0,"","o")),"")</f>
        <v/>
      </c>
      <c r="BO14" s="209" t="str">
        <f t="shared" si="2"/>
        <v/>
      </c>
      <c r="BP14" s="209">
        <f t="shared" si="3"/>
        <v>1</v>
      </c>
    </row>
    <row r="15" spans="2:68">
      <c r="BE15" s="209">
        <v>14</v>
      </c>
      <c r="BG15" s="209" t="str">
        <f t="shared" si="1"/>
        <v>14</v>
      </c>
      <c r="BH15" s="217" t="s">
        <v>246</v>
      </c>
      <c r="BI15" s="217"/>
      <c r="BJ15" s="217"/>
    </row>
    <row r="16" spans="2:68">
      <c r="BE16" s="209">
        <v>15</v>
      </c>
      <c r="BF16" s="209">
        <v>0</v>
      </c>
      <c r="BG16" s="209" t="str">
        <f t="shared" si="1"/>
        <v>150</v>
      </c>
      <c r="BH16" s="217" t="str">
        <f>IFERROR(VLOOKUP(pla!BG23,$BC$9:$BD$12,2,FALSE),"")</f>
        <v/>
      </c>
      <c r="BI16" s="209">
        <f>VLOOKUP(BG16,lok!C:H,5,FALSE)</f>
        <v>900</v>
      </c>
      <c r="BJ16" s="209">
        <f>VLOOKUP(BG16,lok!C:H,6,FALSE)</f>
        <v>240</v>
      </c>
      <c r="BK16" s="209" t="str">
        <f>IF(AND(VLOOKUP(BK$1,$AQ$2:$AZ$5,6,FALSE)-VLOOKUP(VLOOKUP($BK$1,$AQ$2:$AZ$5,10,FALSE),lok!$T:$Z,7,FALSE)&gt;0,VLOOKUP($BK$1,$AQ$2:$AZ$5,10,FALSE)=BE16,$BH16=BK$1),IF(BF16=3,"",IF(COUNTIFS(D:D,BE16,K:K,BF16)=0,"","o")),"")</f>
        <v/>
      </c>
      <c r="BL16" s="209" t="str">
        <f>IF(AND(VLOOKUP(BL$1,$AQ$2:$AZ$5,6,FALSE)-VLOOKUP(VLOOKUP($BL$1,$AQ$2:$AZ$5,10,FALSE),lok!$T:$Z,7,FALSE)&gt;0,VLOOKUP($BL$1,$AQ$2:$AZ$5,10,FALSE)=BE16,$BH16=BL$1),IF(BF16=3,"",IF(COUNTIFS(N:N,BE16,U:U,BF16)=0,"","o")),"")</f>
        <v/>
      </c>
      <c r="BM16" s="209" t="str">
        <f>IF(AND(VLOOKUP(BM$1,$AQ$2:$AZ$5,6,FALSE)-VLOOKUP(VLOOKUP($BM$1,$AQ$2:$AZ$5,10,FALSE),lok!$T:$Z,7,FALSE)&gt;0,VLOOKUP($BM$1,$AQ$2:$AZ$5,10,FALSE)=BE16,$BH16=BM$1),IF(BF16=3,"",IF(COUNTIFS(X:X,BE16,AE:AE,BF16)=0,"","o")),"")</f>
        <v/>
      </c>
      <c r="BN16" s="209" t="str">
        <f>IF(AND(VLOOKUP(BN$1,$AQ$2:$AZ$5,6,FALSE)-VLOOKUP(VLOOKUP($BN$1,$AQ$2:$AZ$5,10,FALSE),lok!$T:$Z,7,FALSE)&gt;0,VLOOKUP($BN$1,$AQ$2:$AZ$5,10,FALSE)=BE16,$BH16=BN$1),IF(BF16=3,"",IF(COUNTIFS(AH:AH,BE16,AO:AO,BF16)=0,"","o")),"")</f>
        <v/>
      </c>
      <c r="BO16" s="209" t="str">
        <f t="shared" ref="BO16:BO17" si="7">IF(COUNTIF(BK16:BN16,"o")&gt;0,"o","")</f>
        <v/>
      </c>
      <c r="BP16" s="209">
        <f t="shared" ref="BP16:BP17" si="8">IF(BF16+1&gt;3,3,BF16+1)</f>
        <v>1</v>
      </c>
    </row>
    <row r="17" spans="57:68">
      <c r="BE17" s="209">
        <v>16</v>
      </c>
      <c r="BF17" s="209">
        <v>0</v>
      </c>
      <c r="BG17" s="209" t="str">
        <f t="shared" si="1"/>
        <v>160</v>
      </c>
      <c r="BH17" s="217" t="str">
        <f>IFERROR(VLOOKUP(pla!BI17,$BC$9:$BD$12,2,FALSE),"")</f>
        <v/>
      </c>
      <c r="BI17" s="209">
        <f>VLOOKUP(BG17,lok!C:H,5,FALSE)</f>
        <v>1200</v>
      </c>
      <c r="BJ17" s="209">
        <f>VLOOKUP(BG17,lok!C:H,6,FALSE)</f>
        <v>320</v>
      </c>
      <c r="BK17" s="209" t="str">
        <f>IF(AND(VLOOKUP(BK$1,$AQ$2:$AZ$5,6,FALSE)-VLOOKUP(VLOOKUP($BK$1,$AQ$2:$AZ$5,10,FALSE),lok!$T:$Z,7,FALSE)&gt;0,VLOOKUP($BK$1,$AQ$2:$AZ$5,10,FALSE)=BE17,$BH17=BK$1),IF(BF17=3,"",IF(COUNTIFS(D:D,BE17,K:K,BF17)=0,"","o")),"")</f>
        <v/>
      </c>
      <c r="BL17" s="209" t="str">
        <f>IF(AND(VLOOKUP(BL$1,$AQ$2:$AZ$5,6,FALSE)-VLOOKUP(VLOOKUP($BL$1,$AQ$2:$AZ$5,10,FALSE),lok!$T:$Z,7,FALSE)&gt;0,VLOOKUP($BL$1,$AQ$2:$AZ$5,10,FALSE)=BE17,$BH17=BL$1),IF(BF17=3,"",IF(COUNTIFS(N:N,BE17,U:U,BF17)=0,"","o")),"")</f>
        <v/>
      </c>
      <c r="BM17" s="209" t="str">
        <f>IF(AND(VLOOKUP(BM$1,$AQ$2:$AZ$5,6,FALSE)-VLOOKUP(VLOOKUP($BM$1,$AQ$2:$AZ$5,10,FALSE),lok!$T:$Z,7,FALSE)&gt;0,VLOOKUP($BM$1,$AQ$2:$AZ$5,10,FALSE)=BE17,$BH17=BM$1),IF(BF17=3,"",IF(COUNTIFS(X:X,BE17,AE:AE,BF17)=0,"","o")),"")</f>
        <v/>
      </c>
      <c r="BN17" s="209" t="str">
        <f>IF(AND(VLOOKUP(BN$1,$AQ$2:$AZ$5,6,FALSE)-VLOOKUP(VLOOKUP($BN$1,$AQ$2:$AZ$5,10,FALSE),lok!$T:$Z,7,FALSE)&gt;0,VLOOKUP($BN$1,$AQ$2:$AZ$5,10,FALSE)=BE17,$BH17=BN$1),IF(BF17=3,"",IF(COUNTIFS(AH:AH,BE17,AO:AO,BF17)=0,"","o")),"")</f>
        <v/>
      </c>
      <c r="BO17" s="209" t="str">
        <f t="shared" si="7"/>
        <v/>
      </c>
      <c r="BP17" s="209">
        <f t="shared" si="8"/>
        <v>1</v>
      </c>
    </row>
    <row r="18" spans="57:68">
      <c r="BE18" s="209">
        <v>17</v>
      </c>
      <c r="BG18" s="209" t="str">
        <f t="shared" si="1"/>
        <v>17</v>
      </c>
      <c r="BH18" s="217" t="s">
        <v>246</v>
      </c>
      <c r="BI18" s="217"/>
      <c r="BJ18" s="217"/>
    </row>
    <row r="19" spans="57:68">
      <c r="BE19" s="209">
        <v>18</v>
      </c>
      <c r="BF19" s="209">
        <v>0</v>
      </c>
      <c r="BG19" s="209" t="str">
        <f t="shared" si="1"/>
        <v>180</v>
      </c>
      <c r="BH19" s="217" t="str">
        <f>IFERROR(VLOOKUP(pla!BQ16,$BC$9:$BD$12,2,FALSE),"")</f>
        <v/>
      </c>
      <c r="BI19" s="209">
        <f>VLOOKUP(BG19,lok!C:H,5,FALSE)</f>
        <v>1500</v>
      </c>
      <c r="BJ19" s="209">
        <f>VLOOKUP(BG19,lok!C:H,6,FALSE)</f>
        <v>400</v>
      </c>
      <c r="BK19" s="209" t="str">
        <f>IF(AND(VLOOKUP(BK$1,$AQ$2:$AZ$5,6,FALSE)-VLOOKUP(VLOOKUP($BK$1,$AQ$2:$AZ$5,10,FALSE),lok!$T:$Z,7,FALSE)&gt;0,VLOOKUP($BK$1,$AQ$2:$AZ$5,10,FALSE)=BE19,$BH19=BK$1),IF(BF19=3,"",IF(COUNTIFS(D:D,BE19,K:K,BF19)=0,"","o")),"")</f>
        <v/>
      </c>
      <c r="BL19" s="209" t="str">
        <f>IF(AND(VLOOKUP(BL$1,$AQ$2:$AZ$5,6,FALSE)-VLOOKUP(VLOOKUP($BL$1,$AQ$2:$AZ$5,10,FALSE),lok!$T:$Z,7,FALSE)&gt;0,VLOOKUP($BL$1,$AQ$2:$AZ$5,10,FALSE)=BE19,$BH19=BL$1),IF(BF19=3,"",IF(COUNTIFS(N:N,BE19,U:U,BF19)=0,"","o")),"")</f>
        <v/>
      </c>
      <c r="BM19" s="209" t="str">
        <f>IF(AND(VLOOKUP(BM$1,$AQ$2:$AZ$5,6,FALSE)-VLOOKUP(VLOOKUP($BM$1,$AQ$2:$AZ$5,10,FALSE),lok!$T:$Z,7,FALSE)&gt;0,VLOOKUP($BM$1,$AQ$2:$AZ$5,10,FALSE)=BE19,$BH19=BM$1),IF(BF19=3,"",IF(COUNTIFS(X:X,BE19,AE:AE,BF19)=0,"","o")),"")</f>
        <v/>
      </c>
      <c r="BN19" s="209" t="str">
        <f>IF(AND(VLOOKUP(BN$1,$AQ$2:$AZ$5,6,FALSE)-VLOOKUP(VLOOKUP($BN$1,$AQ$2:$AZ$5,10,FALSE),lok!$T:$Z,7,FALSE)&gt;0,VLOOKUP($BN$1,$AQ$2:$AZ$5,10,FALSE)=BE19,$BH19=BN$1),IF(BF19=3,"",IF(COUNTIFS(AH:AH,BE19,AO:AO,BF19)=0,"","o")),"")</f>
        <v/>
      </c>
      <c r="BO19" s="209" t="str">
        <f t="shared" ref="BO19:BO31" si="9">IF(COUNTIF(BK19:BN19,"o")&gt;0,"o","")</f>
        <v/>
      </c>
      <c r="BP19" s="209">
        <f t="shared" ref="BP19:BP31" si="10">IF(BF19+1&gt;3,3,BF19+1)</f>
        <v>1</v>
      </c>
    </row>
    <row r="20" spans="57:68">
      <c r="BE20" s="209">
        <v>19</v>
      </c>
      <c r="BF20" s="209">
        <v>0</v>
      </c>
      <c r="BG20" s="209" t="str">
        <f t="shared" si="1"/>
        <v>190</v>
      </c>
      <c r="BH20" s="217" t="str">
        <f>IFERROR(VLOOKUP(pla!BZ10,$BC$9:$BD$12,2,FALSE),"")</f>
        <v/>
      </c>
      <c r="BI20" s="209">
        <f>VLOOKUP(BG20,lok!C:H,5,FALSE)</f>
        <v>2700</v>
      </c>
      <c r="BJ20" s="209">
        <f>VLOOKUP(BG20,lok!C:H,6,FALSE)</f>
        <v>720</v>
      </c>
      <c r="BK20" s="209" t="str">
        <f>IF(AND(VLOOKUP(BK$1,$AQ$2:$AZ$5,6,FALSE)-VLOOKUP(VLOOKUP($BK$1,$AQ$2:$AZ$5,10,FALSE),lok!$T:$Z,7,FALSE)&gt;0,VLOOKUP($BK$1,$AQ$2:$AZ$5,10,FALSE)=BE20,$BH20=BK$1),IF(BF20=3,"",IF(COUNTIFS(D:D,BE20,K:K,BF20)=0,"","o")),"")</f>
        <v/>
      </c>
      <c r="BL20" s="209" t="str">
        <f>IF(AND(VLOOKUP(BL$1,$AQ$2:$AZ$5,6,FALSE)-VLOOKUP(VLOOKUP($BL$1,$AQ$2:$AZ$5,10,FALSE),lok!$T:$Z,7,FALSE)&gt;0,VLOOKUP($BL$1,$AQ$2:$AZ$5,10,FALSE)=BE20,$BH20=BL$1),IF(BF20=3,"",IF(COUNTIFS(N:N,BE20,U:U,BF20)=0,"","o")),"")</f>
        <v/>
      </c>
      <c r="BM20" s="209" t="str">
        <f>IF(AND(VLOOKUP(BM$1,$AQ$2:$AZ$5,6,FALSE)-VLOOKUP(VLOOKUP($BM$1,$AQ$2:$AZ$5,10,FALSE),lok!$T:$Z,7,FALSE)&gt;0,VLOOKUP($BM$1,$AQ$2:$AZ$5,10,FALSE)=BE20,$BH20=BM$1),IF(BF20=3,"",IF(COUNTIFS(X:X,BE20,AE:AE,BF20)=0,"","o")),"")</f>
        <v/>
      </c>
      <c r="BN20" s="209" t="str">
        <f>IF(AND(VLOOKUP(BN$1,$AQ$2:$AZ$5,6,FALSE)-VLOOKUP(VLOOKUP($BN$1,$AQ$2:$AZ$5,10,FALSE),lok!$T:$Z,7,FALSE)&gt;0,VLOOKUP($BN$1,$AQ$2:$AZ$5,10,FALSE)=BE20,$BH20=BN$1),IF(BF20=3,"",IF(COUNTIFS(AH:AH,BE20,AO:AO,BF20)=0,"","o")),"")</f>
        <v/>
      </c>
      <c r="BO20" s="209" t="str">
        <f t="shared" si="9"/>
        <v/>
      </c>
      <c r="BP20" s="209">
        <f t="shared" si="10"/>
        <v>1</v>
      </c>
    </row>
    <row r="21" spans="57:68">
      <c r="BE21" s="209">
        <v>20</v>
      </c>
      <c r="BF21" s="209">
        <v>0</v>
      </c>
      <c r="BG21" s="209" t="str">
        <f t="shared" si="1"/>
        <v>200</v>
      </c>
      <c r="BH21" s="217" t="str">
        <f>IFERROR(VLOOKUP(pla!CE16,$BC$9:$BD$12,2,FALSE),"")</f>
        <v/>
      </c>
      <c r="BI21" s="209">
        <f>VLOOKUP(BG21,lok!C:H,5,FALSE)</f>
        <v>1500</v>
      </c>
      <c r="BJ21" s="209">
        <f>VLOOKUP(BG21,lok!C:H,6,FALSE)</f>
        <v>400</v>
      </c>
      <c r="BK21" s="209" t="str">
        <f>IF(AND(VLOOKUP(BK$1,$AQ$2:$AZ$5,6,FALSE)-VLOOKUP(VLOOKUP($BK$1,$AQ$2:$AZ$5,10,FALSE),lok!$T:$Z,7,FALSE)&gt;0,VLOOKUP($BK$1,$AQ$2:$AZ$5,10,FALSE)=BE21,$BH21=BK$1),IF(BF21=3,"",IF(COUNTIFS(D:D,BE21,K:K,BF21)=0,"","o")),"")</f>
        <v/>
      </c>
      <c r="BL21" s="209" t="str">
        <f>IF(AND(VLOOKUP(BL$1,$AQ$2:$AZ$5,6,FALSE)-VLOOKUP(VLOOKUP($BL$1,$AQ$2:$AZ$5,10,FALSE),lok!$T:$Z,7,FALSE)&gt;0,VLOOKUP($BL$1,$AQ$2:$AZ$5,10,FALSE)=BE21,$BH21=BL$1),IF(BF21=3,"",IF(COUNTIFS(N:N,BE21,U:U,BF21)=0,"","o")),"")</f>
        <v/>
      </c>
      <c r="BM21" s="209" t="str">
        <f>IF(AND(VLOOKUP(BM$1,$AQ$2:$AZ$5,6,FALSE)-VLOOKUP(VLOOKUP($BM$1,$AQ$2:$AZ$5,10,FALSE),lok!$T:$Z,7,FALSE)&gt;0,VLOOKUP($BM$1,$AQ$2:$AZ$5,10,FALSE)=BE21,$BH21=BM$1),IF(BF21=3,"",IF(COUNTIFS(X:X,BE21,AE:AE,BF21)=0,"","o")),"")</f>
        <v/>
      </c>
      <c r="BN21" s="209" t="str">
        <f>IF(AND(VLOOKUP(BN$1,$AQ$2:$AZ$5,6,FALSE)-VLOOKUP(VLOOKUP($BN$1,$AQ$2:$AZ$5,10,FALSE),lok!$T:$Z,7,FALSE)&gt;0,VLOOKUP($BN$1,$AQ$2:$AZ$5,10,FALSE)=BE21,$BH21=BN$1),IF(BF21=3,"",IF(COUNTIFS(AH:AH,BE21,AO:AO,BF21)=0,"","o")),"")</f>
        <v/>
      </c>
      <c r="BO21" s="209" t="str">
        <f t="shared" si="9"/>
        <v/>
      </c>
      <c r="BP21" s="209">
        <f t="shared" si="10"/>
        <v>1</v>
      </c>
    </row>
    <row r="22" spans="57:68">
      <c r="BE22" s="209">
        <v>21</v>
      </c>
      <c r="BF22" s="209">
        <v>0</v>
      </c>
      <c r="BG22" s="209" t="str">
        <f t="shared" si="1"/>
        <v>210</v>
      </c>
      <c r="BH22" s="217" t="str">
        <f>IFERROR(VLOOKUP(pla!BW19,$BC$9:$BD$12,2,FALSE),"")</f>
        <v/>
      </c>
      <c r="BI22" s="209">
        <f>VLOOKUP(BG22,lok!C:H,5,FALSE)</f>
        <v>1800</v>
      </c>
      <c r="BJ22" s="209">
        <f>VLOOKUP(BG22,lok!C:H,6,FALSE)</f>
        <v>480</v>
      </c>
      <c r="BK22" s="209" t="str">
        <f>IF(AND(VLOOKUP(BK$1,$AQ$2:$AZ$5,6,FALSE)-VLOOKUP(VLOOKUP($BK$1,$AQ$2:$AZ$5,10,FALSE),lok!$T:$Z,7,FALSE)&gt;0,VLOOKUP($BK$1,$AQ$2:$AZ$5,10,FALSE)=BE22,$BH22=BK$1),IF(BF22=3,"",IF(COUNTIFS(D:D,BE22,K:K,BF22)=0,"","o")),"")</f>
        <v/>
      </c>
      <c r="BL22" s="209" t="str">
        <f>IF(AND(VLOOKUP(BL$1,$AQ$2:$AZ$5,6,FALSE)-VLOOKUP(VLOOKUP($BL$1,$AQ$2:$AZ$5,10,FALSE),lok!$T:$Z,7,FALSE)&gt;0,VLOOKUP($BL$1,$AQ$2:$AZ$5,10,FALSE)=BE22,$BH22=BL$1),IF(BF22=3,"",IF(COUNTIFS(N:N,BE22,U:U,BF22)=0,"","o")),"")</f>
        <v/>
      </c>
      <c r="BM22" s="209" t="str">
        <f>IF(AND(VLOOKUP(BM$1,$AQ$2:$AZ$5,6,FALSE)-VLOOKUP(VLOOKUP($BM$1,$AQ$2:$AZ$5,10,FALSE),lok!$T:$Z,7,FALSE)&gt;0,VLOOKUP($BM$1,$AQ$2:$AZ$5,10,FALSE)=BE22,$BH22=BM$1),IF(BF22=3,"",IF(COUNTIFS(X:X,BE22,AE:AE,BF22)=0,"","o")),"")</f>
        <v/>
      </c>
      <c r="BN22" s="209" t="str">
        <f>IF(AND(VLOOKUP(BN$1,$AQ$2:$AZ$5,6,FALSE)-VLOOKUP(VLOOKUP($BN$1,$AQ$2:$AZ$5,10,FALSE),lok!$T:$Z,7,FALSE)&gt;0,VLOOKUP($BN$1,$AQ$2:$AZ$5,10,FALSE)=BE22,$BH22=BN$1),IF(BF22=3,"",IF(COUNTIFS(AH:AH,BE22,AO:AO,BF22)=0,"","o")),"")</f>
        <v/>
      </c>
      <c r="BO22" s="209" t="str">
        <f t="shared" si="9"/>
        <v/>
      </c>
      <c r="BP22" s="209">
        <f t="shared" si="10"/>
        <v>1</v>
      </c>
    </row>
    <row r="23" spans="57:68">
      <c r="BE23" s="209">
        <v>22</v>
      </c>
      <c r="BF23" s="209">
        <v>0</v>
      </c>
      <c r="BG23" s="209" t="str">
        <f t="shared" si="1"/>
        <v>220</v>
      </c>
      <c r="BH23" s="217" t="str">
        <f>IFERROR(VLOOKUP(pla!CC22,$BC$9:$BD$12,2,FALSE),"")</f>
        <v/>
      </c>
      <c r="BI23" s="209">
        <f>VLOOKUP(BG23,lok!C:H,5,FALSE)</f>
        <v>1200</v>
      </c>
      <c r="BJ23" s="209">
        <f>VLOOKUP(BG23,lok!C:H,6,FALSE)</f>
        <v>320</v>
      </c>
      <c r="BK23" s="209" t="str">
        <f>IF(AND(VLOOKUP(BK$1,$AQ$2:$AZ$5,6,FALSE)-VLOOKUP(VLOOKUP($BK$1,$AQ$2:$AZ$5,10,FALSE),lok!$T:$Z,7,FALSE)&gt;0,VLOOKUP($BK$1,$AQ$2:$AZ$5,10,FALSE)=BE23,$BH23=BK$1),IF(BF23=3,"",IF(COUNTIFS(D:D,BE23,K:K,BF23)=0,"","o")),"")</f>
        <v/>
      </c>
      <c r="BL23" s="209" t="str">
        <f>IF(AND(VLOOKUP(BL$1,$AQ$2:$AZ$5,6,FALSE)-VLOOKUP(VLOOKUP($BL$1,$AQ$2:$AZ$5,10,FALSE),lok!$T:$Z,7,FALSE)&gt;0,VLOOKUP($BL$1,$AQ$2:$AZ$5,10,FALSE)=BE23,$BH23=BL$1),IF(BF23=3,"",IF(COUNTIFS(N:N,BE23,U:U,BF23)=0,"","o")),"")</f>
        <v/>
      </c>
      <c r="BM23" s="209" t="str">
        <f>IF(AND(VLOOKUP(BM$1,$AQ$2:$AZ$5,6,FALSE)-VLOOKUP(VLOOKUP($BM$1,$AQ$2:$AZ$5,10,FALSE),lok!$T:$Z,7,FALSE)&gt;0,VLOOKUP($BM$1,$AQ$2:$AZ$5,10,FALSE)=BE23,$BH23=BM$1),IF(BF23=3,"",IF(COUNTIFS(X:X,BE23,AE:AE,BF23)=0,"","o")),"")</f>
        <v/>
      </c>
      <c r="BN23" s="209" t="str">
        <f>IF(AND(VLOOKUP(BN$1,$AQ$2:$AZ$5,6,FALSE)-VLOOKUP(VLOOKUP($BN$1,$AQ$2:$AZ$5,10,FALSE),lok!$T:$Z,7,FALSE)&gt;0,VLOOKUP($BN$1,$AQ$2:$AZ$5,10,FALSE)=BE23,$BH23=BN$1),IF(BF23=3,"",IF(COUNTIFS(AH:AH,BE23,AO:AO,BF23)=0,"","o")),"")</f>
        <v/>
      </c>
      <c r="BO23" s="209" t="str">
        <f t="shared" si="9"/>
        <v/>
      </c>
      <c r="BP23" s="209">
        <f t="shared" si="10"/>
        <v>1</v>
      </c>
    </row>
    <row r="24" spans="57:68">
      <c r="BE24" s="209">
        <v>23</v>
      </c>
      <c r="BF24" s="209">
        <v>0</v>
      </c>
      <c r="BG24" s="209" t="str">
        <f t="shared" si="1"/>
        <v>230</v>
      </c>
      <c r="BH24" s="217" t="str">
        <f>IFERROR(VLOOKUP(pla!BY35,$BC$9:$BD$12,2,FALSE),"")</f>
        <v/>
      </c>
      <c r="BI24" s="209">
        <f>VLOOKUP(BG24,lok!C:H,5,FALSE)</f>
        <v>1800</v>
      </c>
      <c r="BJ24" s="209">
        <f>VLOOKUP(BG24,lok!C:H,6,FALSE)</f>
        <v>480</v>
      </c>
      <c r="BK24" s="209" t="str">
        <f>IF(AND(VLOOKUP(BK$1,$AQ$2:$AZ$5,6,FALSE)-VLOOKUP(VLOOKUP($BK$1,$AQ$2:$AZ$5,10,FALSE),lok!$T:$Z,7,FALSE)&gt;0,VLOOKUP($BK$1,$AQ$2:$AZ$5,10,FALSE)=BE24,$BH24=BK$1),IF(BF24=3,"",IF(COUNTIFS(D:D,BE24,K:K,BF24)=0,"","o")),"")</f>
        <v/>
      </c>
      <c r="BL24" s="209" t="str">
        <f>IF(AND(VLOOKUP(BL$1,$AQ$2:$AZ$5,6,FALSE)-VLOOKUP(VLOOKUP($BL$1,$AQ$2:$AZ$5,10,FALSE),lok!$T:$Z,7,FALSE)&gt;0,VLOOKUP($BL$1,$AQ$2:$AZ$5,10,FALSE)=BE24,$BH24=BL$1),IF(BF24=3,"",IF(COUNTIFS(N:N,BE24,U:U,BF24)=0,"","o")),"")</f>
        <v/>
      </c>
      <c r="BM24" s="209" t="str">
        <f>IF(AND(VLOOKUP(BM$1,$AQ$2:$AZ$5,6,FALSE)-VLOOKUP(VLOOKUP($BM$1,$AQ$2:$AZ$5,10,FALSE),lok!$T:$Z,7,FALSE)&gt;0,VLOOKUP($BM$1,$AQ$2:$AZ$5,10,FALSE)=BE24,$BH24=BM$1),IF(BF24=3,"",IF(COUNTIFS(X:X,BE24,AE:AE,BF24)=0,"","o")),"")</f>
        <v/>
      </c>
      <c r="BN24" s="209" t="str">
        <f>IF(AND(VLOOKUP(BN$1,$AQ$2:$AZ$5,6,FALSE)-VLOOKUP(VLOOKUP($BN$1,$AQ$2:$AZ$5,10,FALSE),lok!$T:$Z,7,FALSE)&gt;0,VLOOKUP($BN$1,$AQ$2:$AZ$5,10,FALSE)=BE24,$BH24=BN$1),IF(BF24=3,"",IF(COUNTIFS(AH:AH,BE24,AO:AO,BF24)=0,"","o")),"")</f>
        <v/>
      </c>
      <c r="BO24" s="209" t="str">
        <f t="shared" si="9"/>
        <v/>
      </c>
      <c r="BP24" s="209">
        <f t="shared" si="10"/>
        <v>1</v>
      </c>
    </row>
    <row r="25" spans="57:68">
      <c r="BE25" s="209">
        <v>24</v>
      </c>
      <c r="BF25" s="209">
        <v>0</v>
      </c>
      <c r="BG25" s="209" t="str">
        <f t="shared" si="1"/>
        <v>240</v>
      </c>
      <c r="BH25" s="217" t="str">
        <f>IFERROR(VLOOKUP(pla!BQ36,$BC$9:$BD$12,2,FALSE),"")</f>
        <v/>
      </c>
      <c r="BI25" s="209">
        <f>VLOOKUP(BG25,lok!C:H,5,FALSE)</f>
        <v>2400</v>
      </c>
      <c r="BJ25" s="209">
        <f>VLOOKUP(BG25,lok!C:H,6,FALSE)</f>
        <v>640</v>
      </c>
      <c r="BK25" s="209" t="str">
        <f>IF(AND(VLOOKUP(BK$1,$AQ$2:$AZ$5,6,FALSE)-VLOOKUP(VLOOKUP($BK$1,$AQ$2:$AZ$5,10,FALSE),lok!$T:$Z,7,FALSE)&gt;0,VLOOKUP($BK$1,$AQ$2:$AZ$5,10,FALSE)=BE25,$BH25=BK$1),IF(BF25=3,"",IF(COUNTIFS(D:D,BE25,K:K,BF25)=0,"","o")),"")</f>
        <v/>
      </c>
      <c r="BL25" s="209" t="str">
        <f>IF(AND(VLOOKUP(BL$1,$AQ$2:$AZ$5,6,FALSE)-VLOOKUP(VLOOKUP($BL$1,$AQ$2:$AZ$5,10,FALSE),lok!$T:$Z,7,FALSE)&gt;0,VLOOKUP($BL$1,$AQ$2:$AZ$5,10,FALSE)=BE25,$BH25=BL$1),IF(BF25=3,"",IF(COUNTIFS(N:N,BE25,U:U,BF25)=0,"","o")),"")</f>
        <v/>
      </c>
      <c r="BM25" s="209" t="str">
        <f>IF(AND(VLOOKUP(BM$1,$AQ$2:$AZ$5,6,FALSE)-VLOOKUP(VLOOKUP($BM$1,$AQ$2:$AZ$5,10,FALSE),lok!$T:$Z,7,FALSE)&gt;0,VLOOKUP($BM$1,$AQ$2:$AZ$5,10,FALSE)=BE25,$BH25=BM$1),IF(BF25=3,"",IF(COUNTIFS(X:X,BE25,AE:AE,BF25)=0,"","o")),"")</f>
        <v/>
      </c>
      <c r="BN25" s="209" t="str">
        <f>IF(AND(VLOOKUP(BN$1,$AQ$2:$AZ$5,6,FALSE)-VLOOKUP(VLOOKUP($BN$1,$AQ$2:$AZ$5,10,FALSE),lok!$T:$Z,7,FALSE)&gt;0,VLOOKUP($BN$1,$AQ$2:$AZ$5,10,FALSE)=BE25,$BH25=BN$1),IF(BF25=3,"",IF(COUNTIFS(AH:AH,BE25,AO:AO,BF25)=0,"","o")),"")</f>
        <v/>
      </c>
      <c r="BO25" s="209" t="str">
        <f t="shared" si="9"/>
        <v/>
      </c>
      <c r="BP25" s="209">
        <f t="shared" si="10"/>
        <v>1</v>
      </c>
    </row>
    <row r="26" spans="57:68">
      <c r="BE26" s="209">
        <v>25</v>
      </c>
      <c r="BF26" s="209">
        <v>0</v>
      </c>
      <c r="BG26" s="209" t="str">
        <f t="shared" si="1"/>
        <v>250</v>
      </c>
      <c r="BH26" s="217" t="str">
        <f>IFERROR(VLOOKUP(pla!BI37,$BC$9:$BD$12,2,FALSE),"")</f>
        <v/>
      </c>
      <c r="BI26" s="209">
        <f>VLOOKUP(BG26,lok!C:H,5,FALSE)</f>
        <v>2400</v>
      </c>
      <c r="BJ26" s="209">
        <f>VLOOKUP(BG26,lok!C:H,6,FALSE)</f>
        <v>640</v>
      </c>
      <c r="BK26" s="209" t="str">
        <f>IF(AND(VLOOKUP(BK$1,$AQ$2:$AZ$5,6,FALSE)-VLOOKUP(VLOOKUP($BK$1,$AQ$2:$AZ$5,10,FALSE),lok!$T:$Z,7,FALSE)&gt;0,VLOOKUP($BK$1,$AQ$2:$AZ$5,10,FALSE)=BE26,$BH26=BK$1),IF(BF26=3,"",IF(COUNTIFS(D:D,BE26,K:K,BF26)=0,"","o")),"")</f>
        <v/>
      </c>
      <c r="BL26" s="209" t="str">
        <f>IF(AND(VLOOKUP(BL$1,$AQ$2:$AZ$5,6,FALSE)-VLOOKUP(VLOOKUP($BL$1,$AQ$2:$AZ$5,10,FALSE),lok!$T:$Z,7,FALSE)&gt;0,VLOOKUP($BL$1,$AQ$2:$AZ$5,10,FALSE)=BE26,$BH26=BL$1),IF(BF26=3,"",IF(COUNTIFS(N:N,BE26,U:U,BF26)=0,"","o")),"")</f>
        <v/>
      </c>
      <c r="BM26" s="209" t="str">
        <f>IF(AND(VLOOKUP(BM$1,$AQ$2:$AZ$5,6,FALSE)-VLOOKUP(VLOOKUP($BM$1,$AQ$2:$AZ$5,10,FALSE),lok!$T:$Z,7,FALSE)&gt;0,VLOOKUP($BM$1,$AQ$2:$AZ$5,10,FALSE)=BE26,$BH26=BM$1),IF(BF26=3,"",IF(COUNTIFS(X:X,BE26,AE:AE,BF26)=0,"","o")),"")</f>
        <v/>
      </c>
      <c r="BN26" s="209" t="str">
        <f>IF(AND(VLOOKUP(BN$1,$AQ$2:$AZ$5,6,FALSE)-VLOOKUP(VLOOKUP($BN$1,$AQ$2:$AZ$5,10,FALSE),lok!$T:$Z,7,FALSE)&gt;0,VLOOKUP($BN$1,$AQ$2:$AZ$5,10,FALSE)=BE26,$BH26=BN$1),IF(BF26=3,"",IF(COUNTIFS(AH:AH,BE26,AO:AO,BF26)=0,"","o")),"")</f>
        <v/>
      </c>
      <c r="BO26" s="209" t="str">
        <f t="shared" si="9"/>
        <v/>
      </c>
      <c r="BP26" s="209">
        <f t="shared" si="10"/>
        <v>1</v>
      </c>
    </row>
    <row r="27" spans="57:68">
      <c r="BE27" s="209">
        <v>26</v>
      </c>
      <c r="BF27" s="209">
        <v>0</v>
      </c>
      <c r="BG27" s="209" t="str">
        <f t="shared" si="1"/>
        <v>260</v>
      </c>
      <c r="BH27" s="217" t="str">
        <f>IFERROR(VLOOKUP(pla!BN43,$BC$9:$BD$12,2,FALSE),"")</f>
        <v/>
      </c>
      <c r="BI27" s="209">
        <f>VLOOKUP(BG27,lok!C:H,5,FALSE)</f>
        <v>3000</v>
      </c>
      <c r="BJ27" s="209">
        <f>VLOOKUP(BG27,lok!C:H,6,FALSE)</f>
        <v>800</v>
      </c>
      <c r="BK27" s="209" t="str">
        <f>IF(AND(VLOOKUP(BK$1,$AQ$2:$AZ$5,6,FALSE)-VLOOKUP(VLOOKUP($BK$1,$AQ$2:$AZ$5,10,FALSE),lok!$T:$Z,7,FALSE)&gt;0,VLOOKUP($BK$1,$AQ$2:$AZ$5,10,FALSE)=BE27,$BH27=BK$1),IF(BF27=3,"",IF(COUNTIFS(D:D,BE27,K:K,BF27)=0,"","o")),"")</f>
        <v/>
      </c>
      <c r="BL27" s="209" t="str">
        <f>IF(AND(VLOOKUP(BL$1,$AQ$2:$AZ$5,6,FALSE)-VLOOKUP(VLOOKUP($BL$1,$AQ$2:$AZ$5,10,FALSE),lok!$T:$Z,7,FALSE)&gt;0,VLOOKUP($BL$1,$AQ$2:$AZ$5,10,FALSE)=BE27,$BH27=BL$1),IF(BF27=3,"",IF(COUNTIFS(N:N,BE27,U:U,BF27)=0,"","o")),"")</f>
        <v/>
      </c>
      <c r="BM27" s="209" t="str">
        <f>IF(AND(VLOOKUP(BM$1,$AQ$2:$AZ$5,6,FALSE)-VLOOKUP(VLOOKUP($BM$1,$AQ$2:$AZ$5,10,FALSE),lok!$T:$Z,7,FALSE)&gt;0,VLOOKUP($BM$1,$AQ$2:$AZ$5,10,FALSE)=BE27,$BH27=BM$1),IF(BF27=3,"",IF(COUNTIFS(X:X,BE27,AE:AE,BF27)=0,"","o")),"")</f>
        <v/>
      </c>
      <c r="BN27" s="209" t="str">
        <f>IF(AND(VLOOKUP(BN$1,$AQ$2:$AZ$5,6,FALSE)-VLOOKUP(VLOOKUP($BN$1,$AQ$2:$AZ$5,10,FALSE),lok!$T:$Z,7,FALSE)&gt;0,VLOOKUP($BN$1,$AQ$2:$AZ$5,10,FALSE)=BE27,$BH27=BN$1),IF(BF27=3,"",IF(COUNTIFS(AH:AH,BE27,AO:AO,BF27)=0,"","o")),"")</f>
        <v/>
      </c>
      <c r="BO27" s="209" t="str">
        <f t="shared" si="9"/>
        <v/>
      </c>
      <c r="BP27" s="209">
        <f t="shared" si="10"/>
        <v>1</v>
      </c>
    </row>
    <row r="28" spans="57:68">
      <c r="BE28" s="209">
        <v>27</v>
      </c>
      <c r="BF28" s="209">
        <v>0</v>
      </c>
      <c r="BG28" s="209" t="str">
        <f t="shared" si="1"/>
        <v>270</v>
      </c>
      <c r="BH28" s="217" t="str">
        <f>IFERROR(VLOOKUP(pla!BG47,$BC$9:$BD$12,2,FALSE),"")</f>
        <v/>
      </c>
      <c r="BI28" s="209">
        <f>VLOOKUP(BG28,lok!C:H,5,FALSE)</f>
        <v>1800</v>
      </c>
      <c r="BJ28" s="209">
        <f>VLOOKUP(BG28,lok!C:H,6,FALSE)</f>
        <v>480</v>
      </c>
      <c r="BK28" s="209" t="str">
        <f>IF(AND(VLOOKUP(BK$1,$AQ$2:$AZ$5,6,FALSE)-VLOOKUP(VLOOKUP($BK$1,$AQ$2:$AZ$5,10,FALSE),lok!$T:$Z,7,FALSE)&gt;0,VLOOKUP($BK$1,$AQ$2:$AZ$5,10,FALSE)=BE28,$BH28=BK$1),IF(BF28=3,"",IF(COUNTIFS(D:D,BE28,K:K,BF28)=0,"","o")),"")</f>
        <v/>
      </c>
      <c r="BL28" s="209" t="str">
        <f>IF(AND(VLOOKUP(BL$1,$AQ$2:$AZ$5,6,FALSE)-VLOOKUP(VLOOKUP($BL$1,$AQ$2:$AZ$5,10,FALSE),lok!$T:$Z,7,FALSE)&gt;0,VLOOKUP($BL$1,$AQ$2:$AZ$5,10,FALSE)=BE28,$BH28=BL$1),IF(BF28=3,"",IF(COUNTIFS(N:N,BE28,U:U,BF28)=0,"","o")),"")</f>
        <v/>
      </c>
      <c r="BM28" s="209" t="str">
        <f>IF(AND(VLOOKUP(BM$1,$AQ$2:$AZ$5,6,FALSE)-VLOOKUP(VLOOKUP($BM$1,$AQ$2:$AZ$5,10,FALSE),lok!$T:$Z,7,FALSE)&gt;0,VLOOKUP($BM$1,$AQ$2:$AZ$5,10,FALSE)=BE28,$BH28=BM$1),IF(BF28=3,"",IF(COUNTIFS(X:X,BE28,AE:AE,BF28)=0,"","o")),"")</f>
        <v/>
      </c>
      <c r="BN28" s="209" t="str">
        <f>IF(AND(VLOOKUP(BN$1,$AQ$2:$AZ$5,6,FALSE)-VLOOKUP(VLOOKUP($BN$1,$AQ$2:$AZ$5,10,FALSE),lok!$T:$Z,7,FALSE)&gt;0,VLOOKUP($BN$1,$AQ$2:$AZ$5,10,FALSE)=BE28,$BH28=BN$1),IF(BF28=3,"",IF(COUNTIFS(AH:AH,BE28,AO:AO,BF28)=0,"","o")),"")</f>
        <v/>
      </c>
      <c r="BO28" s="209" t="str">
        <f t="shared" si="9"/>
        <v/>
      </c>
      <c r="BP28" s="209">
        <f t="shared" si="10"/>
        <v>1</v>
      </c>
    </row>
    <row r="29" spans="57:68">
      <c r="BE29" s="209">
        <v>28</v>
      </c>
      <c r="BF29" s="209">
        <v>0</v>
      </c>
      <c r="BG29" s="209" t="str">
        <f t="shared" si="1"/>
        <v>280</v>
      </c>
      <c r="BH29" s="217" t="str">
        <f>IFERROR(VLOOKUP(pla!AT46,$BC$9:$BD$12,2,FALSE),"")</f>
        <v/>
      </c>
      <c r="BI29" s="209">
        <f>VLOOKUP(BG29,lok!C:H,5,FALSE)</f>
        <v>3600</v>
      </c>
      <c r="BJ29" s="209">
        <f>VLOOKUP(BG29,lok!C:H,6,FALSE)</f>
        <v>960</v>
      </c>
      <c r="BK29" s="209" t="str">
        <f>IF(AND(VLOOKUP(BK$1,$AQ$2:$AZ$5,6,FALSE)-VLOOKUP(VLOOKUP($BK$1,$AQ$2:$AZ$5,10,FALSE),lok!$T:$Z,7,FALSE)&gt;0,VLOOKUP($BK$1,$AQ$2:$AZ$5,10,FALSE)=BE29,$BH29=BK$1),IF(BF29=3,"",IF(COUNTIFS(D:D,BE29,K:K,BF29)=0,"","o")),"")</f>
        <v/>
      </c>
      <c r="BL29" s="209" t="str">
        <f>IF(AND(VLOOKUP(BL$1,$AQ$2:$AZ$5,6,FALSE)-VLOOKUP(VLOOKUP($BL$1,$AQ$2:$AZ$5,10,FALSE),lok!$T:$Z,7,FALSE)&gt;0,VLOOKUP($BL$1,$AQ$2:$AZ$5,10,FALSE)=BE29,$BH29=BL$1),IF(BF29=3,"",IF(COUNTIFS(N:N,BE29,U:U,BF29)=0,"","o")),"")</f>
        <v/>
      </c>
      <c r="BM29" s="209" t="str">
        <f>IF(AND(VLOOKUP(BM$1,$AQ$2:$AZ$5,6,FALSE)-VLOOKUP(VLOOKUP($BM$1,$AQ$2:$AZ$5,10,FALSE),lok!$T:$Z,7,FALSE)&gt;0,VLOOKUP($BM$1,$AQ$2:$AZ$5,10,FALSE)=BE29,$BH29=BM$1),IF(BF29=3,"",IF(COUNTIFS(X:X,BE29,AE:AE,BF29)=0,"","o")),"")</f>
        <v/>
      </c>
      <c r="BN29" s="209" t="str">
        <f>IF(AND(VLOOKUP(BN$1,$AQ$2:$AZ$5,6,FALSE)-VLOOKUP(VLOOKUP($BN$1,$AQ$2:$AZ$5,10,FALSE),lok!$T:$Z,7,FALSE)&gt;0,VLOOKUP($BN$1,$AQ$2:$AZ$5,10,FALSE)=BE29,$BH29=BN$1),IF(BF29=3,"",IF(COUNTIFS(AH:AH,BE29,AO:AO,BF29)=0,"","o")),"")</f>
        <v/>
      </c>
      <c r="BO29" s="209" t="str">
        <f t="shared" si="9"/>
        <v/>
      </c>
      <c r="BP29" s="209">
        <f t="shared" si="10"/>
        <v>1</v>
      </c>
    </row>
    <row r="30" spans="57:68">
      <c r="BE30" s="209">
        <v>29</v>
      </c>
      <c r="BF30" s="209">
        <v>0</v>
      </c>
      <c r="BG30" s="209" t="str">
        <f t="shared" si="1"/>
        <v>290</v>
      </c>
      <c r="BH30" s="217" t="str">
        <f>IFERROR(VLOOKUP(pla!AS39,$BC$9:$BD$12,2,FALSE),"")</f>
        <v/>
      </c>
      <c r="BI30" s="209">
        <f>VLOOKUP(BG30,lok!C:H,5,FALSE)</f>
        <v>2700</v>
      </c>
      <c r="BJ30" s="209">
        <f>VLOOKUP(BG30,lok!C:H,6,FALSE)</f>
        <v>720</v>
      </c>
      <c r="BK30" s="209" t="str">
        <f>IF(AND(VLOOKUP(BK$1,$AQ$2:$AZ$5,6,FALSE)-VLOOKUP(VLOOKUP($BK$1,$AQ$2:$AZ$5,10,FALSE),lok!$T:$Z,7,FALSE)&gt;0,VLOOKUP($BK$1,$AQ$2:$AZ$5,10,FALSE)=BE30,$BH30=BK$1),IF(BF30=3,"",IF(COUNTIFS(D:D,BE30,K:K,BF30)=0,"","o")),"")</f>
        <v/>
      </c>
      <c r="BL30" s="209" t="str">
        <f>IF(AND(VLOOKUP(BL$1,$AQ$2:$AZ$5,6,FALSE)-VLOOKUP(VLOOKUP($BL$1,$AQ$2:$AZ$5,10,FALSE),lok!$T:$Z,7,FALSE)&gt;0,VLOOKUP($BL$1,$AQ$2:$AZ$5,10,FALSE)=BE30,$BH30=BL$1),IF(BF30=3,"",IF(COUNTIFS(N:N,BE30,U:U,BF30)=0,"","o")),"")</f>
        <v/>
      </c>
      <c r="BM30" s="209" t="str">
        <f>IF(AND(VLOOKUP(BM$1,$AQ$2:$AZ$5,6,FALSE)-VLOOKUP(VLOOKUP($BM$1,$AQ$2:$AZ$5,10,FALSE),lok!$T:$Z,7,FALSE)&gt;0,VLOOKUP($BM$1,$AQ$2:$AZ$5,10,FALSE)=BE30,$BH30=BM$1),IF(BF30=3,"",IF(COUNTIFS(X:X,BE30,AE:AE,BF30)=0,"","o")),"")</f>
        <v/>
      </c>
      <c r="BN30" s="209" t="str">
        <f>IF(AND(VLOOKUP(BN$1,$AQ$2:$AZ$5,6,FALSE)-VLOOKUP(VLOOKUP($BN$1,$AQ$2:$AZ$5,10,FALSE),lok!$T:$Z,7,FALSE)&gt;0,VLOOKUP($BN$1,$AQ$2:$AZ$5,10,FALSE)=BE30,$BH30=BN$1),IF(BF30=3,"",IF(COUNTIFS(AH:AH,BE30,AO:AO,BF30)=0,"","o")),"")</f>
        <v/>
      </c>
      <c r="BO30" s="209" t="str">
        <f t="shared" si="9"/>
        <v/>
      </c>
      <c r="BP30" s="209">
        <f t="shared" si="10"/>
        <v>1</v>
      </c>
    </row>
    <row r="31" spans="57:68">
      <c r="BE31" s="209">
        <v>30</v>
      </c>
      <c r="BF31" s="209">
        <v>0</v>
      </c>
      <c r="BG31" s="209" t="str">
        <f t="shared" si="1"/>
        <v>300</v>
      </c>
      <c r="BH31" s="217" t="str">
        <f>IFERROR(VLOOKUP(pla!AZ43,$BC$9:$BD$12,2,FALSE),"")</f>
        <v/>
      </c>
      <c r="BI31" s="209">
        <f>VLOOKUP(BG31,lok!C:H,5,FALSE)</f>
        <v>3600</v>
      </c>
      <c r="BJ31" s="209">
        <f>VLOOKUP(BG31,lok!C:H,6,FALSE)</f>
        <v>960</v>
      </c>
      <c r="BK31" s="209" t="str">
        <f>IF(AND(VLOOKUP(BK$1,$AQ$2:$AZ$5,6,FALSE)-VLOOKUP(VLOOKUP($BK$1,$AQ$2:$AZ$5,10,FALSE),lok!$T:$Z,7,FALSE)&gt;0,VLOOKUP($BK$1,$AQ$2:$AZ$5,10,FALSE)=BE31,$BH31=BK$1),IF(BF31=3,"",IF(COUNTIFS(D:D,BE31,K:K,BF31)=0,"","o")),"")</f>
        <v/>
      </c>
      <c r="BL31" s="209" t="str">
        <f>IF(AND(VLOOKUP(BL$1,$AQ$2:$AZ$5,6,FALSE)-VLOOKUP(VLOOKUP($BL$1,$AQ$2:$AZ$5,10,FALSE),lok!$T:$Z,7,FALSE)&gt;0,VLOOKUP($BL$1,$AQ$2:$AZ$5,10,FALSE)=BE31,$BH31=BL$1),IF(BF31=3,"",IF(COUNTIFS(N:N,BE31,U:U,BF31)=0,"","o")),"")</f>
        <v/>
      </c>
      <c r="BM31" s="209" t="str">
        <f>IF(AND(VLOOKUP(BM$1,$AQ$2:$AZ$5,6,FALSE)-VLOOKUP(VLOOKUP($BM$1,$AQ$2:$AZ$5,10,FALSE),lok!$T:$Z,7,FALSE)&gt;0,VLOOKUP($BM$1,$AQ$2:$AZ$5,10,FALSE)=BE31,$BH31=BM$1),IF(BF31=3,"",IF(COUNTIFS(X:X,BE31,AE:AE,BF31)=0,"","o")),"")</f>
        <v/>
      </c>
      <c r="BN31" s="209" t="str">
        <f>IF(AND(VLOOKUP(BN$1,$AQ$2:$AZ$5,6,FALSE)-VLOOKUP(VLOOKUP($BN$1,$AQ$2:$AZ$5,10,FALSE),lok!$T:$Z,7,FALSE)&gt;0,VLOOKUP($BN$1,$AQ$2:$AZ$5,10,FALSE)=BE31,$BH31=BN$1),IF(BF31=3,"",IF(COUNTIFS(AH:AH,BE31,AO:AO,BF31)=0,"","o")),"")</f>
        <v/>
      </c>
      <c r="BO31" s="209" t="str">
        <f t="shared" si="9"/>
        <v/>
      </c>
      <c r="BP31" s="209">
        <f t="shared" si="10"/>
        <v>1</v>
      </c>
    </row>
    <row r="32" spans="57:68">
      <c r="BE32" s="209">
        <v>31</v>
      </c>
      <c r="BG32" s="209" t="str">
        <f t="shared" si="1"/>
        <v>31</v>
      </c>
      <c r="BH32" s="217" t="s">
        <v>246</v>
      </c>
      <c r="BI32" s="217"/>
      <c r="BJ32" s="217"/>
    </row>
    <row r="33" spans="57:68">
      <c r="BE33" s="209">
        <v>32</v>
      </c>
      <c r="BF33" s="209">
        <v>0</v>
      </c>
      <c r="BG33" s="209" t="str">
        <f t="shared" si="1"/>
        <v>320</v>
      </c>
      <c r="BH33" s="217" t="str">
        <f>IFERROR(VLOOKUP(pla!AJ47,$BC$9:$BD$12,2,FALSE),"")</f>
        <v/>
      </c>
      <c r="BI33" s="209">
        <f>VLOOKUP(BG33,lok!C:H,5,FALSE)</f>
        <v>600</v>
      </c>
      <c r="BJ33" s="209">
        <f>VLOOKUP(BG33,lok!C:H,6,FALSE)</f>
        <v>160</v>
      </c>
      <c r="BK33" s="209" t="str">
        <f>IF(AND(VLOOKUP(BK$1,$AQ$2:$AZ$5,6,FALSE)-VLOOKUP(VLOOKUP($BK$1,$AQ$2:$AZ$5,10,FALSE),lok!$T:$Z,7,FALSE)&gt;0,VLOOKUP($BK$1,$AQ$2:$AZ$5,10,FALSE)=BE33,$BH33=BK$1),IF(BF33=3,"",IF(COUNTIFS(D:D,BE33,K:K,BF33)=0,"","o")),"")</f>
        <v/>
      </c>
      <c r="BL33" s="209" t="str">
        <f>IF(AND(VLOOKUP(BL$1,$AQ$2:$AZ$5,6,FALSE)-VLOOKUP(VLOOKUP($BL$1,$AQ$2:$AZ$5,10,FALSE),lok!$T:$Z,7,FALSE)&gt;0,VLOOKUP($BL$1,$AQ$2:$AZ$5,10,FALSE)=BE33,$BH33=BL$1),IF(BF33=3,"",IF(COUNTIFS(N:N,BE33,U:U,BF33)=0,"","o")),"")</f>
        <v/>
      </c>
      <c r="BM33" s="209" t="str">
        <f>IF(AND(VLOOKUP(BM$1,$AQ$2:$AZ$5,6,FALSE)-VLOOKUP(VLOOKUP($BM$1,$AQ$2:$AZ$5,10,FALSE),lok!$T:$Z,7,FALSE)&gt;0,VLOOKUP($BM$1,$AQ$2:$AZ$5,10,FALSE)=BE33,$BH33=BM$1),IF(BF33=3,"",IF(COUNTIFS(X:X,BE33,AE:AE,BF33)=0,"","o")),"")</f>
        <v/>
      </c>
      <c r="BN33" s="209" t="str">
        <f>IF(AND(VLOOKUP(BN$1,$AQ$2:$AZ$5,6,FALSE)-VLOOKUP(VLOOKUP($BN$1,$AQ$2:$AZ$5,10,FALSE),lok!$T:$Z,7,FALSE)&gt;0,VLOOKUP($BN$1,$AQ$2:$AZ$5,10,FALSE)=BE33,$BH33=BN$1),IF(BF33=3,"",IF(COUNTIFS(AH:AH,BE33,AO:AO,BF33)=0,"","o")),"")</f>
        <v/>
      </c>
      <c r="BO33" s="209" t="str">
        <f t="shared" ref="BO33:BO34" si="11">IF(COUNTIF(BK33:BN33,"o")&gt;0,"o","")</f>
        <v/>
      </c>
      <c r="BP33" s="209">
        <f t="shared" ref="BP33:BP34" si="12">IF(BF33+1&gt;3,3,BF33+1)</f>
        <v>1</v>
      </c>
    </row>
    <row r="34" spans="57:68">
      <c r="BE34" s="209">
        <v>33</v>
      </c>
      <c r="BF34" s="209">
        <v>0</v>
      </c>
      <c r="BG34" s="209" t="str">
        <f t="shared" si="1"/>
        <v>330</v>
      </c>
      <c r="BH34" s="217" t="str">
        <f>IFERROR(VLOOKUP(pla!V44,$BC$9:$BD$12,2,FALSE),"")</f>
        <v/>
      </c>
      <c r="BI34" s="209">
        <f>VLOOKUP(BG34,lok!C:H,5,FALSE)</f>
        <v>3000</v>
      </c>
      <c r="BJ34" s="209">
        <f>VLOOKUP(BG34,lok!C:H,6,FALSE)</f>
        <v>800</v>
      </c>
      <c r="BK34" s="209" t="str">
        <f>IF(AND(VLOOKUP(BK$1,$AQ$2:$AZ$5,6,FALSE)-VLOOKUP(VLOOKUP($BK$1,$AQ$2:$AZ$5,10,FALSE),lok!$T:$Z,7,FALSE)&gt;0,VLOOKUP($BK$1,$AQ$2:$AZ$5,10,FALSE)=BE34,$BH34=BK$1),IF(BF34=3,"",IF(COUNTIFS(D:D,BE34,K:K,BF34)=0,"","o")),"")</f>
        <v/>
      </c>
      <c r="BL34" s="209" t="str">
        <f>IF(AND(VLOOKUP(BL$1,$AQ$2:$AZ$5,6,FALSE)-VLOOKUP(VLOOKUP($BL$1,$AQ$2:$AZ$5,10,FALSE),lok!$T:$Z,7,FALSE)&gt;0,VLOOKUP($BL$1,$AQ$2:$AZ$5,10,FALSE)=BE34,$BH34=BL$1),IF(BF34=3,"",IF(COUNTIFS(N:N,BE34,U:U,BF34)=0,"","o")),"")</f>
        <v/>
      </c>
      <c r="BM34" s="209" t="str">
        <f>IF(AND(VLOOKUP(BM$1,$AQ$2:$AZ$5,6,FALSE)-VLOOKUP(VLOOKUP($BM$1,$AQ$2:$AZ$5,10,FALSE),lok!$T:$Z,7,FALSE)&gt;0,VLOOKUP($BM$1,$AQ$2:$AZ$5,10,FALSE)=BE34,$BH34=BM$1),IF(BF34=3,"",IF(COUNTIFS(X:X,BE34,AE:AE,BF34)=0,"","o")),"")</f>
        <v/>
      </c>
      <c r="BN34" s="209" t="str">
        <f>IF(AND(VLOOKUP(BN$1,$AQ$2:$AZ$5,6,FALSE)-VLOOKUP(VLOOKUP($BN$1,$AQ$2:$AZ$5,10,FALSE),lok!$T:$Z,7,FALSE)&gt;0,VLOOKUP($BN$1,$AQ$2:$AZ$5,10,FALSE)=BE34,$BH34=BN$1),IF(BF34=3,"",IF(COUNTIFS(AH:AH,BE34,AO:AO,BF34)=0,"","o")),"")</f>
        <v/>
      </c>
      <c r="BO34" s="209" t="str">
        <f t="shared" si="11"/>
        <v/>
      </c>
      <c r="BP34" s="209">
        <f t="shared" si="12"/>
        <v>1</v>
      </c>
    </row>
    <row r="35" spans="57:68">
      <c r="BE35" s="209">
        <v>34</v>
      </c>
      <c r="BG35" s="209" t="str">
        <f t="shared" si="1"/>
        <v>34</v>
      </c>
      <c r="BH35" s="217" t="s">
        <v>246</v>
      </c>
      <c r="BI35" s="217"/>
      <c r="BJ35" s="217"/>
    </row>
    <row r="36" spans="57:68">
      <c r="BE36" s="209">
        <v>35</v>
      </c>
      <c r="BF36" s="209">
        <v>0</v>
      </c>
      <c r="BG36" s="209" t="str">
        <f t="shared" si="1"/>
        <v>350</v>
      </c>
      <c r="BH36" s="217" t="str">
        <f>IFERROR(VLOOKUP(pla!L40,$BC$9:$BD$12,2,FALSE),"")</f>
        <v/>
      </c>
      <c r="BI36" s="209">
        <f>VLOOKUP(BG36,lok!C:H,5,FALSE)</f>
        <v>1200</v>
      </c>
      <c r="BJ36" s="209">
        <f>VLOOKUP(BG36,lok!C:H,6,FALSE)</f>
        <v>320</v>
      </c>
      <c r="BK36" s="209" t="str">
        <f>IF(AND(VLOOKUP(BK$1,$AQ$2:$AZ$5,6,FALSE)-VLOOKUP(VLOOKUP($BK$1,$AQ$2:$AZ$5,10,FALSE),lok!$T:$Z,7,FALSE)&gt;0,VLOOKUP($BK$1,$AQ$2:$AZ$5,10,FALSE)=BE36,$BH36=BK$1),IF(BF36=3,"",IF(COUNTIFS(D:D,BE36,K:K,BF36)=0,"","o")),"")</f>
        <v/>
      </c>
      <c r="BL36" s="209" t="str">
        <f>IF(AND(VLOOKUP(BL$1,$AQ$2:$AZ$5,6,FALSE)-VLOOKUP(VLOOKUP($BL$1,$AQ$2:$AZ$5,10,FALSE),lok!$T:$Z,7,FALSE)&gt;0,VLOOKUP($BL$1,$AQ$2:$AZ$5,10,FALSE)=BE36,$BH36=BL$1),IF(BF36=3,"",IF(COUNTIFS(N:N,BE36,U:U,BF36)=0,"","o")),"")</f>
        <v/>
      </c>
      <c r="BM36" s="209" t="str">
        <f>IF(AND(VLOOKUP(BM$1,$AQ$2:$AZ$5,6,FALSE)-VLOOKUP(VLOOKUP($BM$1,$AQ$2:$AZ$5,10,FALSE),lok!$T:$Z,7,FALSE)&gt;0,VLOOKUP($BM$1,$AQ$2:$AZ$5,10,FALSE)=BE36,$BH36=BM$1),IF(BF36=3,"",IF(COUNTIFS(X:X,BE36,AE:AE,BF36)=0,"","o")),"")</f>
        <v/>
      </c>
      <c r="BN36" s="209" t="str">
        <f>IF(AND(VLOOKUP(BN$1,$AQ$2:$AZ$5,6,FALSE)-VLOOKUP(VLOOKUP($BN$1,$AQ$2:$AZ$5,10,FALSE),lok!$T:$Z,7,FALSE)&gt;0,VLOOKUP($BN$1,$AQ$2:$AZ$5,10,FALSE)=BE36,$BH36=BN$1),IF(BF36=3,"",IF(COUNTIFS(AH:AH,BE36,AO:AO,BF36)=0,"","o")),"")</f>
        <v/>
      </c>
      <c r="BO36" s="209" t="str">
        <f>IF(COUNTIF(BK36:BN36,"o")&gt;0,"o","")</f>
        <v/>
      </c>
      <c r="BP36" s="209">
        <f>IF(BF36+1&gt;3,3,BF36+1)</f>
        <v>1</v>
      </c>
    </row>
    <row r="37" spans="57:68">
      <c r="BE37" s="209">
        <v>36</v>
      </c>
      <c r="BG37" s="209" t="str">
        <f t="shared" si="1"/>
        <v>36</v>
      </c>
      <c r="BH37" s="217" t="s">
        <v>246</v>
      </c>
      <c r="BI37" s="217"/>
      <c r="BJ37" s="217"/>
    </row>
    <row r="38" spans="57:68">
      <c r="BE38" s="209">
        <v>37</v>
      </c>
      <c r="BF38" s="209">
        <v>0</v>
      </c>
      <c r="BG38" s="209" t="str">
        <f t="shared" si="1"/>
        <v>370</v>
      </c>
      <c r="BH38" s="217" t="str">
        <f>IFERROR(VLOOKUP(pla!AK31,$BC$9:$BD$12,2,FALSE),"")</f>
        <v/>
      </c>
      <c r="BI38" s="209">
        <f>VLOOKUP(BG38,lok!C:H,5,FALSE)</f>
        <v>1500</v>
      </c>
      <c r="BJ38" s="209">
        <f>VLOOKUP(BG38,lok!C:H,6,FALSE)</f>
        <v>400</v>
      </c>
      <c r="BK38" s="209" t="str">
        <f>IF(AND(VLOOKUP(BK$1,$AQ$2:$AZ$5,6,FALSE)-VLOOKUP(VLOOKUP($BK$1,$AQ$2:$AZ$5,10,FALSE),lok!$T:$Z,7,FALSE)&gt;0,VLOOKUP($BK$1,$AQ$2:$AZ$5,10,FALSE)=BE38,$BH38=BK$1),IF(BF38=3,"",IF(COUNTIFS(D:D,BE38,K:K,BF38)=0,"","o")),"")</f>
        <v/>
      </c>
      <c r="BL38" s="209" t="str">
        <f>IF(AND(VLOOKUP(BL$1,$AQ$2:$AZ$5,6,FALSE)-VLOOKUP(VLOOKUP($BL$1,$AQ$2:$AZ$5,10,FALSE),lok!$T:$Z,7,FALSE)&gt;0,VLOOKUP($BL$1,$AQ$2:$AZ$5,10,FALSE)=BE38,$BH38=BL$1),IF(BF38=3,"",IF(COUNTIFS(N:N,BE38,U:U,BF38)=0,"","o")),"")</f>
        <v/>
      </c>
      <c r="BM38" s="209" t="str">
        <f>IF(AND(VLOOKUP(BM$1,$AQ$2:$AZ$5,6,FALSE)-VLOOKUP(VLOOKUP($BM$1,$AQ$2:$AZ$5,10,FALSE),lok!$T:$Z,7,FALSE)&gt;0,VLOOKUP($BM$1,$AQ$2:$AZ$5,10,FALSE)=BE38,$BH38=BM$1),IF(BF38=3,"",IF(COUNTIFS(X:X,BE38,AE:AE,BF38)=0,"","o")),"")</f>
        <v/>
      </c>
      <c r="BN38" s="209" t="str">
        <f>IF(AND(VLOOKUP(BN$1,$AQ$2:$AZ$5,6,FALSE)-VLOOKUP(VLOOKUP($BN$1,$AQ$2:$AZ$5,10,FALSE),lok!$T:$Z,7,FALSE)&gt;0,VLOOKUP($BN$1,$AQ$2:$AZ$5,10,FALSE)=BE38,$BH38=BN$1),IF(BF38=3,"",IF(COUNTIFS(AH:AH,BE38,AO:AO,BF38)=0,"","o")),"")</f>
        <v/>
      </c>
      <c r="BO38" s="209" t="str">
        <f>IF(COUNTIF(BK38:BN38,"o")&gt;0,"o","")</f>
        <v/>
      </c>
      <c r="BP38" s="209">
        <f>IF(BF38+1&gt;3,3,BF38+1)</f>
        <v>1</v>
      </c>
    </row>
    <row r="39" spans="57:68">
      <c r="BE39" s="209">
        <v>38</v>
      </c>
      <c r="BG39" s="209" t="str">
        <f t="shared" si="1"/>
        <v>38</v>
      </c>
      <c r="BH39" s="217" t="s">
        <v>246</v>
      </c>
      <c r="BI39" s="217"/>
      <c r="BJ39" s="217"/>
    </row>
    <row r="40" spans="57:68">
      <c r="BE40" s="209">
        <v>39</v>
      </c>
      <c r="BF40" s="209">
        <v>0</v>
      </c>
      <c r="BG40" s="209" t="str">
        <f t="shared" si="1"/>
        <v>390</v>
      </c>
      <c r="BH40" s="217" t="str">
        <f>IFERROR(VLOOKUP(pla!AO16,$BC$9:$BD$12,2,FALSE),"")</f>
        <v/>
      </c>
      <c r="BI40" s="209">
        <f>VLOOKUP(BG40,lok!C:H,5,FALSE)</f>
        <v>1800</v>
      </c>
      <c r="BJ40" s="209">
        <f>VLOOKUP(BG40,lok!C:H,6,FALSE)</f>
        <v>480</v>
      </c>
      <c r="BK40" s="209" t="str">
        <f>IF(AND(VLOOKUP(BK$1,$AQ$2:$AZ$5,6,FALSE)-VLOOKUP(VLOOKUP($BK$1,$AQ$2:$AZ$5,10,FALSE),lok!$T:$Z,7,FALSE)&gt;0,VLOOKUP($BK$1,$AQ$2:$AZ$5,10,FALSE)=BE40,$BH40=BK$1),IF(BF40=3,"",IF(COUNTIFS(D:D,BE40,K:K,BF40)=0,"","o")),"")</f>
        <v/>
      </c>
      <c r="BL40" s="209" t="str">
        <f>IF(AND(VLOOKUP(BL$1,$AQ$2:$AZ$5,6,FALSE)-VLOOKUP(VLOOKUP($BL$1,$AQ$2:$AZ$5,10,FALSE),lok!$T:$Z,7,FALSE)&gt;0,VLOOKUP($BL$1,$AQ$2:$AZ$5,10,FALSE)=BE40,$BH40=BL$1),IF(BF40=3,"",IF(COUNTIFS(N:N,BE40,U:U,BF40)=0,"","o")),"")</f>
        <v/>
      </c>
      <c r="BM40" s="209" t="str">
        <f>IF(AND(VLOOKUP(BM$1,$AQ$2:$AZ$5,6,FALSE)-VLOOKUP(VLOOKUP($BM$1,$AQ$2:$AZ$5,10,FALSE),lok!$T:$Z,7,FALSE)&gt;0,VLOOKUP($BM$1,$AQ$2:$AZ$5,10,FALSE)=BE40,$BH40=BM$1),IF(BF40=3,"",IF(COUNTIFS(X:X,BE40,AE:AE,BF40)=0,"","o")),"")</f>
        <v/>
      </c>
      <c r="BN40" s="209" t="str">
        <f>IF(AND(VLOOKUP(BN$1,$AQ$2:$AZ$5,6,FALSE)-VLOOKUP(VLOOKUP($BN$1,$AQ$2:$AZ$5,10,FALSE),lok!$T:$Z,7,FALSE)&gt;0,VLOOKUP($BN$1,$AQ$2:$AZ$5,10,FALSE)=BE40,$BH40=BN$1),IF(BF40=3,"",IF(COUNTIFS(AH:AH,BE40,AO:AO,BF40)=0,"","o")),"")</f>
        <v/>
      </c>
      <c r="BO40" s="209" t="str">
        <f t="shared" ref="BO40:BO41" si="13">IF(COUNTIF(BK40:BN40,"o")&gt;0,"o","")</f>
        <v/>
      </c>
      <c r="BP40" s="209">
        <f t="shared" ref="BP40:BP41" si="14">IF(BF40+1&gt;3,3,BF40+1)</f>
        <v>1</v>
      </c>
    </row>
    <row r="41" spans="57:68">
      <c r="BE41" s="209">
        <v>40</v>
      </c>
      <c r="BF41" s="209">
        <v>0</v>
      </c>
      <c r="BG41" s="209" t="str">
        <f t="shared" si="1"/>
        <v>400</v>
      </c>
      <c r="BH41" s="217" t="str">
        <f>IFERROR(VLOOKUP(pla!AG20,$BC$9:$BD$12,2,FALSE),"")</f>
        <v/>
      </c>
      <c r="BI41" s="209">
        <f>VLOOKUP(BG41,lok!C:H,5,FALSE)</f>
        <v>1800</v>
      </c>
      <c r="BJ41" s="209">
        <f>VLOOKUP(BG41,lok!C:H,6,FALSE)</f>
        <v>480</v>
      </c>
      <c r="BK41" s="209" t="str">
        <f>IF(AND(VLOOKUP(BK$1,$AQ$2:$AZ$5,6,FALSE)-VLOOKUP(VLOOKUP($BK$1,$AQ$2:$AZ$5,10,FALSE),lok!$T:$Z,7,FALSE)&gt;0,VLOOKUP($BK$1,$AQ$2:$AZ$5,10,FALSE)=BE41,$BH41=BK$1),IF(BF41=3,"",IF(COUNTIFS(D:D,BE41,K:K,BF41)=0,"","o")),"")</f>
        <v/>
      </c>
      <c r="BL41" s="209" t="str">
        <f>IF(AND(VLOOKUP(BL$1,$AQ$2:$AZ$5,6,FALSE)-VLOOKUP(VLOOKUP($BL$1,$AQ$2:$AZ$5,10,FALSE),lok!$T:$Z,7,FALSE)&gt;0,VLOOKUP($BL$1,$AQ$2:$AZ$5,10,FALSE)=BE41,$BH41=BL$1),IF(BF41=3,"",IF(COUNTIFS(N:N,BE41,U:U,BF41)=0,"","o")),"")</f>
        <v/>
      </c>
      <c r="BM41" s="209" t="str">
        <f>IF(AND(VLOOKUP(BM$1,$AQ$2:$AZ$5,6,FALSE)-VLOOKUP(VLOOKUP($BM$1,$AQ$2:$AZ$5,10,FALSE),lok!$T:$Z,7,FALSE)&gt;0,VLOOKUP($BM$1,$AQ$2:$AZ$5,10,FALSE)=BE41,$BH41=BM$1),IF(BF41=3,"",IF(COUNTIFS(X:X,BE41,AE:AE,BF41)=0,"","o")),"")</f>
        <v/>
      </c>
      <c r="BN41" s="209" t="str">
        <f>IF(AND(VLOOKUP(BN$1,$AQ$2:$AZ$5,6,FALSE)-VLOOKUP(VLOOKUP($BN$1,$AQ$2:$AZ$5,10,FALSE),lok!$T:$Z,7,FALSE)&gt;0,VLOOKUP($BN$1,$AQ$2:$AZ$5,10,FALSE)=BE41,$BH41=BN$1),IF(BF41=3,"",IF(COUNTIFS(AH:AH,BE41,AO:AO,BF41)=0,"","o")),"")</f>
        <v/>
      </c>
      <c r="BO41" s="209" t="str">
        <f t="shared" si="13"/>
        <v/>
      </c>
      <c r="BP41" s="209">
        <f t="shared" si="14"/>
        <v>1</v>
      </c>
    </row>
    <row r="42" spans="57:68">
      <c r="BE42" s="209">
        <v>-6</v>
      </c>
      <c r="BG42" s="209">
        <v>-6</v>
      </c>
      <c r="BH42" s="217" t="s">
        <v>246</v>
      </c>
      <c r="BK42" s="209" t="str">
        <f>IF(COUNTIF(BK2:BK41,"o")&gt;0,"o","")</f>
        <v/>
      </c>
      <c r="BL42" s="209" t="str">
        <f t="shared" ref="BL42:BN42" si="15">IF(COUNTIF(BL2:BL41,"o")&gt;0,"o","")</f>
        <v/>
      </c>
      <c r="BM42" s="209" t="str">
        <f t="shared" si="15"/>
        <v/>
      </c>
      <c r="BN42" s="209" t="str">
        <f t="shared" si="15"/>
        <v/>
      </c>
    </row>
    <row r="43" spans="57:68">
      <c r="BE43" s="209">
        <v>-5</v>
      </c>
      <c r="BG43" s="209">
        <v>-5</v>
      </c>
      <c r="BH43" s="217" t="s">
        <v>246</v>
      </c>
    </row>
    <row r="44" spans="57:68">
      <c r="BE44" s="209">
        <v>-4</v>
      </c>
      <c r="BG44" s="209">
        <v>-4</v>
      </c>
      <c r="BH44" s="217" t="s">
        <v>246</v>
      </c>
    </row>
    <row r="45" spans="57:68">
      <c r="BE45" s="209">
        <v>-3</v>
      </c>
      <c r="BG45" s="209">
        <v>-3</v>
      </c>
      <c r="BH45" s="217" t="s">
        <v>246</v>
      </c>
    </row>
    <row r="46" spans="57:68">
      <c r="BE46" s="209">
        <v>-2</v>
      </c>
      <c r="BG46" s="209">
        <v>-2</v>
      </c>
      <c r="BH46" s="217" t="s">
        <v>246</v>
      </c>
    </row>
    <row r="47" spans="57:68">
      <c r="BE47" s="209">
        <v>-1</v>
      </c>
      <c r="BG47" s="209">
        <v>-1</v>
      </c>
      <c r="BH47" s="217" t="s">
        <v>246</v>
      </c>
    </row>
    <row r="48" spans="57:68">
      <c r="BE48" s="209">
        <v>0</v>
      </c>
      <c r="BG48" s="209">
        <v>0</v>
      </c>
      <c r="BH48" s="217" t="s">
        <v>246</v>
      </c>
    </row>
  </sheetData>
  <phoneticPr fontId="1" type="noConversion"/>
  <pageMargins left="0.7" right="0.7" top="0.75" bottom="0.75" header="0.3" footer="0.3"/>
  <pageSetup paperSize="9" orientation="portrait" horizontalDpi="4294967292" verticalDpi="4294967292"/>
  <ignoredErrors>
    <ignoredError sqref="BG2:BJ14 AR2:AR5 AT3:AU3 AT2:AU2 AW2:BA2 AT5:AU5 AW5:BA5 AT4:AU4 AW4:BA4 AW3:BA3 BK15:BN15 BK18:BN18 BK32:BN32 BK35:BN35 BK37:BN37 BK39:BN39 BG16:BJ17 BG15 BG19:BJ31 BG18 BG33:BJ34 BG32 BG36:BJ36 BG35 BG38:BJ38 BG37 BG40:BJ41 BG39" emptyCellReference="1"/>
    <ignoredError sqref="AS2:AS5" formula="1"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enableFormatConditionsCalculation="0"/>
  <dimension ref="C1:Z164"/>
  <sheetViews>
    <sheetView zoomScale="70" zoomScaleNormal="70" zoomScalePageLayoutView="70" workbookViewId="0">
      <selection sqref="A1:XFD1048576"/>
    </sheetView>
  </sheetViews>
  <sheetFormatPr baseColWidth="10" defaultColWidth="8.83203125" defaultRowHeight="15" x14ac:dyDescent="0"/>
  <cols>
    <col min="1" max="2" width="2.1640625" style="219" customWidth="1"/>
    <col min="3" max="3" width="4.33203125" style="219" hidden="1" customWidth="1"/>
    <col min="4" max="4" width="3.5" style="219" hidden="1" customWidth="1"/>
    <col min="5" max="5" width="7.5" style="219" hidden="1" customWidth="1"/>
    <col min="6" max="6" width="3.5" style="219" hidden="1" customWidth="1"/>
    <col min="7" max="7" width="6.5" style="219" hidden="1" customWidth="1"/>
    <col min="8" max="8" width="5.5" style="219" hidden="1" customWidth="1"/>
    <col min="9" max="11" width="2.1640625" style="219" hidden="1" customWidth="1"/>
    <col min="12" max="12" width="3.5" style="219" hidden="1" customWidth="1"/>
    <col min="13" max="13" width="6.1640625" style="219" hidden="1" customWidth="1"/>
    <col min="14" max="14" width="3.5" style="219" hidden="1" customWidth="1"/>
    <col min="15" max="15" width="7.1640625" style="219" hidden="1" customWidth="1"/>
    <col min="16" max="16" width="25.5" style="219" hidden="1" customWidth="1"/>
    <col min="17" max="17" width="2.5" style="219" hidden="1" customWidth="1"/>
    <col min="18" max="18" width="4.83203125" style="219" hidden="1" customWidth="1"/>
    <col min="19" max="19" width="2.1640625" style="219" hidden="1" customWidth="1"/>
    <col min="20" max="20" width="3.5" style="219" hidden="1" customWidth="1"/>
    <col min="21" max="21" width="7.5" style="219" hidden="1" customWidth="1"/>
    <col min="22" max="26" width="8.83203125" style="219" hidden="1" customWidth="1"/>
    <col min="27" max="28" width="8.83203125" style="219" customWidth="1"/>
    <col min="29" max="16384" width="8.83203125" style="219"/>
  </cols>
  <sheetData>
    <row r="1" spans="3:26">
      <c r="C1" s="218">
        <v>0</v>
      </c>
      <c r="D1" s="219">
        <v>0</v>
      </c>
      <c r="E1" s="219" t="s">
        <v>1</v>
      </c>
      <c r="F1" s="219">
        <v>0</v>
      </c>
      <c r="R1" s="220"/>
      <c r="T1" s="219">
        <v>0</v>
      </c>
      <c r="U1" s="219" t="s">
        <v>1</v>
      </c>
    </row>
    <row r="2" spans="3:26">
      <c r="C2" s="218" t="s">
        <v>145</v>
      </c>
      <c r="D2" s="219">
        <v>1</v>
      </c>
      <c r="E2" s="219" t="s">
        <v>2</v>
      </c>
      <c r="F2" s="219">
        <v>1</v>
      </c>
      <c r="G2" s="219">
        <v>1200</v>
      </c>
      <c r="H2" s="219">
        <v>320</v>
      </c>
      <c r="K2" s="221"/>
      <c r="N2" s="219">
        <v>1</v>
      </c>
      <c r="O2" s="219">
        <v>14</v>
      </c>
      <c r="P2" s="219" t="s">
        <v>187</v>
      </c>
      <c r="Q2" s="219">
        <v>1</v>
      </c>
      <c r="R2" s="222" t="s">
        <v>205</v>
      </c>
      <c r="T2" s="219">
        <v>1</v>
      </c>
      <c r="U2" s="219" t="s">
        <v>2</v>
      </c>
      <c r="V2" s="219">
        <v>1200</v>
      </c>
      <c r="W2" s="219">
        <v>600</v>
      </c>
      <c r="X2" s="219">
        <v>900</v>
      </c>
      <c r="Y2" s="219">
        <v>1400</v>
      </c>
      <c r="Z2" s="219">
        <f>IF(cal!BF2=0,lok!W2,IF(cal!BF2=1,lok!X2,IF(cal!BF2=2,lok!Y2,"")))</f>
        <v>600</v>
      </c>
    </row>
    <row r="3" spans="3:26">
      <c r="C3" s="218" t="s">
        <v>146</v>
      </c>
      <c r="D3" s="219">
        <v>2</v>
      </c>
      <c r="E3" s="219" t="s">
        <v>3</v>
      </c>
      <c r="F3" s="219">
        <v>2</v>
      </c>
      <c r="G3" s="219">
        <v>900</v>
      </c>
      <c r="H3" s="219">
        <v>240</v>
      </c>
      <c r="K3" s="221"/>
      <c r="N3" s="219">
        <v>2</v>
      </c>
      <c r="O3" s="219">
        <v>14</v>
      </c>
      <c r="P3" s="219" t="s">
        <v>188</v>
      </c>
      <c r="Q3" s="219">
        <v>2</v>
      </c>
      <c r="R3" s="222" t="s">
        <v>197</v>
      </c>
      <c r="T3" s="219">
        <v>2</v>
      </c>
      <c r="U3" s="219" t="s">
        <v>3</v>
      </c>
      <c r="V3" s="219">
        <v>900</v>
      </c>
      <c r="W3" s="219">
        <v>500</v>
      </c>
      <c r="X3" s="219">
        <v>700</v>
      </c>
      <c r="Y3" s="219">
        <v>1000</v>
      </c>
      <c r="Z3" s="219">
        <f>IF(cal!BF3=0,lok!W3,IF(cal!BF3=1,lok!X3,IF(cal!BF3=2,lok!Y3,"")))</f>
        <v>500</v>
      </c>
    </row>
    <row r="4" spans="3:26">
      <c r="C4" s="218" t="s">
        <v>147</v>
      </c>
      <c r="D4" s="219">
        <v>3</v>
      </c>
      <c r="E4" s="219" t="s">
        <v>4</v>
      </c>
      <c r="F4" s="219">
        <v>3</v>
      </c>
      <c r="G4" s="219">
        <v>1500</v>
      </c>
      <c r="H4" s="219">
        <v>400</v>
      </c>
      <c r="K4" s="221"/>
      <c r="N4" s="219">
        <v>3</v>
      </c>
      <c r="O4" s="219">
        <v>14</v>
      </c>
      <c r="P4" s="219" t="s">
        <v>187</v>
      </c>
      <c r="Q4" s="219">
        <v>3</v>
      </c>
      <c r="R4" s="222" t="s">
        <v>198</v>
      </c>
      <c r="T4" s="219">
        <v>3</v>
      </c>
      <c r="U4" s="219" t="s">
        <v>4</v>
      </c>
      <c r="V4" s="219">
        <v>1500</v>
      </c>
      <c r="W4" s="219">
        <v>800</v>
      </c>
      <c r="X4" s="219">
        <v>1100</v>
      </c>
      <c r="Y4" s="219">
        <v>1700</v>
      </c>
      <c r="Z4" s="219">
        <f>IF(cal!BF4=0,lok!W4,IF(cal!BF4=1,lok!X4,IF(cal!BF4=2,lok!Y4,"")))</f>
        <v>800</v>
      </c>
    </row>
    <row r="5" spans="3:26">
      <c r="C5" s="218" t="s">
        <v>148</v>
      </c>
      <c r="D5" s="219">
        <v>4</v>
      </c>
      <c r="E5" s="219" t="s">
        <v>5</v>
      </c>
      <c r="F5" s="219">
        <v>4</v>
      </c>
      <c r="G5" s="219">
        <v>600</v>
      </c>
      <c r="H5" s="219">
        <v>160</v>
      </c>
      <c r="K5" s="221"/>
      <c r="N5" s="219">
        <v>4</v>
      </c>
      <c r="O5" s="219">
        <v>0</v>
      </c>
      <c r="P5" s="219" t="s">
        <v>189</v>
      </c>
      <c r="Q5" s="219">
        <v>4</v>
      </c>
      <c r="R5" s="222" t="s">
        <v>200</v>
      </c>
      <c r="T5" s="219">
        <v>4</v>
      </c>
      <c r="U5" s="219" t="s">
        <v>5</v>
      </c>
      <c r="V5" s="219">
        <v>600</v>
      </c>
      <c r="W5" s="219">
        <v>300</v>
      </c>
      <c r="X5" s="219">
        <v>500</v>
      </c>
      <c r="Y5" s="219">
        <v>700</v>
      </c>
      <c r="Z5" s="219">
        <f>IF(cal!BF5=0,lok!W5,IF(cal!BF5=1,lok!X5,IF(cal!BF5=2,lok!Y5,"")))</f>
        <v>300</v>
      </c>
    </row>
    <row r="6" spans="3:26">
      <c r="C6" s="218" t="s">
        <v>149</v>
      </c>
      <c r="D6" s="219">
        <v>5</v>
      </c>
      <c r="E6" s="219" t="s">
        <v>6</v>
      </c>
      <c r="F6" s="219">
        <v>5</v>
      </c>
      <c r="G6" s="219">
        <v>1200</v>
      </c>
      <c r="H6" s="219">
        <v>320</v>
      </c>
      <c r="K6" s="221"/>
      <c r="N6" s="219">
        <v>5</v>
      </c>
      <c r="O6" s="219">
        <v>0</v>
      </c>
      <c r="P6" s="219" t="s">
        <v>189</v>
      </c>
      <c r="R6" s="220"/>
      <c r="T6" s="219">
        <v>5</v>
      </c>
      <c r="U6" s="219" t="s">
        <v>6</v>
      </c>
      <c r="V6" s="219">
        <v>1200</v>
      </c>
      <c r="W6" s="219">
        <v>600</v>
      </c>
      <c r="X6" s="219">
        <v>900</v>
      </c>
      <c r="Y6" s="219">
        <v>1400</v>
      </c>
      <c r="Z6" s="219">
        <f>IF(cal!BF6=0,lok!W6,IF(cal!BF6=1,lok!X6,IF(cal!BF6=2,lok!Y6,"")))</f>
        <v>600</v>
      </c>
    </row>
    <row r="7" spans="3:26">
      <c r="C7" s="218" t="s">
        <v>150</v>
      </c>
      <c r="D7" s="219">
        <v>6</v>
      </c>
      <c r="E7" s="219" t="s">
        <v>7</v>
      </c>
      <c r="F7" s="219">
        <v>6</v>
      </c>
      <c r="G7" s="219">
        <v>2100</v>
      </c>
      <c r="H7" s="219">
        <v>560</v>
      </c>
      <c r="K7" s="221"/>
      <c r="N7" s="219">
        <v>6</v>
      </c>
      <c r="O7" s="219">
        <v>14</v>
      </c>
      <c r="P7" s="219" t="s">
        <v>187</v>
      </c>
      <c r="R7" s="220"/>
      <c r="T7" s="219">
        <v>6</v>
      </c>
      <c r="U7" s="219" t="s">
        <v>7</v>
      </c>
      <c r="V7" s="219">
        <v>2100</v>
      </c>
      <c r="W7" s="219">
        <v>1100</v>
      </c>
      <c r="X7" s="219">
        <v>1600</v>
      </c>
      <c r="Y7" s="219">
        <v>2300</v>
      </c>
      <c r="Z7" s="219">
        <f>IF(cal!BF7=0,lok!W7,IF(cal!BF7=1,lok!X7,IF(cal!BF7=2,lok!Y7,"")))</f>
        <v>1100</v>
      </c>
    </row>
    <row r="8" spans="3:26">
      <c r="C8" s="218" t="s">
        <v>151</v>
      </c>
      <c r="D8" s="219">
        <v>7</v>
      </c>
      <c r="E8" s="219" t="s">
        <v>8</v>
      </c>
      <c r="F8" s="219">
        <v>7</v>
      </c>
      <c r="G8" s="219">
        <v>1500</v>
      </c>
      <c r="H8" s="219">
        <v>400</v>
      </c>
      <c r="N8" s="219">
        <v>7</v>
      </c>
      <c r="O8" s="219">
        <v>14</v>
      </c>
      <c r="P8" s="219" t="s">
        <v>187</v>
      </c>
      <c r="Q8" s="219">
        <v>1</v>
      </c>
      <c r="R8" s="222" t="s">
        <v>199</v>
      </c>
      <c r="T8" s="219">
        <v>7</v>
      </c>
      <c r="U8" s="219" t="s">
        <v>8</v>
      </c>
      <c r="V8" s="219">
        <v>1500</v>
      </c>
      <c r="W8" s="219">
        <v>800</v>
      </c>
      <c r="X8" s="219">
        <v>1100</v>
      </c>
      <c r="Y8" s="219">
        <v>1700</v>
      </c>
      <c r="Z8" s="219">
        <f>IF(cal!BF8=0,lok!W8,IF(cal!BF8=1,lok!X8,IF(cal!BF8=2,lok!Y8,"")))</f>
        <v>800</v>
      </c>
    </row>
    <row r="9" spans="3:26">
      <c r="C9" s="218" t="s">
        <v>152</v>
      </c>
      <c r="D9" s="219">
        <v>8</v>
      </c>
      <c r="E9" s="219" t="s">
        <v>9</v>
      </c>
      <c r="F9" s="219">
        <v>8</v>
      </c>
      <c r="G9" s="219">
        <v>1800</v>
      </c>
      <c r="H9" s="219">
        <v>480</v>
      </c>
      <c r="N9" s="219">
        <v>8</v>
      </c>
      <c r="O9" s="219">
        <v>14</v>
      </c>
      <c r="P9" s="219" t="s">
        <v>188</v>
      </c>
      <c r="Q9" s="219">
        <v>2</v>
      </c>
      <c r="R9" s="222" t="s">
        <v>201</v>
      </c>
      <c r="T9" s="219">
        <v>8</v>
      </c>
      <c r="U9" s="219" t="s">
        <v>9</v>
      </c>
      <c r="V9" s="219">
        <v>1800</v>
      </c>
      <c r="W9" s="219">
        <v>900</v>
      </c>
      <c r="X9" s="219">
        <v>1400</v>
      </c>
      <c r="Y9" s="219">
        <v>2000</v>
      </c>
      <c r="Z9" s="219">
        <f>IF(cal!BF9=0,lok!W9,IF(cal!BF9=1,lok!X9,IF(cal!BF9=2,lok!Y9,"")))</f>
        <v>900</v>
      </c>
    </row>
    <row r="10" spans="3:26">
      <c r="C10" s="218" t="s">
        <v>153</v>
      </c>
      <c r="D10" s="219">
        <v>9</v>
      </c>
      <c r="E10" s="219" t="s">
        <v>10</v>
      </c>
      <c r="F10" s="219">
        <v>9</v>
      </c>
      <c r="G10" s="219">
        <v>3000</v>
      </c>
      <c r="H10" s="219">
        <v>800</v>
      </c>
      <c r="N10" s="219">
        <v>9</v>
      </c>
      <c r="O10" s="219">
        <v>-6</v>
      </c>
      <c r="P10" s="219" t="s">
        <v>248</v>
      </c>
      <c r="Q10" s="219">
        <v>3</v>
      </c>
      <c r="R10" s="222" t="s">
        <v>202</v>
      </c>
      <c r="T10" s="219">
        <v>9</v>
      </c>
      <c r="U10" s="219" t="s">
        <v>10</v>
      </c>
      <c r="V10" s="219">
        <v>3000</v>
      </c>
      <c r="W10" s="219">
        <v>1500</v>
      </c>
      <c r="X10" s="219">
        <v>2300</v>
      </c>
      <c r="Y10" s="219">
        <v>3400</v>
      </c>
      <c r="Z10" s="219">
        <f>IF(cal!BF10=0,lok!W10,IF(cal!BF10=1,lok!X10,IF(cal!BF10=2,lok!Y10,"")))</f>
        <v>1500</v>
      </c>
    </row>
    <row r="11" spans="3:26">
      <c r="C11" s="218" t="s">
        <v>68</v>
      </c>
      <c r="D11" s="219">
        <v>10</v>
      </c>
      <c r="E11" s="219" t="s">
        <v>11</v>
      </c>
      <c r="F11" s="219">
        <v>10</v>
      </c>
      <c r="G11" s="219">
        <v>1200</v>
      </c>
      <c r="H11" s="219">
        <v>320</v>
      </c>
      <c r="N11" s="219">
        <v>10</v>
      </c>
      <c r="O11" s="219">
        <v>-6</v>
      </c>
      <c r="P11" s="219" t="s">
        <v>248</v>
      </c>
      <c r="Q11" s="219">
        <v>4</v>
      </c>
      <c r="R11" s="222" t="s">
        <v>203</v>
      </c>
      <c r="T11" s="219">
        <v>10</v>
      </c>
      <c r="U11" s="219" t="s">
        <v>11</v>
      </c>
      <c r="V11" s="219">
        <v>1200</v>
      </c>
      <c r="W11" s="219">
        <v>600</v>
      </c>
      <c r="X11" s="219">
        <v>900</v>
      </c>
      <c r="Y11" s="219">
        <v>1400</v>
      </c>
      <c r="Z11" s="219">
        <f>IF(cal!BF11=0,lok!W11,IF(cal!BF11=1,lok!X11,IF(cal!BF11=2,lok!Y11,"")))</f>
        <v>600</v>
      </c>
    </row>
    <row r="12" spans="3:26">
      <c r="C12" s="218" t="s">
        <v>69</v>
      </c>
      <c r="D12" s="219">
        <v>11</v>
      </c>
      <c r="E12" s="219" t="s">
        <v>12</v>
      </c>
      <c r="F12" s="219">
        <v>11</v>
      </c>
      <c r="G12" s="219">
        <v>900</v>
      </c>
      <c r="H12" s="219">
        <v>240</v>
      </c>
      <c r="N12" s="219">
        <v>11</v>
      </c>
      <c r="O12" s="219">
        <v>-6</v>
      </c>
      <c r="P12" s="219" t="s">
        <v>248</v>
      </c>
      <c r="R12" s="220"/>
      <c r="T12" s="219">
        <v>11</v>
      </c>
      <c r="U12" s="219" t="s">
        <v>12</v>
      </c>
      <c r="V12" s="219">
        <v>900</v>
      </c>
      <c r="W12" s="219">
        <v>500</v>
      </c>
      <c r="X12" s="219">
        <v>700</v>
      </c>
      <c r="Y12" s="219">
        <v>1000</v>
      </c>
      <c r="Z12" s="219">
        <f>IF(cal!BF12=0,lok!W12,IF(cal!BF12=1,lok!X12,IF(cal!BF12=2,lok!Y12,"")))</f>
        <v>500</v>
      </c>
    </row>
    <row r="13" spans="3:26">
      <c r="C13" s="218" t="s">
        <v>70</v>
      </c>
      <c r="D13" s="219">
        <v>12</v>
      </c>
      <c r="E13" s="219" t="s">
        <v>13</v>
      </c>
      <c r="F13" s="219">
        <v>12</v>
      </c>
      <c r="G13" s="219">
        <v>1500</v>
      </c>
      <c r="H13" s="219">
        <v>400</v>
      </c>
      <c r="N13" s="219">
        <v>12</v>
      </c>
      <c r="O13" s="219">
        <v>14</v>
      </c>
      <c r="P13" s="219" t="s">
        <v>188</v>
      </c>
      <c r="R13" s="220"/>
      <c r="T13" s="219">
        <v>12</v>
      </c>
      <c r="U13" s="219" t="s">
        <v>13</v>
      </c>
      <c r="V13" s="219">
        <v>1500</v>
      </c>
      <c r="W13" s="219">
        <v>800</v>
      </c>
      <c r="X13" s="219">
        <v>1100</v>
      </c>
      <c r="Y13" s="219">
        <v>1700</v>
      </c>
      <c r="Z13" s="219">
        <f>IF(cal!BF13=0,lok!W13,IF(cal!BF13=1,lok!X13,IF(cal!BF13=2,lok!Y13,"")))</f>
        <v>800</v>
      </c>
    </row>
    <row r="14" spans="3:26">
      <c r="C14" s="218" t="s">
        <v>42</v>
      </c>
      <c r="D14" s="219">
        <v>13</v>
      </c>
      <c r="E14" s="219" t="s">
        <v>14</v>
      </c>
      <c r="F14" s="219">
        <v>13</v>
      </c>
      <c r="G14" s="219">
        <v>2400</v>
      </c>
      <c r="H14" s="219">
        <v>640</v>
      </c>
      <c r="N14" s="219">
        <v>13</v>
      </c>
      <c r="O14" s="219">
        <v>14</v>
      </c>
      <c r="P14" s="219" t="s">
        <v>187</v>
      </c>
      <c r="Q14" s="219">
        <v>1</v>
      </c>
      <c r="R14" s="222" t="s">
        <v>206</v>
      </c>
      <c r="T14" s="219">
        <v>13</v>
      </c>
      <c r="U14" s="219" t="s">
        <v>14</v>
      </c>
      <c r="V14" s="219">
        <v>2400</v>
      </c>
      <c r="W14" s="219">
        <v>1200</v>
      </c>
      <c r="X14" s="219">
        <v>1800</v>
      </c>
      <c r="Y14" s="219">
        <v>2700</v>
      </c>
      <c r="Z14" s="219">
        <f>IF(cal!BF14=0,lok!W14,IF(cal!BF14=1,lok!X14,IF(cal!BF14=2,lok!Y14,"")))</f>
        <v>1200</v>
      </c>
    </row>
    <row r="15" spans="3:26">
      <c r="C15" s="218">
        <v>14</v>
      </c>
      <c r="D15" s="219">
        <v>14</v>
      </c>
      <c r="E15" s="219" t="s">
        <v>15</v>
      </c>
      <c r="F15" s="219">
        <v>14</v>
      </c>
      <c r="N15" s="219">
        <v>14</v>
      </c>
      <c r="O15" s="219">
        <v>-6</v>
      </c>
      <c r="P15" s="219" t="s">
        <v>248</v>
      </c>
      <c r="Q15" s="219">
        <v>2</v>
      </c>
      <c r="R15" s="222" t="s">
        <v>204</v>
      </c>
      <c r="T15" s="219">
        <v>14</v>
      </c>
      <c r="U15" s="219" t="s">
        <v>15</v>
      </c>
    </row>
    <row r="16" spans="3:26">
      <c r="C16" s="218" t="s">
        <v>71</v>
      </c>
      <c r="D16" s="219">
        <v>15</v>
      </c>
      <c r="E16" s="219" t="s">
        <v>16</v>
      </c>
      <c r="F16" s="219">
        <v>15</v>
      </c>
      <c r="G16" s="219">
        <v>900</v>
      </c>
      <c r="H16" s="219">
        <v>240</v>
      </c>
      <c r="N16" s="219">
        <v>15</v>
      </c>
      <c r="O16" s="219">
        <v>14</v>
      </c>
      <c r="P16" s="219" t="s">
        <v>187</v>
      </c>
      <c r="Q16" s="219">
        <v>3</v>
      </c>
      <c r="R16" s="222" t="s">
        <v>211</v>
      </c>
      <c r="T16" s="219">
        <v>15</v>
      </c>
      <c r="U16" s="219" t="s">
        <v>16</v>
      </c>
      <c r="V16" s="219">
        <v>900</v>
      </c>
      <c r="W16" s="219">
        <v>500</v>
      </c>
      <c r="X16" s="219">
        <v>700</v>
      </c>
      <c r="Y16" s="219">
        <v>1000</v>
      </c>
      <c r="Z16" s="219">
        <f>IF(cal!BF16=0,lok!W16,IF(cal!BF16=1,lok!X16,IF(cal!BF16=2,lok!Y16,"")))</f>
        <v>500</v>
      </c>
    </row>
    <row r="17" spans="3:26">
      <c r="C17" s="218" t="s">
        <v>72</v>
      </c>
      <c r="D17" s="219">
        <v>16</v>
      </c>
      <c r="E17" s="219" t="s">
        <v>17</v>
      </c>
      <c r="F17" s="219">
        <v>16</v>
      </c>
      <c r="G17" s="219">
        <v>1200</v>
      </c>
      <c r="H17" s="219">
        <v>320</v>
      </c>
      <c r="N17" s="219">
        <v>16</v>
      </c>
      <c r="O17" s="219">
        <v>-6</v>
      </c>
      <c r="P17" s="219" t="s">
        <v>248</v>
      </c>
      <c r="Q17" s="219">
        <v>4</v>
      </c>
      <c r="R17" s="222" t="s">
        <v>212</v>
      </c>
      <c r="T17" s="219">
        <v>16</v>
      </c>
      <c r="U17" s="219" t="s">
        <v>17</v>
      </c>
      <c r="V17" s="219">
        <v>1200</v>
      </c>
      <c r="W17" s="219">
        <v>600</v>
      </c>
      <c r="X17" s="219">
        <v>900</v>
      </c>
      <c r="Y17" s="219">
        <v>1400</v>
      </c>
      <c r="Z17" s="219">
        <f>IF(cal!BF17=0,lok!W17,IF(cal!BF17=1,lok!X17,IF(cal!BF17=2,lok!Y17,"")))</f>
        <v>600</v>
      </c>
    </row>
    <row r="18" spans="3:26">
      <c r="C18" s="218">
        <v>17</v>
      </c>
      <c r="D18" s="219">
        <v>17</v>
      </c>
      <c r="E18" s="219" t="s">
        <v>18</v>
      </c>
      <c r="F18" s="219">
        <v>17</v>
      </c>
      <c r="N18" s="219">
        <v>17</v>
      </c>
      <c r="O18" s="219">
        <v>-6</v>
      </c>
      <c r="P18" s="219" t="s">
        <v>248</v>
      </c>
      <c r="R18" s="220"/>
      <c r="T18" s="219">
        <v>17</v>
      </c>
      <c r="U18" s="219" t="s">
        <v>18</v>
      </c>
    </row>
    <row r="19" spans="3:26">
      <c r="C19" s="218" t="s">
        <v>73</v>
      </c>
      <c r="D19" s="219">
        <v>18</v>
      </c>
      <c r="E19" s="219" t="s">
        <v>19</v>
      </c>
      <c r="F19" s="219">
        <v>18</v>
      </c>
      <c r="G19" s="219">
        <v>1500</v>
      </c>
      <c r="H19" s="219">
        <v>400</v>
      </c>
      <c r="N19" s="219">
        <v>18</v>
      </c>
      <c r="O19" s="219">
        <v>0</v>
      </c>
      <c r="P19" s="219" t="s">
        <v>189</v>
      </c>
      <c r="R19" s="220"/>
      <c r="T19" s="219">
        <v>18</v>
      </c>
      <c r="U19" s="219" t="s">
        <v>19</v>
      </c>
      <c r="V19" s="219">
        <v>1500</v>
      </c>
      <c r="W19" s="219">
        <v>800</v>
      </c>
      <c r="X19" s="219">
        <v>1100</v>
      </c>
      <c r="Y19" s="219">
        <v>1700</v>
      </c>
      <c r="Z19" s="219">
        <f>IF(cal!BF19=0,lok!W19,IF(cal!BF19=1,lok!X19,IF(cal!BF19=2,lok!Y19,"")))</f>
        <v>800</v>
      </c>
    </row>
    <row r="20" spans="3:26">
      <c r="C20" s="218" t="s">
        <v>74</v>
      </c>
      <c r="D20" s="219">
        <v>19</v>
      </c>
      <c r="E20" s="219" t="s">
        <v>20</v>
      </c>
      <c r="F20" s="219">
        <v>19</v>
      </c>
      <c r="G20" s="219">
        <v>2700</v>
      </c>
      <c r="H20" s="219">
        <v>720</v>
      </c>
      <c r="N20" s="219">
        <v>19</v>
      </c>
      <c r="O20" s="219">
        <v>0</v>
      </c>
      <c r="P20" s="219" t="s">
        <v>189</v>
      </c>
      <c r="Q20" s="219">
        <v>1</v>
      </c>
      <c r="R20" s="222" t="s">
        <v>209</v>
      </c>
      <c r="T20" s="219">
        <v>19</v>
      </c>
      <c r="U20" s="219" t="s">
        <v>20</v>
      </c>
      <c r="V20" s="219">
        <v>2700</v>
      </c>
      <c r="W20" s="219">
        <v>1400</v>
      </c>
      <c r="X20" s="219">
        <v>2000</v>
      </c>
      <c r="Y20" s="219">
        <v>3000</v>
      </c>
      <c r="Z20" s="219">
        <f>IF(cal!BF20=0,lok!W20,IF(cal!BF20=1,lok!X20,IF(cal!BF20=2,lok!Y20,"")))</f>
        <v>1400</v>
      </c>
    </row>
    <row r="21" spans="3:26">
      <c r="C21" s="218" t="s">
        <v>75</v>
      </c>
      <c r="D21" s="219">
        <v>20</v>
      </c>
      <c r="E21" s="219" t="s">
        <v>21</v>
      </c>
      <c r="F21" s="219">
        <v>20</v>
      </c>
      <c r="G21" s="219">
        <v>1500</v>
      </c>
      <c r="H21" s="219">
        <v>400</v>
      </c>
      <c r="N21" s="219">
        <v>20</v>
      </c>
      <c r="O21" s="219">
        <v>14</v>
      </c>
      <c r="P21" s="219" t="s">
        <v>188</v>
      </c>
      <c r="Q21" s="219">
        <v>2</v>
      </c>
      <c r="R21" s="222" t="s">
        <v>210</v>
      </c>
      <c r="T21" s="219">
        <v>20</v>
      </c>
      <c r="U21" s="219" t="s">
        <v>21</v>
      </c>
      <c r="V21" s="219">
        <v>1500</v>
      </c>
      <c r="W21" s="219">
        <v>800</v>
      </c>
      <c r="X21" s="219">
        <v>1100</v>
      </c>
      <c r="Y21" s="219">
        <v>1700</v>
      </c>
      <c r="Z21" s="219">
        <f>IF(cal!BF21=0,lok!W21,IF(cal!BF21=1,lok!X21,IF(cal!BF21=2,lok!Y21,"")))</f>
        <v>800</v>
      </c>
    </row>
    <row r="22" spans="3:26">
      <c r="C22" s="218" t="s">
        <v>48</v>
      </c>
      <c r="D22" s="219">
        <v>21</v>
      </c>
      <c r="E22" s="219" t="s">
        <v>22</v>
      </c>
      <c r="F22" s="219">
        <v>21</v>
      </c>
      <c r="G22" s="219">
        <v>1800</v>
      </c>
      <c r="H22" s="219">
        <v>480</v>
      </c>
      <c r="N22" s="219">
        <v>21</v>
      </c>
      <c r="O22" s="219">
        <v>-10000</v>
      </c>
      <c r="P22" s="219" t="s">
        <v>249</v>
      </c>
      <c r="Q22" s="219">
        <v>3</v>
      </c>
      <c r="R22" s="222" t="s">
        <v>208</v>
      </c>
      <c r="T22" s="219">
        <v>21</v>
      </c>
      <c r="U22" s="219" t="s">
        <v>22</v>
      </c>
      <c r="V22" s="219">
        <v>1800</v>
      </c>
      <c r="W22" s="219">
        <v>900</v>
      </c>
      <c r="X22" s="219">
        <v>1400</v>
      </c>
      <c r="Y22" s="219">
        <v>2000</v>
      </c>
      <c r="Z22" s="219">
        <f>IF(cal!BF22=0,lok!W22,IF(cal!BF22=1,lok!X22,IF(cal!BF22=2,lok!Y22,"")))</f>
        <v>900</v>
      </c>
    </row>
    <row r="23" spans="3:26">
      <c r="C23" s="218" t="s">
        <v>76</v>
      </c>
      <c r="D23" s="219">
        <v>22</v>
      </c>
      <c r="E23" s="219" t="s">
        <v>23</v>
      </c>
      <c r="F23" s="219">
        <v>22</v>
      </c>
      <c r="G23" s="219">
        <v>1200</v>
      </c>
      <c r="H23" s="219">
        <v>320</v>
      </c>
      <c r="N23" s="219">
        <v>22</v>
      </c>
      <c r="O23" s="219">
        <v>0</v>
      </c>
      <c r="P23" s="219" t="s">
        <v>190</v>
      </c>
      <c r="Q23" s="219">
        <v>4</v>
      </c>
      <c r="R23" s="222" t="s">
        <v>207</v>
      </c>
      <c r="T23" s="219">
        <v>22</v>
      </c>
      <c r="U23" s="219" t="s">
        <v>23</v>
      </c>
      <c r="V23" s="219">
        <v>1200</v>
      </c>
      <c r="W23" s="219">
        <v>600</v>
      </c>
      <c r="X23" s="219">
        <v>900</v>
      </c>
      <c r="Y23" s="219">
        <v>1400</v>
      </c>
      <c r="Z23" s="219">
        <f>IF(cal!BF23=0,lok!W23,IF(cal!BF23=1,lok!X23,IF(cal!BF23=2,lok!Y23,"")))</f>
        <v>600</v>
      </c>
    </row>
    <row r="24" spans="3:26">
      <c r="C24" s="218" t="s">
        <v>77</v>
      </c>
      <c r="D24" s="219">
        <v>23</v>
      </c>
      <c r="E24" s="219" t="s">
        <v>24</v>
      </c>
      <c r="F24" s="219">
        <v>23</v>
      </c>
      <c r="G24" s="219">
        <v>1800</v>
      </c>
      <c r="H24" s="219">
        <v>480</v>
      </c>
      <c r="N24" s="219">
        <v>23</v>
      </c>
      <c r="O24" s="219">
        <v>-10000</v>
      </c>
      <c r="P24" s="219" t="s">
        <v>249</v>
      </c>
      <c r="R24" s="220"/>
      <c r="T24" s="219">
        <v>23</v>
      </c>
      <c r="U24" s="219" t="s">
        <v>24</v>
      </c>
      <c r="V24" s="219">
        <v>1800</v>
      </c>
      <c r="W24" s="219">
        <v>900</v>
      </c>
      <c r="X24" s="219">
        <v>1400</v>
      </c>
      <c r="Y24" s="219">
        <v>2000</v>
      </c>
      <c r="Z24" s="219">
        <f>IF(cal!BF24=0,lok!W24,IF(cal!BF24=1,lok!X24,IF(cal!BF24=2,lok!Y24,"")))</f>
        <v>900</v>
      </c>
    </row>
    <row r="25" spans="3:26">
      <c r="C25" s="218" t="s">
        <v>78</v>
      </c>
      <c r="D25" s="219">
        <v>24</v>
      </c>
      <c r="E25" s="219" t="s">
        <v>66</v>
      </c>
      <c r="F25" s="219">
        <v>24</v>
      </c>
      <c r="G25" s="219">
        <v>2400</v>
      </c>
      <c r="H25" s="219">
        <v>640</v>
      </c>
      <c r="N25" s="219">
        <v>24</v>
      </c>
      <c r="O25" s="219">
        <v>0</v>
      </c>
      <c r="P25" s="219" t="s">
        <v>188</v>
      </c>
      <c r="R25" s="220"/>
      <c r="T25" s="219">
        <v>24</v>
      </c>
      <c r="U25" s="219" t="s">
        <v>66</v>
      </c>
      <c r="V25" s="219">
        <v>2400</v>
      </c>
      <c r="W25" s="219">
        <v>1200</v>
      </c>
      <c r="X25" s="219">
        <v>1800</v>
      </c>
      <c r="Y25" s="219">
        <v>2700</v>
      </c>
      <c r="Z25" s="219">
        <f>IF(cal!BF25=0,lok!W25,IF(cal!BF25=1,lok!X25,IF(cal!BF25=2,lok!Y25,"")))</f>
        <v>1200</v>
      </c>
    </row>
    <row r="26" spans="3:26">
      <c r="C26" s="218" t="s">
        <v>79</v>
      </c>
      <c r="D26" s="219">
        <v>25</v>
      </c>
      <c r="E26" s="219" t="s">
        <v>26</v>
      </c>
      <c r="F26" s="219">
        <v>25</v>
      </c>
      <c r="G26" s="219">
        <v>2400</v>
      </c>
      <c r="H26" s="219">
        <v>640</v>
      </c>
      <c r="K26" s="221"/>
      <c r="N26" s="219">
        <v>25</v>
      </c>
      <c r="O26" s="219">
        <v>2000</v>
      </c>
      <c r="P26" s="219" t="s">
        <v>191</v>
      </c>
      <c r="R26" s="223"/>
      <c r="T26" s="219">
        <v>25</v>
      </c>
      <c r="U26" s="219" t="s">
        <v>26</v>
      </c>
      <c r="V26" s="219">
        <v>2400</v>
      </c>
      <c r="W26" s="219">
        <v>1200</v>
      </c>
      <c r="X26" s="219">
        <v>1800</v>
      </c>
      <c r="Y26" s="219">
        <v>2700</v>
      </c>
      <c r="Z26" s="219">
        <f>IF(cal!BF26=0,lok!W26,IF(cal!BF26=1,lok!X26,IF(cal!BF26=2,lok!Y26,"")))</f>
        <v>1200</v>
      </c>
    </row>
    <row r="27" spans="3:26">
      <c r="C27" s="218" t="s">
        <v>53</v>
      </c>
      <c r="D27" s="219">
        <v>26</v>
      </c>
      <c r="E27" s="219" t="s">
        <v>25</v>
      </c>
      <c r="F27" s="219">
        <v>26</v>
      </c>
      <c r="G27" s="219">
        <v>3000</v>
      </c>
      <c r="H27" s="219">
        <v>800</v>
      </c>
      <c r="N27" s="219">
        <v>26</v>
      </c>
      <c r="O27" s="219">
        <v>-10000</v>
      </c>
      <c r="P27" s="219" t="s">
        <v>249</v>
      </c>
      <c r="R27" s="220"/>
      <c r="T27" s="219">
        <v>26</v>
      </c>
      <c r="U27" s="219" t="s">
        <v>25</v>
      </c>
      <c r="V27" s="219">
        <v>3000</v>
      </c>
      <c r="W27" s="219">
        <v>1500</v>
      </c>
      <c r="X27" s="219">
        <v>2300</v>
      </c>
      <c r="Y27" s="219">
        <v>3400</v>
      </c>
      <c r="Z27" s="219">
        <f>IF(cal!BF27=0,lok!W27,IF(cal!BF27=1,lok!X27,IF(cal!BF27=2,lok!Y27,"")))</f>
        <v>1500</v>
      </c>
    </row>
    <row r="28" spans="3:26">
      <c r="C28" s="218" t="s">
        <v>80</v>
      </c>
      <c r="D28" s="219">
        <v>27</v>
      </c>
      <c r="E28" s="219" t="s">
        <v>31</v>
      </c>
      <c r="F28" s="219">
        <v>27</v>
      </c>
      <c r="G28" s="219">
        <v>1800</v>
      </c>
      <c r="H28" s="219">
        <v>480</v>
      </c>
      <c r="K28" s="221"/>
      <c r="N28" s="219">
        <v>27</v>
      </c>
      <c r="O28" s="219">
        <v>-10000</v>
      </c>
      <c r="P28" s="219" t="s">
        <v>249</v>
      </c>
      <c r="R28" s="220"/>
      <c r="T28" s="219">
        <v>27</v>
      </c>
      <c r="U28" s="219" t="s">
        <v>31</v>
      </c>
      <c r="V28" s="219">
        <v>1800</v>
      </c>
      <c r="W28" s="219">
        <v>900</v>
      </c>
      <c r="X28" s="219">
        <v>1400</v>
      </c>
      <c r="Y28" s="219">
        <v>2000</v>
      </c>
      <c r="Z28" s="219">
        <f>IF(cal!BF28=0,lok!W28,IF(cal!BF28=1,lok!X28,IF(cal!BF28=2,lok!Y28,"")))</f>
        <v>900</v>
      </c>
    </row>
    <row r="29" spans="3:26">
      <c r="C29" s="218" t="s">
        <v>81</v>
      </c>
      <c r="D29" s="219">
        <v>28</v>
      </c>
      <c r="E29" s="219" t="s">
        <v>29</v>
      </c>
      <c r="F29" s="219">
        <v>28</v>
      </c>
      <c r="G29" s="219">
        <v>3600</v>
      </c>
      <c r="H29" s="219">
        <v>960</v>
      </c>
      <c r="K29" s="221"/>
      <c r="N29" s="219">
        <v>28</v>
      </c>
      <c r="O29" s="219">
        <v>2000</v>
      </c>
      <c r="P29" s="219" t="s">
        <v>191</v>
      </c>
      <c r="R29" s="220"/>
      <c r="T29" s="219">
        <v>28</v>
      </c>
      <c r="U29" s="219" t="s">
        <v>29</v>
      </c>
      <c r="V29" s="219">
        <v>3600</v>
      </c>
      <c r="W29" s="219">
        <v>1800</v>
      </c>
      <c r="X29" s="219">
        <v>2700</v>
      </c>
      <c r="Y29" s="219">
        <v>4900</v>
      </c>
      <c r="Z29" s="219">
        <f>IF(cal!BF29=0,lok!W29,IF(cal!BF29=1,lok!X29,IF(cal!BF29=2,lok!Y29,"")))</f>
        <v>1800</v>
      </c>
    </row>
    <row r="30" spans="3:26">
      <c r="C30" s="218" t="s">
        <v>82</v>
      </c>
      <c r="D30" s="219">
        <v>29</v>
      </c>
      <c r="E30" s="219" t="s">
        <v>28</v>
      </c>
      <c r="F30" s="219">
        <v>29</v>
      </c>
      <c r="G30" s="219">
        <v>2700</v>
      </c>
      <c r="H30" s="219">
        <v>720</v>
      </c>
      <c r="K30" s="221"/>
      <c r="N30" s="219">
        <v>29</v>
      </c>
      <c r="O30" s="219">
        <v>-10000</v>
      </c>
      <c r="P30" s="219" t="s">
        <v>249</v>
      </c>
      <c r="R30" s="220"/>
      <c r="T30" s="219">
        <v>29</v>
      </c>
      <c r="U30" s="219" t="s">
        <v>28</v>
      </c>
      <c r="V30" s="219">
        <v>2700</v>
      </c>
      <c r="W30" s="219">
        <v>1400</v>
      </c>
      <c r="X30" s="219">
        <v>2000</v>
      </c>
      <c r="Y30" s="219">
        <v>3000</v>
      </c>
      <c r="Z30" s="219">
        <f>IF(cal!BF30=0,lok!W30,IF(cal!BF30=1,lok!X30,IF(cal!BF30=2,lok!Y30,"")))</f>
        <v>1400</v>
      </c>
    </row>
    <row r="31" spans="3:26">
      <c r="C31" s="218" t="s">
        <v>57</v>
      </c>
      <c r="D31" s="219">
        <v>30</v>
      </c>
      <c r="E31" s="219" t="s">
        <v>30</v>
      </c>
      <c r="F31" s="219">
        <v>30</v>
      </c>
      <c r="G31" s="219">
        <v>3600</v>
      </c>
      <c r="H31" s="219">
        <v>960</v>
      </c>
      <c r="K31" s="221"/>
      <c r="N31" s="219">
        <v>30</v>
      </c>
      <c r="O31" s="219">
        <v>0</v>
      </c>
      <c r="P31" s="219" t="s">
        <v>187</v>
      </c>
      <c r="R31" s="220"/>
      <c r="T31" s="219">
        <v>30</v>
      </c>
      <c r="U31" s="219" t="s">
        <v>30</v>
      </c>
      <c r="V31" s="219">
        <v>3600</v>
      </c>
      <c r="W31" s="219">
        <v>1800</v>
      </c>
      <c r="X31" s="219">
        <v>2700</v>
      </c>
      <c r="Y31" s="219">
        <v>4900</v>
      </c>
      <c r="Z31" s="219">
        <f>IF(cal!BF31=0,lok!W31,IF(cal!BF31=1,lok!X31,IF(cal!BF31=2,lok!Y31,"")))</f>
        <v>1800</v>
      </c>
    </row>
    <row r="32" spans="3:26">
      <c r="C32" s="218">
        <v>31</v>
      </c>
      <c r="D32" s="219">
        <v>31</v>
      </c>
      <c r="E32" s="219" t="s">
        <v>27</v>
      </c>
      <c r="F32" s="219">
        <v>31</v>
      </c>
      <c r="N32" s="219">
        <v>31</v>
      </c>
      <c r="O32" s="219">
        <v>-10000</v>
      </c>
      <c r="P32" s="219" t="s">
        <v>249</v>
      </c>
      <c r="R32" s="220"/>
      <c r="T32" s="219">
        <v>31</v>
      </c>
      <c r="U32" s="219" t="s">
        <v>27</v>
      </c>
    </row>
    <row r="33" spans="3:26">
      <c r="C33" s="218" t="s">
        <v>83</v>
      </c>
      <c r="D33" s="219">
        <v>32</v>
      </c>
      <c r="E33" s="219" t="s">
        <v>65</v>
      </c>
      <c r="F33" s="219">
        <v>32</v>
      </c>
      <c r="G33" s="219">
        <v>600</v>
      </c>
      <c r="H33" s="219">
        <v>160</v>
      </c>
      <c r="N33" s="219">
        <v>32</v>
      </c>
      <c r="O33" s="219">
        <v>-10000</v>
      </c>
      <c r="P33" s="219" t="s">
        <v>249</v>
      </c>
      <c r="R33" s="220"/>
      <c r="T33" s="219">
        <v>32</v>
      </c>
      <c r="U33" s="219" t="s">
        <v>65</v>
      </c>
      <c r="V33" s="219">
        <v>600</v>
      </c>
      <c r="W33" s="219">
        <v>300</v>
      </c>
      <c r="X33" s="219">
        <v>500</v>
      </c>
      <c r="Y33" s="219">
        <v>700</v>
      </c>
      <c r="Z33" s="219">
        <f>IF(cal!BF33=0,lok!W33,IF(cal!BF33=1,lok!X33,IF(cal!BF33=2,lok!Y33,"")))</f>
        <v>300</v>
      </c>
    </row>
    <row r="34" spans="3:26">
      <c r="C34" s="218" t="s">
        <v>84</v>
      </c>
      <c r="D34" s="219">
        <v>33</v>
      </c>
      <c r="E34" s="219" t="s">
        <v>67</v>
      </c>
      <c r="F34" s="219">
        <v>33</v>
      </c>
      <c r="G34" s="219">
        <v>3000</v>
      </c>
      <c r="H34" s="219">
        <v>800</v>
      </c>
      <c r="N34" s="219">
        <v>33</v>
      </c>
      <c r="O34" s="219">
        <v>-10000</v>
      </c>
      <c r="P34" s="219" t="s">
        <v>249</v>
      </c>
      <c r="R34" s="220"/>
      <c r="T34" s="219">
        <v>33</v>
      </c>
      <c r="U34" s="219" t="s">
        <v>67</v>
      </c>
      <c r="V34" s="219">
        <v>3000</v>
      </c>
      <c r="W34" s="219">
        <v>1500</v>
      </c>
      <c r="X34" s="219">
        <v>2300</v>
      </c>
      <c r="Y34" s="219">
        <v>3400</v>
      </c>
      <c r="Z34" s="219">
        <f>IF(cal!BF34=0,lok!W34,IF(cal!BF34=1,lok!X34,IF(cal!BF34=2,lok!Y34,"")))</f>
        <v>1500</v>
      </c>
    </row>
    <row r="35" spans="3:26">
      <c r="C35" s="218">
        <v>34</v>
      </c>
      <c r="D35" s="219">
        <v>34</v>
      </c>
      <c r="E35" s="219" t="s">
        <v>34</v>
      </c>
      <c r="F35" s="219">
        <v>34</v>
      </c>
      <c r="K35" s="221"/>
      <c r="N35" s="219">
        <v>34</v>
      </c>
      <c r="O35" s="219">
        <v>2000</v>
      </c>
      <c r="P35" s="219" t="s">
        <v>191</v>
      </c>
      <c r="R35" s="220"/>
      <c r="T35" s="219">
        <v>34</v>
      </c>
      <c r="U35" s="219" t="s">
        <v>34</v>
      </c>
    </row>
    <row r="36" spans="3:26">
      <c r="C36" s="218" t="s">
        <v>60</v>
      </c>
      <c r="D36" s="219">
        <v>35</v>
      </c>
      <c r="E36" s="219" t="s">
        <v>32</v>
      </c>
      <c r="F36" s="219">
        <v>35</v>
      </c>
      <c r="G36" s="219">
        <v>1200</v>
      </c>
      <c r="H36" s="219">
        <v>320</v>
      </c>
      <c r="K36" s="221"/>
      <c r="N36" s="219">
        <v>35</v>
      </c>
      <c r="O36" s="219">
        <v>-10000</v>
      </c>
      <c r="P36" s="219" t="s">
        <v>249</v>
      </c>
      <c r="R36" s="220"/>
      <c r="T36" s="219">
        <v>35</v>
      </c>
      <c r="U36" s="219" t="s">
        <v>32</v>
      </c>
      <c r="V36" s="219">
        <v>1200</v>
      </c>
      <c r="W36" s="219">
        <v>600</v>
      </c>
      <c r="X36" s="219">
        <v>900</v>
      </c>
      <c r="Y36" s="219">
        <v>1400</v>
      </c>
      <c r="Z36" s="219">
        <f>IF(cal!BF36=0,lok!W36,IF(cal!BF36=1,lok!X36,IF(cal!BF36=2,lok!Y36,"")))</f>
        <v>600</v>
      </c>
    </row>
    <row r="37" spans="3:26">
      <c r="C37" s="218">
        <v>36</v>
      </c>
      <c r="D37" s="219">
        <v>36</v>
      </c>
      <c r="E37" s="219" t="s">
        <v>33</v>
      </c>
      <c r="F37" s="219">
        <v>36</v>
      </c>
      <c r="N37" s="219">
        <v>36</v>
      </c>
      <c r="O37" s="219">
        <v>-10000</v>
      </c>
      <c r="P37" s="219" t="s">
        <v>249</v>
      </c>
      <c r="R37" s="220"/>
      <c r="T37" s="219">
        <v>36</v>
      </c>
      <c r="U37" s="219" t="s">
        <v>33</v>
      </c>
    </row>
    <row r="38" spans="3:26">
      <c r="C38" s="218" t="s">
        <v>85</v>
      </c>
      <c r="D38" s="219">
        <v>37</v>
      </c>
      <c r="E38" s="219" t="s">
        <v>35</v>
      </c>
      <c r="F38" s="219">
        <v>37</v>
      </c>
      <c r="G38" s="219">
        <v>1500</v>
      </c>
      <c r="H38" s="219">
        <v>400</v>
      </c>
      <c r="N38" s="219">
        <v>37</v>
      </c>
      <c r="O38" s="219">
        <v>-10000</v>
      </c>
      <c r="P38" s="219" t="s">
        <v>249</v>
      </c>
      <c r="R38" s="220"/>
      <c r="T38" s="219">
        <v>37</v>
      </c>
      <c r="U38" s="219" t="s">
        <v>35</v>
      </c>
      <c r="V38" s="219">
        <v>1500</v>
      </c>
      <c r="W38" s="219">
        <v>800</v>
      </c>
      <c r="X38" s="219">
        <v>1100</v>
      </c>
      <c r="Y38" s="219">
        <v>1700</v>
      </c>
      <c r="Z38" s="219">
        <f>IF(cal!BF38=0,lok!W38,IF(cal!BF38=1,lok!X38,IF(cal!BF38=2,lok!Y38,"")))</f>
        <v>800</v>
      </c>
    </row>
    <row r="39" spans="3:26">
      <c r="C39" s="218">
        <v>38</v>
      </c>
      <c r="D39" s="219">
        <v>38</v>
      </c>
      <c r="E39" s="219" t="s">
        <v>36</v>
      </c>
      <c r="F39" s="219">
        <v>38</v>
      </c>
      <c r="N39" s="219">
        <v>38</v>
      </c>
      <c r="O39" s="219">
        <v>0</v>
      </c>
      <c r="P39" s="219" t="s">
        <v>187</v>
      </c>
      <c r="R39" s="220"/>
      <c r="T39" s="219">
        <v>38</v>
      </c>
      <c r="U39" s="219" t="s">
        <v>36</v>
      </c>
    </row>
    <row r="40" spans="3:26">
      <c r="C40" s="218" t="s">
        <v>86</v>
      </c>
      <c r="D40" s="219">
        <v>39</v>
      </c>
      <c r="E40" s="219" t="s">
        <v>37</v>
      </c>
      <c r="F40" s="219">
        <v>39</v>
      </c>
      <c r="G40" s="219">
        <v>1800</v>
      </c>
      <c r="H40" s="219">
        <v>480</v>
      </c>
      <c r="N40" s="219">
        <v>39</v>
      </c>
      <c r="O40" s="219">
        <v>-10000</v>
      </c>
      <c r="P40" s="219" t="s">
        <v>249</v>
      </c>
      <c r="R40" s="220"/>
      <c r="T40" s="219">
        <v>39</v>
      </c>
      <c r="U40" s="219" t="s">
        <v>37</v>
      </c>
      <c r="V40" s="219">
        <v>1800</v>
      </c>
      <c r="W40" s="219">
        <v>900</v>
      </c>
      <c r="X40" s="219">
        <v>1400</v>
      </c>
      <c r="Y40" s="219">
        <v>2000</v>
      </c>
      <c r="Z40" s="219">
        <f>IF(cal!BF40=0,lok!W40,IF(cal!BF40=1,lok!X40,IF(cal!BF40=2,lok!Y40,"")))</f>
        <v>900</v>
      </c>
    </row>
    <row r="41" spans="3:26">
      <c r="C41" s="218" t="s">
        <v>87</v>
      </c>
      <c r="D41" s="219">
        <v>40</v>
      </c>
      <c r="E41" s="219" t="s">
        <v>38</v>
      </c>
      <c r="F41" s="219">
        <v>40</v>
      </c>
      <c r="G41" s="219">
        <v>1800</v>
      </c>
      <c r="H41" s="219">
        <v>480</v>
      </c>
      <c r="N41" s="219">
        <v>40</v>
      </c>
      <c r="O41" s="219">
        <v>-10000</v>
      </c>
      <c r="P41" s="219" t="s">
        <v>249</v>
      </c>
      <c r="R41" s="220"/>
      <c r="T41" s="219">
        <v>40</v>
      </c>
      <c r="U41" s="219" t="s">
        <v>38</v>
      </c>
      <c r="V41" s="219">
        <v>1800</v>
      </c>
      <c r="W41" s="219">
        <v>900</v>
      </c>
      <c r="X41" s="219">
        <v>1400</v>
      </c>
      <c r="Y41" s="219">
        <v>2000</v>
      </c>
      <c r="Z41" s="219">
        <f>IF(cal!BF41=0,lok!W41,IF(cal!BF41=1,lok!X41,IF(cal!BF41=2,lok!Y41,"")))</f>
        <v>900</v>
      </c>
    </row>
    <row r="42" spans="3:26">
      <c r="C42" s="218">
        <v>0</v>
      </c>
      <c r="D42" s="219">
        <v>0</v>
      </c>
      <c r="E42" s="219" t="s">
        <v>1</v>
      </c>
      <c r="F42" s="219">
        <v>0</v>
      </c>
      <c r="K42" s="221"/>
      <c r="N42" s="224">
        <v>41</v>
      </c>
      <c r="O42" s="224"/>
      <c r="P42" s="224"/>
      <c r="R42" s="220"/>
      <c r="T42" s="219">
        <v>-6</v>
      </c>
      <c r="U42" s="219" t="s">
        <v>247</v>
      </c>
    </row>
    <row r="43" spans="3:26">
      <c r="C43" s="218" t="s">
        <v>154</v>
      </c>
      <c r="D43" s="219">
        <v>1</v>
      </c>
      <c r="E43" s="219" t="s">
        <v>2</v>
      </c>
      <c r="F43" s="219">
        <v>1</v>
      </c>
      <c r="G43" s="219">
        <v>1800</v>
      </c>
      <c r="H43" s="219">
        <v>480</v>
      </c>
      <c r="K43" s="221"/>
      <c r="M43" s="219">
        <v>17</v>
      </c>
      <c r="N43" s="219">
        <v>42</v>
      </c>
      <c r="O43" s="225">
        <v>500</v>
      </c>
      <c r="P43" s="219" t="s">
        <v>192</v>
      </c>
      <c r="R43" s="220"/>
      <c r="T43" s="219">
        <v>-5</v>
      </c>
      <c r="U43" s="219" t="s">
        <v>247</v>
      </c>
    </row>
    <row r="44" spans="3:26">
      <c r="C44" s="218" t="s">
        <v>155</v>
      </c>
      <c r="D44" s="219">
        <v>2</v>
      </c>
      <c r="E44" s="219" t="s">
        <v>3</v>
      </c>
      <c r="F44" s="219">
        <v>2</v>
      </c>
      <c r="G44" s="219">
        <v>1400</v>
      </c>
      <c r="H44" s="219">
        <v>360</v>
      </c>
      <c r="K44" s="221"/>
      <c r="M44" s="219">
        <v>34</v>
      </c>
      <c r="N44" s="219">
        <v>43</v>
      </c>
      <c r="O44" s="225">
        <v>-800</v>
      </c>
      <c r="P44" s="219" t="s">
        <v>195</v>
      </c>
      <c r="R44" s="220"/>
      <c r="T44" s="219">
        <v>-4</v>
      </c>
      <c r="U44" s="219" t="s">
        <v>247</v>
      </c>
    </row>
    <row r="45" spans="3:26">
      <c r="C45" s="218" t="s">
        <v>156</v>
      </c>
      <c r="D45" s="219">
        <v>3</v>
      </c>
      <c r="E45" s="219" t="s">
        <v>4</v>
      </c>
      <c r="F45" s="219">
        <v>3</v>
      </c>
      <c r="G45" s="219">
        <v>2300</v>
      </c>
      <c r="H45" s="219">
        <v>600</v>
      </c>
      <c r="K45" s="221"/>
      <c r="M45" s="219">
        <v>36</v>
      </c>
      <c r="N45" s="219">
        <v>44</v>
      </c>
      <c r="O45" s="225">
        <v>-1000</v>
      </c>
      <c r="P45" s="219" t="s">
        <v>194</v>
      </c>
      <c r="R45" s="220"/>
      <c r="T45" s="219">
        <v>-3</v>
      </c>
      <c r="U45" s="219" t="s">
        <v>247</v>
      </c>
    </row>
    <row r="46" spans="3:26">
      <c r="C46" s="218" t="s">
        <v>157</v>
      </c>
      <c r="D46" s="219">
        <v>4</v>
      </c>
      <c r="E46" s="219" t="s">
        <v>5</v>
      </c>
      <c r="F46" s="219">
        <v>4</v>
      </c>
      <c r="G46" s="219">
        <v>900</v>
      </c>
      <c r="H46" s="219">
        <v>240</v>
      </c>
      <c r="K46" s="221"/>
      <c r="M46" s="219">
        <v>38</v>
      </c>
      <c r="N46" s="219">
        <v>45</v>
      </c>
      <c r="O46" s="225">
        <v>500</v>
      </c>
      <c r="P46" s="219" t="s">
        <v>193</v>
      </c>
      <c r="R46" s="220"/>
      <c r="T46" s="219">
        <v>-2</v>
      </c>
      <c r="U46" s="219" t="s">
        <v>247</v>
      </c>
    </row>
    <row r="47" spans="3:26">
      <c r="C47" s="218" t="s">
        <v>158</v>
      </c>
      <c r="D47" s="219">
        <v>5</v>
      </c>
      <c r="E47" s="219" t="s">
        <v>6</v>
      </c>
      <c r="F47" s="219">
        <v>5</v>
      </c>
      <c r="G47" s="219">
        <v>1800</v>
      </c>
      <c r="H47" s="219">
        <v>480</v>
      </c>
      <c r="K47" s="221"/>
      <c r="R47" s="220"/>
      <c r="T47" s="219">
        <v>-1</v>
      </c>
      <c r="U47" s="219" t="s">
        <v>247</v>
      </c>
    </row>
    <row r="48" spans="3:26">
      <c r="C48" s="218" t="s">
        <v>159</v>
      </c>
      <c r="D48" s="219">
        <v>6</v>
      </c>
      <c r="E48" s="219" t="s">
        <v>7</v>
      </c>
      <c r="F48" s="219">
        <v>6</v>
      </c>
      <c r="G48" s="219">
        <v>3200</v>
      </c>
      <c r="H48" s="219">
        <v>840</v>
      </c>
      <c r="K48" s="221"/>
      <c r="R48" s="220"/>
    </row>
    <row r="49" spans="3:18">
      <c r="C49" s="218" t="s">
        <v>160</v>
      </c>
      <c r="D49" s="219">
        <v>7</v>
      </c>
      <c r="E49" s="219" t="s">
        <v>8</v>
      </c>
      <c r="F49" s="219">
        <v>7</v>
      </c>
      <c r="G49" s="219">
        <v>2300</v>
      </c>
      <c r="H49" s="219">
        <v>600</v>
      </c>
      <c r="K49" s="221"/>
      <c r="R49" s="220"/>
    </row>
    <row r="50" spans="3:18">
      <c r="C50" s="218" t="s">
        <v>161</v>
      </c>
      <c r="D50" s="219">
        <v>8</v>
      </c>
      <c r="E50" s="219" t="s">
        <v>9</v>
      </c>
      <c r="F50" s="219">
        <v>8</v>
      </c>
      <c r="G50" s="219">
        <v>2700</v>
      </c>
      <c r="H50" s="219">
        <v>720</v>
      </c>
      <c r="K50" s="221"/>
      <c r="R50" s="220"/>
    </row>
    <row r="51" spans="3:18">
      <c r="C51" s="218" t="s">
        <v>162</v>
      </c>
      <c r="D51" s="219">
        <v>9</v>
      </c>
      <c r="E51" s="219" t="s">
        <v>10</v>
      </c>
      <c r="F51" s="219">
        <v>9</v>
      </c>
      <c r="G51" s="219">
        <v>4500</v>
      </c>
      <c r="H51" s="219">
        <v>1200</v>
      </c>
      <c r="K51" s="221"/>
      <c r="R51" s="220"/>
    </row>
    <row r="52" spans="3:18">
      <c r="C52" s="218" t="s">
        <v>39</v>
      </c>
      <c r="D52" s="219">
        <v>10</v>
      </c>
      <c r="E52" s="219" t="s">
        <v>11</v>
      </c>
      <c r="F52" s="219">
        <v>10</v>
      </c>
      <c r="G52" s="219">
        <v>1800</v>
      </c>
      <c r="H52" s="219">
        <v>480</v>
      </c>
      <c r="K52" s="221"/>
      <c r="R52" s="220"/>
    </row>
    <row r="53" spans="3:18">
      <c r="C53" s="218" t="s">
        <v>40</v>
      </c>
      <c r="D53" s="219">
        <v>11</v>
      </c>
      <c r="E53" s="219" t="s">
        <v>12</v>
      </c>
      <c r="F53" s="219">
        <v>11</v>
      </c>
      <c r="G53" s="219">
        <v>1400</v>
      </c>
      <c r="H53" s="219">
        <v>360</v>
      </c>
      <c r="K53" s="221"/>
      <c r="R53" s="220"/>
    </row>
    <row r="54" spans="3:18">
      <c r="C54" s="218" t="s">
        <v>88</v>
      </c>
      <c r="D54" s="219">
        <v>12</v>
      </c>
      <c r="E54" s="219" t="s">
        <v>13</v>
      </c>
      <c r="F54" s="219">
        <v>12</v>
      </c>
      <c r="G54" s="219">
        <v>2300</v>
      </c>
      <c r="H54" s="219">
        <v>600</v>
      </c>
      <c r="K54" s="221"/>
      <c r="R54" s="220"/>
    </row>
    <row r="55" spans="3:18">
      <c r="C55" s="218" t="s">
        <v>89</v>
      </c>
      <c r="D55" s="219">
        <v>13</v>
      </c>
      <c r="E55" s="219" t="s">
        <v>14</v>
      </c>
      <c r="F55" s="219">
        <v>13</v>
      </c>
      <c r="G55" s="219">
        <v>3600</v>
      </c>
      <c r="H55" s="219">
        <v>960</v>
      </c>
      <c r="K55" s="221"/>
      <c r="R55" s="220"/>
    </row>
    <row r="56" spans="3:18">
      <c r="C56" s="218">
        <v>14</v>
      </c>
      <c r="D56" s="219">
        <v>14</v>
      </c>
      <c r="E56" s="219" t="s">
        <v>15</v>
      </c>
      <c r="F56" s="219">
        <v>14</v>
      </c>
      <c r="K56" s="221"/>
      <c r="R56" s="220"/>
    </row>
    <row r="57" spans="3:18">
      <c r="C57" s="218" t="s">
        <v>43</v>
      </c>
      <c r="D57" s="219">
        <v>15</v>
      </c>
      <c r="E57" s="219" t="s">
        <v>16</v>
      </c>
      <c r="F57" s="219">
        <v>15</v>
      </c>
      <c r="G57" s="219">
        <v>1400</v>
      </c>
      <c r="H57" s="219">
        <v>360</v>
      </c>
      <c r="K57" s="221"/>
      <c r="R57" s="220"/>
    </row>
    <row r="58" spans="3:18">
      <c r="C58" s="218" t="s">
        <v>90</v>
      </c>
      <c r="D58" s="219">
        <v>16</v>
      </c>
      <c r="E58" s="219" t="s">
        <v>17</v>
      </c>
      <c r="F58" s="219">
        <v>16</v>
      </c>
      <c r="G58" s="219">
        <v>1800</v>
      </c>
      <c r="H58" s="219">
        <v>480</v>
      </c>
      <c r="K58" s="221"/>
      <c r="R58" s="220"/>
    </row>
    <row r="59" spans="3:18">
      <c r="C59" s="218">
        <v>17</v>
      </c>
      <c r="D59" s="219">
        <v>17</v>
      </c>
      <c r="E59" s="219" t="s">
        <v>18</v>
      </c>
      <c r="F59" s="219">
        <v>17</v>
      </c>
      <c r="K59" s="221"/>
      <c r="R59" s="220"/>
    </row>
    <row r="60" spans="3:18">
      <c r="C60" s="218" t="s">
        <v>91</v>
      </c>
      <c r="D60" s="219">
        <v>18</v>
      </c>
      <c r="E60" s="219" t="s">
        <v>19</v>
      </c>
      <c r="F60" s="219">
        <v>18</v>
      </c>
      <c r="G60" s="219">
        <v>2300</v>
      </c>
      <c r="H60" s="219">
        <v>600</v>
      </c>
      <c r="K60" s="221"/>
      <c r="R60" s="220"/>
    </row>
    <row r="61" spans="3:18">
      <c r="C61" s="218" t="s">
        <v>92</v>
      </c>
      <c r="D61" s="219">
        <v>19</v>
      </c>
      <c r="E61" s="219" t="s">
        <v>20</v>
      </c>
      <c r="F61" s="219">
        <v>19</v>
      </c>
      <c r="G61" s="219">
        <v>4100</v>
      </c>
      <c r="H61" s="219">
        <v>1080</v>
      </c>
      <c r="K61" s="221"/>
      <c r="R61" s="223"/>
    </row>
    <row r="62" spans="3:18">
      <c r="C62" s="218" t="s">
        <v>93</v>
      </c>
      <c r="D62" s="219">
        <v>20</v>
      </c>
      <c r="E62" s="219" t="s">
        <v>21</v>
      </c>
      <c r="F62" s="219">
        <v>20</v>
      </c>
      <c r="G62" s="219">
        <v>2300</v>
      </c>
      <c r="H62" s="219">
        <v>600</v>
      </c>
      <c r="K62" s="221"/>
      <c r="R62" s="220"/>
    </row>
    <row r="63" spans="3:18">
      <c r="C63" s="218" t="s">
        <v>94</v>
      </c>
      <c r="D63" s="219">
        <v>21</v>
      </c>
      <c r="E63" s="219" t="s">
        <v>22</v>
      </c>
      <c r="F63" s="219">
        <v>21</v>
      </c>
      <c r="G63" s="219">
        <v>2700</v>
      </c>
      <c r="H63" s="219">
        <v>720</v>
      </c>
      <c r="K63" s="221"/>
      <c r="R63" s="220"/>
    </row>
    <row r="64" spans="3:18">
      <c r="C64" s="218" t="s">
        <v>95</v>
      </c>
      <c r="D64" s="219">
        <v>22</v>
      </c>
      <c r="E64" s="219" t="s">
        <v>23</v>
      </c>
      <c r="F64" s="219">
        <v>22</v>
      </c>
      <c r="G64" s="219">
        <v>1800</v>
      </c>
      <c r="H64" s="219">
        <v>480</v>
      </c>
      <c r="K64" s="221"/>
      <c r="R64" s="220"/>
    </row>
    <row r="65" spans="3:18">
      <c r="C65" s="218" t="s">
        <v>96</v>
      </c>
      <c r="D65" s="219">
        <v>23</v>
      </c>
      <c r="E65" s="219" t="s">
        <v>24</v>
      </c>
      <c r="F65" s="219">
        <v>23</v>
      </c>
      <c r="G65" s="219">
        <v>2700</v>
      </c>
      <c r="H65" s="219">
        <v>720</v>
      </c>
      <c r="K65" s="221"/>
      <c r="R65" s="220"/>
    </row>
    <row r="66" spans="3:18">
      <c r="C66" s="218" t="s">
        <v>51</v>
      </c>
      <c r="D66" s="219">
        <v>24</v>
      </c>
      <c r="E66" s="219" t="s">
        <v>66</v>
      </c>
      <c r="F66" s="219">
        <v>24</v>
      </c>
      <c r="G66" s="219">
        <v>3600</v>
      </c>
      <c r="H66" s="219">
        <v>960</v>
      </c>
      <c r="K66" s="221"/>
      <c r="R66" s="220"/>
    </row>
    <row r="67" spans="3:18">
      <c r="C67" s="218" t="s">
        <v>97</v>
      </c>
      <c r="D67" s="219">
        <v>25</v>
      </c>
      <c r="E67" s="219" t="s">
        <v>26</v>
      </c>
      <c r="F67" s="219">
        <v>25</v>
      </c>
      <c r="G67" s="219">
        <v>3600</v>
      </c>
      <c r="H67" s="219">
        <v>960</v>
      </c>
      <c r="K67" s="221"/>
      <c r="R67" s="220"/>
    </row>
    <row r="68" spans="3:18">
      <c r="C68" s="218" t="s">
        <v>98</v>
      </c>
      <c r="D68" s="219">
        <v>26</v>
      </c>
      <c r="E68" s="219" t="s">
        <v>25</v>
      </c>
      <c r="F68" s="219">
        <v>26</v>
      </c>
      <c r="G68" s="219">
        <v>4500</v>
      </c>
      <c r="H68" s="219">
        <v>1200</v>
      </c>
      <c r="K68" s="221"/>
      <c r="R68" s="220"/>
    </row>
    <row r="69" spans="3:18">
      <c r="C69" s="218" t="s">
        <v>54</v>
      </c>
      <c r="D69" s="219">
        <v>27</v>
      </c>
      <c r="E69" s="219" t="s">
        <v>31</v>
      </c>
      <c r="F69" s="219">
        <v>27</v>
      </c>
      <c r="G69" s="219">
        <v>2700</v>
      </c>
      <c r="H69" s="219">
        <v>720</v>
      </c>
      <c r="K69" s="221"/>
      <c r="R69" s="220"/>
    </row>
    <row r="70" spans="3:18">
      <c r="C70" s="218" t="s">
        <v>99</v>
      </c>
      <c r="D70" s="219">
        <v>28</v>
      </c>
      <c r="E70" s="219" t="s">
        <v>29</v>
      </c>
      <c r="F70" s="219">
        <v>28</v>
      </c>
      <c r="G70" s="219">
        <v>5400</v>
      </c>
      <c r="H70" s="219">
        <v>1440</v>
      </c>
      <c r="K70" s="221"/>
      <c r="R70" s="220"/>
    </row>
    <row r="71" spans="3:18">
      <c r="C71" s="218" t="s">
        <v>100</v>
      </c>
      <c r="D71" s="219">
        <v>29</v>
      </c>
      <c r="E71" s="219" t="s">
        <v>28</v>
      </c>
      <c r="F71" s="219">
        <v>29</v>
      </c>
      <c r="G71" s="219">
        <v>4100</v>
      </c>
      <c r="H71" s="219">
        <v>1080</v>
      </c>
      <c r="K71" s="221"/>
      <c r="R71" s="220"/>
    </row>
    <row r="72" spans="3:18">
      <c r="C72" s="218" t="s">
        <v>101</v>
      </c>
      <c r="D72" s="219">
        <v>30</v>
      </c>
      <c r="E72" s="219" t="s">
        <v>30</v>
      </c>
      <c r="F72" s="219">
        <v>30</v>
      </c>
      <c r="G72" s="219">
        <v>5400</v>
      </c>
      <c r="H72" s="219">
        <v>1440</v>
      </c>
      <c r="K72" s="221"/>
      <c r="R72" s="220"/>
    </row>
    <row r="73" spans="3:18">
      <c r="C73" s="218">
        <v>31</v>
      </c>
      <c r="D73" s="219">
        <v>31</v>
      </c>
      <c r="E73" s="219" t="s">
        <v>27</v>
      </c>
      <c r="F73" s="219">
        <v>31</v>
      </c>
      <c r="K73" s="221"/>
      <c r="R73" s="220"/>
    </row>
    <row r="74" spans="3:18">
      <c r="C74" s="218" t="s">
        <v>58</v>
      </c>
      <c r="D74" s="219">
        <v>32</v>
      </c>
      <c r="E74" s="219" t="s">
        <v>65</v>
      </c>
      <c r="F74" s="219">
        <v>32</v>
      </c>
      <c r="G74" s="219">
        <v>900</v>
      </c>
      <c r="H74" s="219">
        <v>240</v>
      </c>
      <c r="K74" s="221"/>
      <c r="R74" s="220"/>
    </row>
    <row r="75" spans="3:18">
      <c r="C75" s="218" t="s">
        <v>102</v>
      </c>
      <c r="D75" s="219">
        <v>33</v>
      </c>
      <c r="E75" s="219" t="s">
        <v>67</v>
      </c>
      <c r="F75" s="219">
        <v>33</v>
      </c>
      <c r="G75" s="219">
        <v>4500</v>
      </c>
      <c r="H75" s="219">
        <v>1200</v>
      </c>
      <c r="K75" s="221"/>
      <c r="R75" s="220"/>
    </row>
    <row r="76" spans="3:18">
      <c r="C76" s="218">
        <v>34</v>
      </c>
      <c r="D76" s="219">
        <v>34</v>
      </c>
      <c r="E76" s="219" t="s">
        <v>34</v>
      </c>
      <c r="F76" s="219">
        <v>34</v>
      </c>
      <c r="K76" s="221"/>
      <c r="R76" s="220"/>
    </row>
    <row r="77" spans="3:18">
      <c r="C77" s="218" t="s">
        <v>103</v>
      </c>
      <c r="D77" s="219">
        <v>35</v>
      </c>
      <c r="E77" s="219" t="s">
        <v>32</v>
      </c>
      <c r="F77" s="219">
        <v>35</v>
      </c>
      <c r="G77" s="219">
        <v>1800</v>
      </c>
      <c r="H77" s="219">
        <v>480</v>
      </c>
      <c r="K77" s="221"/>
      <c r="R77" s="220"/>
    </row>
    <row r="78" spans="3:18">
      <c r="C78" s="218">
        <v>36</v>
      </c>
      <c r="D78" s="219">
        <v>36</v>
      </c>
      <c r="E78" s="219" t="s">
        <v>33</v>
      </c>
      <c r="F78" s="219">
        <v>36</v>
      </c>
      <c r="K78" s="221"/>
      <c r="R78" s="220"/>
    </row>
    <row r="79" spans="3:18">
      <c r="C79" s="218" t="s">
        <v>104</v>
      </c>
      <c r="D79" s="219">
        <v>37</v>
      </c>
      <c r="E79" s="219" t="s">
        <v>35</v>
      </c>
      <c r="F79" s="219">
        <v>37</v>
      </c>
      <c r="G79" s="219">
        <v>2300</v>
      </c>
      <c r="H79" s="219">
        <v>600</v>
      </c>
      <c r="K79" s="221"/>
      <c r="R79" s="220"/>
    </row>
    <row r="80" spans="3:18">
      <c r="C80" s="218">
        <v>38</v>
      </c>
      <c r="D80" s="219">
        <v>38</v>
      </c>
      <c r="E80" s="219" t="s">
        <v>36</v>
      </c>
      <c r="F80" s="219">
        <v>38</v>
      </c>
      <c r="K80" s="221"/>
      <c r="R80" s="220"/>
    </row>
    <row r="81" spans="3:18">
      <c r="C81" s="218" t="s">
        <v>62</v>
      </c>
      <c r="D81" s="219">
        <v>39</v>
      </c>
      <c r="E81" s="219" t="s">
        <v>37</v>
      </c>
      <c r="F81" s="219">
        <v>39</v>
      </c>
      <c r="G81" s="219">
        <v>2700</v>
      </c>
      <c r="H81" s="219">
        <v>720</v>
      </c>
      <c r="K81" s="221"/>
      <c r="R81" s="220"/>
    </row>
    <row r="82" spans="3:18">
      <c r="C82" s="218" t="s">
        <v>105</v>
      </c>
      <c r="D82" s="219">
        <v>40</v>
      </c>
      <c r="E82" s="219" t="s">
        <v>38</v>
      </c>
      <c r="F82" s="219">
        <v>40</v>
      </c>
      <c r="G82" s="219">
        <v>2700</v>
      </c>
      <c r="H82" s="219">
        <v>720</v>
      </c>
      <c r="K82" s="221"/>
      <c r="R82" s="220"/>
    </row>
    <row r="83" spans="3:18">
      <c r="C83" s="218">
        <v>0</v>
      </c>
      <c r="D83" s="219">
        <v>0</v>
      </c>
      <c r="E83" s="219" t="s">
        <v>1</v>
      </c>
      <c r="F83" s="219">
        <v>0</v>
      </c>
      <c r="K83" s="221"/>
      <c r="R83" s="220"/>
    </row>
    <row r="84" spans="3:18">
      <c r="C84" s="218" t="s">
        <v>163</v>
      </c>
      <c r="D84" s="219">
        <v>1</v>
      </c>
      <c r="E84" s="219" t="s">
        <v>2</v>
      </c>
      <c r="F84" s="219">
        <v>1</v>
      </c>
      <c r="G84" s="219">
        <v>2700</v>
      </c>
      <c r="H84" s="219">
        <v>720</v>
      </c>
      <c r="K84" s="221"/>
      <c r="R84" s="220"/>
    </row>
    <row r="85" spans="3:18">
      <c r="C85" s="218" t="s">
        <v>164</v>
      </c>
      <c r="D85" s="219">
        <v>2</v>
      </c>
      <c r="E85" s="219" t="s">
        <v>3</v>
      </c>
      <c r="F85" s="219">
        <v>2</v>
      </c>
      <c r="G85" s="219">
        <v>2100</v>
      </c>
      <c r="H85" s="219">
        <v>540</v>
      </c>
      <c r="K85" s="221"/>
      <c r="R85" s="223"/>
    </row>
    <row r="86" spans="3:18">
      <c r="C86" s="218" t="s">
        <v>165</v>
      </c>
      <c r="D86" s="219">
        <v>3</v>
      </c>
      <c r="E86" s="219" t="s">
        <v>4</v>
      </c>
      <c r="F86" s="219">
        <v>3</v>
      </c>
      <c r="G86" s="219">
        <v>3400</v>
      </c>
      <c r="H86" s="219">
        <v>900</v>
      </c>
      <c r="K86" s="221"/>
      <c r="R86" s="220"/>
    </row>
    <row r="87" spans="3:18">
      <c r="C87" s="218" t="s">
        <v>166</v>
      </c>
      <c r="D87" s="219">
        <v>4</v>
      </c>
      <c r="E87" s="219" t="s">
        <v>5</v>
      </c>
      <c r="F87" s="219">
        <v>4</v>
      </c>
      <c r="G87" s="219">
        <v>1400</v>
      </c>
      <c r="H87" s="219">
        <v>360</v>
      </c>
      <c r="K87" s="221"/>
      <c r="R87" s="220"/>
    </row>
    <row r="88" spans="3:18">
      <c r="C88" s="218" t="s">
        <v>167</v>
      </c>
      <c r="D88" s="219">
        <v>5</v>
      </c>
      <c r="E88" s="219" t="s">
        <v>6</v>
      </c>
      <c r="F88" s="219">
        <v>5</v>
      </c>
      <c r="G88" s="219">
        <v>2700</v>
      </c>
      <c r="H88" s="219">
        <v>720</v>
      </c>
      <c r="K88" s="221"/>
      <c r="R88" s="220"/>
    </row>
    <row r="89" spans="3:18">
      <c r="C89" s="218" t="s">
        <v>168</v>
      </c>
      <c r="D89" s="219">
        <v>6</v>
      </c>
      <c r="E89" s="219" t="s">
        <v>7</v>
      </c>
      <c r="F89" s="219">
        <v>6</v>
      </c>
      <c r="G89" s="219">
        <v>4800</v>
      </c>
      <c r="H89" s="219">
        <v>1260</v>
      </c>
      <c r="K89" s="221"/>
      <c r="R89" s="220"/>
    </row>
    <row r="90" spans="3:18">
      <c r="C90" s="218" t="s">
        <v>169</v>
      </c>
      <c r="D90" s="219">
        <v>7</v>
      </c>
      <c r="E90" s="219" t="s">
        <v>8</v>
      </c>
      <c r="F90" s="219">
        <v>7</v>
      </c>
      <c r="G90" s="219">
        <v>3400</v>
      </c>
      <c r="H90" s="219">
        <v>900</v>
      </c>
      <c r="K90" s="221"/>
      <c r="R90" s="220"/>
    </row>
    <row r="91" spans="3:18">
      <c r="C91" s="218" t="s">
        <v>170</v>
      </c>
      <c r="D91" s="219">
        <v>8</v>
      </c>
      <c r="E91" s="219" t="s">
        <v>9</v>
      </c>
      <c r="F91" s="219">
        <v>8</v>
      </c>
      <c r="G91" s="219">
        <v>4100</v>
      </c>
      <c r="H91" s="219">
        <v>1080</v>
      </c>
      <c r="K91" s="221"/>
      <c r="R91" s="220"/>
    </row>
    <row r="92" spans="3:18">
      <c r="C92" s="218" t="s">
        <v>171</v>
      </c>
      <c r="D92" s="219">
        <v>9</v>
      </c>
      <c r="E92" s="219" t="s">
        <v>10</v>
      </c>
      <c r="F92" s="219">
        <v>9</v>
      </c>
      <c r="G92" s="219">
        <v>6800</v>
      </c>
      <c r="H92" s="219">
        <v>1800</v>
      </c>
      <c r="K92" s="221"/>
      <c r="R92" s="220"/>
    </row>
    <row r="93" spans="3:18">
      <c r="C93" s="218" t="s">
        <v>106</v>
      </c>
      <c r="D93" s="219">
        <v>10</v>
      </c>
      <c r="E93" s="219" t="s">
        <v>11</v>
      </c>
      <c r="F93" s="219">
        <v>10</v>
      </c>
      <c r="G93" s="219">
        <v>2700</v>
      </c>
      <c r="H93" s="219">
        <v>720</v>
      </c>
      <c r="K93" s="221"/>
      <c r="R93" s="220"/>
    </row>
    <row r="94" spans="3:18">
      <c r="C94" s="218" t="s">
        <v>107</v>
      </c>
      <c r="D94" s="219">
        <v>11</v>
      </c>
      <c r="E94" s="219" t="s">
        <v>12</v>
      </c>
      <c r="F94" s="219">
        <v>11</v>
      </c>
      <c r="G94" s="219">
        <v>2100</v>
      </c>
      <c r="H94" s="219">
        <v>540</v>
      </c>
      <c r="K94" s="221"/>
      <c r="R94" s="220"/>
    </row>
    <row r="95" spans="3:18">
      <c r="C95" s="218" t="s">
        <v>41</v>
      </c>
      <c r="D95" s="219">
        <v>12</v>
      </c>
      <c r="E95" s="219" t="s">
        <v>13</v>
      </c>
      <c r="F95" s="219">
        <v>12</v>
      </c>
      <c r="G95" s="219">
        <v>3400</v>
      </c>
      <c r="H95" s="219">
        <v>900</v>
      </c>
      <c r="K95" s="221"/>
      <c r="R95" s="220"/>
    </row>
    <row r="96" spans="3:18">
      <c r="C96" s="218" t="s">
        <v>108</v>
      </c>
      <c r="D96" s="219">
        <v>13</v>
      </c>
      <c r="E96" s="219" t="s">
        <v>14</v>
      </c>
      <c r="F96" s="219">
        <v>13</v>
      </c>
      <c r="G96" s="219">
        <v>5400</v>
      </c>
      <c r="H96" s="219">
        <v>1440</v>
      </c>
      <c r="K96" s="221"/>
      <c r="R96" s="220"/>
    </row>
    <row r="97" spans="3:18">
      <c r="C97" s="218">
        <v>14</v>
      </c>
      <c r="D97" s="219">
        <v>14</v>
      </c>
      <c r="E97" s="219" t="s">
        <v>15</v>
      </c>
      <c r="F97" s="219">
        <v>14</v>
      </c>
      <c r="K97" s="221"/>
      <c r="R97" s="220"/>
    </row>
    <row r="98" spans="3:18">
      <c r="C98" s="218" t="s">
        <v>109</v>
      </c>
      <c r="D98" s="219">
        <v>15</v>
      </c>
      <c r="E98" s="219" t="s">
        <v>16</v>
      </c>
      <c r="F98" s="219">
        <v>15</v>
      </c>
      <c r="G98" s="219">
        <v>2100</v>
      </c>
      <c r="H98" s="219">
        <v>540</v>
      </c>
      <c r="K98" s="221"/>
      <c r="R98" s="220"/>
    </row>
    <row r="99" spans="3:18">
      <c r="C99" s="218" t="s">
        <v>110</v>
      </c>
      <c r="D99" s="219">
        <v>16</v>
      </c>
      <c r="E99" s="219" t="s">
        <v>17</v>
      </c>
      <c r="F99" s="219">
        <v>16</v>
      </c>
      <c r="G99" s="219">
        <v>2700</v>
      </c>
      <c r="H99" s="219">
        <v>720</v>
      </c>
      <c r="K99" s="221"/>
      <c r="R99" s="220"/>
    </row>
    <row r="100" spans="3:18">
      <c r="C100" s="218">
        <v>17</v>
      </c>
      <c r="D100" s="219">
        <v>17</v>
      </c>
      <c r="E100" s="219" t="s">
        <v>18</v>
      </c>
      <c r="F100" s="219">
        <v>17</v>
      </c>
      <c r="K100" s="221"/>
      <c r="R100" s="220"/>
    </row>
    <row r="101" spans="3:18">
      <c r="C101" s="218" t="s">
        <v>45</v>
      </c>
      <c r="D101" s="219">
        <v>18</v>
      </c>
      <c r="E101" s="219" t="s">
        <v>19</v>
      </c>
      <c r="F101" s="219">
        <v>18</v>
      </c>
      <c r="G101" s="219">
        <v>3400</v>
      </c>
      <c r="H101" s="219">
        <v>900</v>
      </c>
      <c r="K101" s="221"/>
      <c r="R101" s="220"/>
    </row>
    <row r="102" spans="3:18">
      <c r="C102" s="218" t="s">
        <v>46</v>
      </c>
      <c r="D102" s="219">
        <v>19</v>
      </c>
      <c r="E102" s="219" t="s">
        <v>20</v>
      </c>
      <c r="F102" s="219">
        <v>19</v>
      </c>
      <c r="G102" s="219">
        <v>6100</v>
      </c>
      <c r="H102" s="219">
        <v>1620</v>
      </c>
      <c r="K102" s="221"/>
      <c r="R102" s="220"/>
    </row>
    <row r="103" spans="3:18">
      <c r="C103" s="218" t="s">
        <v>111</v>
      </c>
      <c r="D103" s="219">
        <v>20</v>
      </c>
      <c r="E103" s="219" t="s">
        <v>21</v>
      </c>
      <c r="F103" s="219">
        <v>20</v>
      </c>
      <c r="G103" s="219">
        <v>3400</v>
      </c>
      <c r="H103" s="219">
        <v>900</v>
      </c>
      <c r="K103" s="221"/>
      <c r="R103" s="220"/>
    </row>
    <row r="104" spans="3:18">
      <c r="C104" s="218" t="s">
        <v>112</v>
      </c>
      <c r="D104" s="219">
        <v>21</v>
      </c>
      <c r="E104" s="219" t="s">
        <v>22</v>
      </c>
      <c r="F104" s="219">
        <v>21</v>
      </c>
      <c r="G104" s="219">
        <v>4100</v>
      </c>
      <c r="H104" s="219">
        <v>1080</v>
      </c>
      <c r="K104" s="221"/>
      <c r="R104" s="220"/>
    </row>
    <row r="105" spans="3:18">
      <c r="C105" s="218" t="s">
        <v>113</v>
      </c>
      <c r="D105" s="219">
        <v>22</v>
      </c>
      <c r="E105" s="219" t="s">
        <v>23</v>
      </c>
      <c r="F105" s="219">
        <v>22</v>
      </c>
      <c r="G105" s="219">
        <v>2700</v>
      </c>
      <c r="H105" s="219">
        <v>720</v>
      </c>
      <c r="K105" s="221"/>
      <c r="R105" s="220"/>
    </row>
    <row r="106" spans="3:18">
      <c r="C106" s="218" t="s">
        <v>50</v>
      </c>
      <c r="D106" s="219">
        <v>23</v>
      </c>
      <c r="E106" s="219" t="s">
        <v>24</v>
      </c>
      <c r="F106" s="219">
        <v>23</v>
      </c>
      <c r="G106" s="219">
        <v>4100</v>
      </c>
      <c r="H106" s="219">
        <v>1080</v>
      </c>
      <c r="K106" s="221"/>
      <c r="R106" s="220"/>
    </row>
    <row r="107" spans="3:18">
      <c r="C107" s="218" t="s">
        <v>114</v>
      </c>
      <c r="D107" s="219">
        <v>24</v>
      </c>
      <c r="E107" s="219" t="s">
        <v>66</v>
      </c>
      <c r="F107" s="219">
        <v>24</v>
      </c>
      <c r="G107" s="219">
        <v>5400</v>
      </c>
      <c r="H107" s="219">
        <v>1440</v>
      </c>
      <c r="K107" s="221"/>
      <c r="R107" s="220"/>
    </row>
    <row r="108" spans="3:18">
      <c r="C108" s="218" t="s">
        <v>115</v>
      </c>
      <c r="D108" s="219">
        <v>25</v>
      </c>
      <c r="E108" s="219" t="s">
        <v>26</v>
      </c>
      <c r="F108" s="219">
        <v>25</v>
      </c>
      <c r="G108" s="219">
        <v>5400</v>
      </c>
      <c r="H108" s="219">
        <v>1440</v>
      </c>
      <c r="K108" s="221"/>
      <c r="R108" s="220"/>
    </row>
    <row r="109" spans="3:18">
      <c r="C109" s="218" t="s">
        <v>116</v>
      </c>
      <c r="D109" s="219">
        <v>26</v>
      </c>
      <c r="E109" s="219" t="s">
        <v>25</v>
      </c>
      <c r="F109" s="219">
        <v>26</v>
      </c>
      <c r="G109" s="219">
        <v>6800</v>
      </c>
      <c r="H109" s="219">
        <v>1800</v>
      </c>
      <c r="K109" s="221"/>
      <c r="R109" s="220"/>
    </row>
    <row r="110" spans="3:18">
      <c r="C110" s="218" t="s">
        <v>117</v>
      </c>
      <c r="D110" s="219">
        <v>27</v>
      </c>
      <c r="E110" s="219" t="s">
        <v>31</v>
      </c>
      <c r="F110" s="219">
        <v>27</v>
      </c>
      <c r="G110" s="219">
        <v>4100</v>
      </c>
      <c r="H110" s="219">
        <v>1080</v>
      </c>
      <c r="K110" s="221"/>
      <c r="R110" s="220"/>
    </row>
    <row r="111" spans="3:18">
      <c r="C111" s="218" t="s">
        <v>118</v>
      </c>
      <c r="D111" s="219">
        <v>28</v>
      </c>
      <c r="E111" s="219" t="s">
        <v>29</v>
      </c>
      <c r="F111" s="219">
        <v>28</v>
      </c>
      <c r="G111" s="219">
        <v>8100</v>
      </c>
      <c r="H111" s="219">
        <v>2160</v>
      </c>
      <c r="K111" s="221"/>
      <c r="R111" s="220"/>
    </row>
    <row r="112" spans="3:18">
      <c r="C112" s="218" t="s">
        <v>56</v>
      </c>
      <c r="D112" s="219">
        <v>29</v>
      </c>
      <c r="E112" s="219" t="s">
        <v>28</v>
      </c>
      <c r="F112" s="219">
        <v>29</v>
      </c>
      <c r="G112" s="219">
        <v>6100</v>
      </c>
      <c r="H112" s="219">
        <v>1620</v>
      </c>
      <c r="K112" s="221"/>
      <c r="R112" s="220"/>
    </row>
    <row r="113" spans="3:18">
      <c r="C113" s="218" t="s">
        <v>119</v>
      </c>
      <c r="D113" s="219">
        <v>30</v>
      </c>
      <c r="E113" s="219" t="s">
        <v>30</v>
      </c>
      <c r="F113" s="219">
        <v>30</v>
      </c>
      <c r="G113" s="219">
        <v>8100</v>
      </c>
      <c r="H113" s="219">
        <v>2160</v>
      </c>
      <c r="K113" s="221"/>
      <c r="R113" s="220"/>
    </row>
    <row r="114" spans="3:18">
      <c r="C114" s="218">
        <v>31</v>
      </c>
      <c r="D114" s="219">
        <v>31</v>
      </c>
      <c r="E114" s="219" t="s">
        <v>27</v>
      </c>
      <c r="F114" s="219">
        <v>31</v>
      </c>
      <c r="K114" s="221"/>
      <c r="R114" s="220"/>
    </row>
    <row r="115" spans="3:18">
      <c r="C115" s="218" t="s">
        <v>120</v>
      </c>
      <c r="D115" s="219">
        <v>32</v>
      </c>
      <c r="E115" s="219" t="s">
        <v>65</v>
      </c>
      <c r="F115" s="219">
        <v>32</v>
      </c>
      <c r="G115" s="219">
        <v>1400</v>
      </c>
      <c r="H115" s="219">
        <v>360</v>
      </c>
      <c r="K115" s="221"/>
      <c r="R115" s="220"/>
    </row>
    <row r="116" spans="3:18">
      <c r="C116" s="218" t="s">
        <v>59</v>
      </c>
      <c r="D116" s="219">
        <v>33</v>
      </c>
      <c r="E116" s="219" t="s">
        <v>67</v>
      </c>
      <c r="F116" s="219">
        <v>33</v>
      </c>
      <c r="G116" s="219">
        <v>6800</v>
      </c>
      <c r="H116" s="219">
        <v>1800</v>
      </c>
      <c r="K116" s="221"/>
      <c r="R116" s="220"/>
    </row>
    <row r="117" spans="3:18">
      <c r="C117" s="218">
        <v>34</v>
      </c>
      <c r="D117" s="219">
        <v>34</v>
      </c>
      <c r="E117" s="219" t="s">
        <v>34</v>
      </c>
      <c r="F117" s="219">
        <v>34</v>
      </c>
      <c r="K117" s="221"/>
      <c r="R117" s="220"/>
    </row>
    <row r="118" spans="3:18">
      <c r="C118" s="218" t="s">
        <v>121</v>
      </c>
      <c r="D118" s="219">
        <v>35</v>
      </c>
      <c r="E118" s="219" t="s">
        <v>32</v>
      </c>
      <c r="F118" s="219">
        <v>35</v>
      </c>
      <c r="G118" s="219">
        <v>2700</v>
      </c>
      <c r="H118" s="219">
        <v>720</v>
      </c>
      <c r="K118" s="221"/>
      <c r="R118" s="220"/>
    </row>
    <row r="119" spans="3:18">
      <c r="C119" s="218">
        <v>36</v>
      </c>
      <c r="D119" s="219">
        <v>36</v>
      </c>
      <c r="E119" s="219" t="s">
        <v>33</v>
      </c>
      <c r="F119" s="219">
        <v>36</v>
      </c>
      <c r="K119" s="221"/>
      <c r="R119" s="220"/>
    </row>
    <row r="120" spans="3:18">
      <c r="C120" s="218" t="s">
        <v>122</v>
      </c>
      <c r="D120" s="219">
        <v>37</v>
      </c>
      <c r="E120" s="219" t="s">
        <v>35</v>
      </c>
      <c r="F120" s="219">
        <v>37</v>
      </c>
      <c r="G120" s="219">
        <v>3400</v>
      </c>
      <c r="H120" s="219">
        <v>900</v>
      </c>
      <c r="K120" s="221"/>
      <c r="R120" s="220"/>
    </row>
    <row r="121" spans="3:18">
      <c r="C121" s="218">
        <v>38</v>
      </c>
      <c r="D121" s="219">
        <v>38</v>
      </c>
      <c r="E121" s="219" t="s">
        <v>36</v>
      </c>
      <c r="F121" s="219">
        <v>38</v>
      </c>
      <c r="K121" s="221"/>
      <c r="R121" s="220"/>
    </row>
    <row r="122" spans="3:18">
      <c r="C122" s="218" t="s">
        <v>123</v>
      </c>
      <c r="D122" s="219">
        <v>39</v>
      </c>
      <c r="E122" s="219" t="s">
        <v>37</v>
      </c>
      <c r="F122" s="219">
        <v>39</v>
      </c>
      <c r="G122" s="219">
        <v>4100</v>
      </c>
      <c r="H122" s="219">
        <v>1080</v>
      </c>
      <c r="K122" s="221"/>
      <c r="R122" s="220"/>
    </row>
    <row r="123" spans="3:18">
      <c r="C123" s="218" t="s">
        <v>124</v>
      </c>
      <c r="D123" s="219">
        <v>40</v>
      </c>
      <c r="E123" s="219" t="s">
        <v>38</v>
      </c>
      <c r="F123" s="219">
        <v>40</v>
      </c>
      <c r="G123" s="219">
        <v>4100</v>
      </c>
      <c r="H123" s="219">
        <v>1080</v>
      </c>
      <c r="K123" s="221"/>
      <c r="R123" s="220"/>
    </row>
    <row r="124" spans="3:18">
      <c r="C124" s="218">
        <v>0</v>
      </c>
      <c r="D124" s="219">
        <v>0</v>
      </c>
      <c r="E124" s="219" t="s">
        <v>1</v>
      </c>
      <c r="F124" s="219">
        <v>0</v>
      </c>
      <c r="K124" s="221"/>
      <c r="R124" s="220"/>
    </row>
    <row r="125" spans="3:18">
      <c r="C125" s="218" t="s">
        <v>172</v>
      </c>
      <c r="D125" s="219">
        <v>1</v>
      </c>
      <c r="E125" s="219" t="s">
        <v>2</v>
      </c>
      <c r="F125" s="219">
        <v>1</v>
      </c>
      <c r="G125" s="219">
        <v>4100</v>
      </c>
      <c r="H125" s="219">
        <v>1080</v>
      </c>
      <c r="K125" s="221"/>
      <c r="R125" s="220"/>
    </row>
    <row r="126" spans="3:18">
      <c r="C126" s="218" t="s">
        <v>173</v>
      </c>
      <c r="D126" s="219">
        <v>2</v>
      </c>
      <c r="E126" s="219" t="s">
        <v>3</v>
      </c>
      <c r="F126" s="219">
        <v>2</v>
      </c>
      <c r="G126" s="219">
        <v>3100</v>
      </c>
      <c r="H126" s="219">
        <v>810</v>
      </c>
      <c r="K126" s="221"/>
      <c r="R126" s="220"/>
    </row>
    <row r="127" spans="3:18">
      <c r="C127" s="218" t="s">
        <v>174</v>
      </c>
      <c r="D127" s="219">
        <v>3</v>
      </c>
      <c r="E127" s="219" t="s">
        <v>4</v>
      </c>
      <c r="F127" s="219">
        <v>3</v>
      </c>
      <c r="G127" s="219">
        <v>5100</v>
      </c>
      <c r="H127" s="219">
        <v>1350</v>
      </c>
      <c r="K127" s="221"/>
      <c r="R127" s="220"/>
    </row>
    <row r="128" spans="3:18">
      <c r="C128" s="218" t="s">
        <v>175</v>
      </c>
      <c r="D128" s="219">
        <v>4</v>
      </c>
      <c r="E128" s="219" t="s">
        <v>5</v>
      </c>
      <c r="F128" s="219">
        <v>4</v>
      </c>
      <c r="G128" s="219">
        <v>2100</v>
      </c>
      <c r="H128" s="219">
        <v>540</v>
      </c>
      <c r="K128" s="221"/>
      <c r="R128" s="220"/>
    </row>
    <row r="129" spans="3:18">
      <c r="C129" s="218" t="s">
        <v>176</v>
      </c>
      <c r="D129" s="219">
        <v>5</v>
      </c>
      <c r="E129" s="219" t="s">
        <v>6</v>
      </c>
      <c r="F129" s="219">
        <v>5</v>
      </c>
      <c r="G129" s="219">
        <v>4100</v>
      </c>
      <c r="H129" s="219">
        <v>1080</v>
      </c>
      <c r="K129" s="221"/>
      <c r="R129" s="220"/>
    </row>
    <row r="130" spans="3:18">
      <c r="C130" s="218" t="s">
        <v>177</v>
      </c>
      <c r="D130" s="219">
        <v>6</v>
      </c>
      <c r="E130" s="219" t="s">
        <v>7</v>
      </c>
      <c r="F130" s="219">
        <v>6</v>
      </c>
      <c r="G130" s="219">
        <v>7100</v>
      </c>
      <c r="H130" s="219">
        <v>1890</v>
      </c>
      <c r="K130" s="221"/>
      <c r="R130" s="220"/>
    </row>
    <row r="131" spans="3:18">
      <c r="C131" s="218" t="s">
        <v>178</v>
      </c>
      <c r="D131" s="219">
        <v>7</v>
      </c>
      <c r="E131" s="219" t="s">
        <v>8</v>
      </c>
      <c r="F131" s="219">
        <v>7</v>
      </c>
      <c r="G131" s="219">
        <v>5100</v>
      </c>
      <c r="H131" s="219">
        <v>1350</v>
      </c>
      <c r="K131" s="221"/>
      <c r="R131" s="220"/>
    </row>
    <row r="132" spans="3:18">
      <c r="C132" s="218" t="s">
        <v>179</v>
      </c>
      <c r="D132" s="219">
        <v>8</v>
      </c>
      <c r="E132" s="219" t="s">
        <v>9</v>
      </c>
      <c r="F132" s="219">
        <v>8</v>
      </c>
      <c r="G132" s="219">
        <v>6100</v>
      </c>
      <c r="H132" s="219">
        <v>1620</v>
      </c>
      <c r="K132" s="221"/>
      <c r="R132" s="220"/>
    </row>
    <row r="133" spans="3:18">
      <c r="C133" s="218" t="s">
        <v>180</v>
      </c>
      <c r="D133" s="219">
        <v>9</v>
      </c>
      <c r="E133" s="219" t="s">
        <v>10</v>
      </c>
      <c r="F133" s="219">
        <v>9</v>
      </c>
      <c r="G133" s="219">
        <v>10200</v>
      </c>
      <c r="H133" s="219">
        <v>2700</v>
      </c>
      <c r="K133" s="221"/>
      <c r="R133" s="220"/>
    </row>
    <row r="134" spans="3:18">
      <c r="C134" s="218" t="s">
        <v>125</v>
      </c>
      <c r="D134" s="219">
        <v>10</v>
      </c>
      <c r="E134" s="219" t="s">
        <v>11</v>
      </c>
      <c r="F134" s="219">
        <v>10</v>
      </c>
      <c r="G134" s="219">
        <v>4100</v>
      </c>
      <c r="H134" s="219">
        <v>1080</v>
      </c>
      <c r="K134" s="221"/>
      <c r="R134" s="220"/>
    </row>
    <row r="135" spans="3:18">
      <c r="C135" s="218" t="s">
        <v>126</v>
      </c>
      <c r="D135" s="219">
        <v>11</v>
      </c>
      <c r="E135" s="219" t="s">
        <v>12</v>
      </c>
      <c r="F135" s="219">
        <v>11</v>
      </c>
      <c r="G135" s="219">
        <v>3100</v>
      </c>
      <c r="H135" s="219">
        <v>810</v>
      </c>
      <c r="K135" s="221"/>
      <c r="R135" s="220"/>
    </row>
    <row r="136" spans="3:18">
      <c r="C136" s="218" t="s">
        <v>127</v>
      </c>
      <c r="D136" s="219">
        <v>12</v>
      </c>
      <c r="E136" s="219" t="s">
        <v>13</v>
      </c>
      <c r="F136" s="219">
        <v>12</v>
      </c>
      <c r="G136" s="219">
        <v>5100</v>
      </c>
      <c r="H136" s="219">
        <v>1350</v>
      </c>
      <c r="K136" s="221"/>
      <c r="R136" s="220"/>
    </row>
    <row r="137" spans="3:18">
      <c r="C137" s="218" t="s">
        <v>128</v>
      </c>
      <c r="D137" s="219">
        <v>13</v>
      </c>
      <c r="E137" s="219" t="s">
        <v>14</v>
      </c>
      <c r="F137" s="219">
        <v>13</v>
      </c>
      <c r="G137" s="219">
        <v>8100</v>
      </c>
      <c r="H137" s="219">
        <v>2160</v>
      </c>
      <c r="K137" s="221"/>
      <c r="R137" s="220"/>
    </row>
    <row r="138" spans="3:18">
      <c r="C138" s="218">
        <v>14</v>
      </c>
      <c r="D138" s="219">
        <v>14</v>
      </c>
      <c r="E138" s="219" t="s">
        <v>15</v>
      </c>
      <c r="F138" s="219">
        <v>14</v>
      </c>
      <c r="K138" s="221"/>
      <c r="R138" s="220"/>
    </row>
    <row r="139" spans="3:18">
      <c r="C139" s="218" t="s">
        <v>129</v>
      </c>
      <c r="D139" s="219">
        <v>15</v>
      </c>
      <c r="E139" s="219" t="s">
        <v>16</v>
      </c>
      <c r="F139" s="219">
        <v>15</v>
      </c>
      <c r="G139" s="219">
        <v>3100</v>
      </c>
      <c r="H139" s="219">
        <v>810</v>
      </c>
      <c r="K139" s="221"/>
      <c r="R139" s="220"/>
    </row>
    <row r="140" spans="3:18">
      <c r="C140" s="218" t="s">
        <v>44</v>
      </c>
      <c r="D140" s="219">
        <v>16</v>
      </c>
      <c r="E140" s="219" t="s">
        <v>17</v>
      </c>
      <c r="F140" s="219">
        <v>16</v>
      </c>
      <c r="G140" s="219">
        <v>4100</v>
      </c>
      <c r="H140" s="219">
        <v>1080</v>
      </c>
      <c r="K140" s="221"/>
      <c r="R140" s="220"/>
    </row>
    <row r="141" spans="3:18">
      <c r="C141" s="218">
        <v>17</v>
      </c>
      <c r="D141" s="219">
        <v>17</v>
      </c>
      <c r="E141" s="219" t="s">
        <v>18</v>
      </c>
      <c r="F141" s="219">
        <v>17</v>
      </c>
      <c r="K141" s="221"/>
      <c r="R141" s="220"/>
    </row>
    <row r="142" spans="3:18">
      <c r="C142" s="218" t="s">
        <v>130</v>
      </c>
      <c r="D142" s="219">
        <v>18</v>
      </c>
      <c r="E142" s="219" t="s">
        <v>19</v>
      </c>
      <c r="F142" s="219">
        <v>18</v>
      </c>
      <c r="G142" s="219">
        <v>5100</v>
      </c>
      <c r="H142" s="219">
        <v>1350</v>
      </c>
      <c r="K142" s="221"/>
      <c r="R142" s="220"/>
    </row>
    <row r="143" spans="3:18">
      <c r="C143" s="218" t="s">
        <v>131</v>
      </c>
      <c r="D143" s="219">
        <v>19</v>
      </c>
      <c r="E143" s="219" t="s">
        <v>20</v>
      </c>
      <c r="F143" s="219">
        <v>19</v>
      </c>
      <c r="G143" s="219">
        <v>9100</v>
      </c>
      <c r="H143" s="219">
        <v>2430</v>
      </c>
      <c r="K143" s="221"/>
      <c r="R143" s="220"/>
    </row>
    <row r="144" spans="3:18">
      <c r="C144" s="218" t="s">
        <v>47</v>
      </c>
      <c r="D144" s="219">
        <v>20</v>
      </c>
      <c r="E144" s="219" t="s">
        <v>21</v>
      </c>
      <c r="F144" s="219">
        <v>20</v>
      </c>
      <c r="G144" s="219">
        <v>5100</v>
      </c>
      <c r="H144" s="219">
        <v>1350</v>
      </c>
      <c r="K144" s="221"/>
      <c r="R144" s="220"/>
    </row>
    <row r="145" spans="3:18">
      <c r="C145" s="218" t="s">
        <v>132</v>
      </c>
      <c r="D145" s="219">
        <v>21</v>
      </c>
      <c r="E145" s="219" t="s">
        <v>22</v>
      </c>
      <c r="F145" s="219">
        <v>21</v>
      </c>
      <c r="G145" s="219">
        <v>6100</v>
      </c>
      <c r="H145" s="219">
        <v>1620</v>
      </c>
      <c r="K145" s="221"/>
      <c r="R145" s="220"/>
    </row>
    <row r="146" spans="3:18">
      <c r="C146" s="218" t="s">
        <v>49</v>
      </c>
      <c r="D146" s="219">
        <v>22</v>
      </c>
      <c r="E146" s="219" t="s">
        <v>23</v>
      </c>
      <c r="F146" s="219">
        <v>22</v>
      </c>
      <c r="G146" s="219">
        <v>4100</v>
      </c>
      <c r="H146" s="219">
        <v>1080</v>
      </c>
      <c r="K146" s="221"/>
      <c r="R146" s="220"/>
    </row>
    <row r="147" spans="3:18">
      <c r="C147" s="218" t="s">
        <v>133</v>
      </c>
      <c r="D147" s="219">
        <v>23</v>
      </c>
      <c r="E147" s="219" t="s">
        <v>24</v>
      </c>
      <c r="F147" s="219">
        <v>23</v>
      </c>
      <c r="G147" s="219">
        <v>6100</v>
      </c>
      <c r="H147" s="219">
        <v>1620</v>
      </c>
      <c r="K147" s="221"/>
      <c r="R147" s="220"/>
    </row>
    <row r="148" spans="3:18">
      <c r="C148" s="218" t="s">
        <v>134</v>
      </c>
      <c r="D148" s="219">
        <v>24</v>
      </c>
      <c r="E148" s="219" t="s">
        <v>66</v>
      </c>
      <c r="F148" s="219">
        <v>24</v>
      </c>
      <c r="G148" s="219">
        <v>8100</v>
      </c>
      <c r="H148" s="219">
        <v>2160</v>
      </c>
      <c r="K148" s="221"/>
      <c r="R148" s="220"/>
    </row>
    <row r="149" spans="3:18">
      <c r="C149" s="218" t="s">
        <v>52</v>
      </c>
      <c r="D149" s="219">
        <v>25</v>
      </c>
      <c r="E149" s="219" t="s">
        <v>26</v>
      </c>
      <c r="F149" s="219">
        <v>25</v>
      </c>
      <c r="G149" s="219">
        <v>8100</v>
      </c>
      <c r="H149" s="219">
        <v>2160</v>
      </c>
      <c r="K149" s="221"/>
      <c r="R149" s="220"/>
    </row>
    <row r="150" spans="3:18">
      <c r="C150" s="218" t="s">
        <v>135</v>
      </c>
      <c r="D150" s="219">
        <v>26</v>
      </c>
      <c r="E150" s="219" t="s">
        <v>25</v>
      </c>
      <c r="F150" s="219">
        <v>26</v>
      </c>
      <c r="G150" s="219">
        <v>10200</v>
      </c>
      <c r="H150" s="219">
        <v>2700</v>
      </c>
      <c r="K150" s="221"/>
      <c r="R150" s="220"/>
    </row>
    <row r="151" spans="3:18">
      <c r="C151" s="218" t="s">
        <v>136</v>
      </c>
      <c r="D151" s="219">
        <v>27</v>
      </c>
      <c r="E151" s="219" t="s">
        <v>31</v>
      </c>
      <c r="F151" s="219">
        <v>27</v>
      </c>
      <c r="G151" s="219">
        <v>6100</v>
      </c>
      <c r="H151" s="219">
        <v>1620</v>
      </c>
      <c r="K151" s="221"/>
      <c r="R151" s="220"/>
    </row>
    <row r="152" spans="3:18">
      <c r="C152" s="218" t="s">
        <v>55</v>
      </c>
      <c r="D152" s="219">
        <v>28</v>
      </c>
      <c r="E152" s="219" t="s">
        <v>29</v>
      </c>
      <c r="F152" s="219">
        <v>28</v>
      </c>
      <c r="G152" s="219">
        <v>13000</v>
      </c>
      <c r="H152" s="219">
        <v>3240</v>
      </c>
      <c r="K152" s="221"/>
      <c r="R152" s="220"/>
    </row>
    <row r="153" spans="3:18">
      <c r="C153" s="218" t="s">
        <v>137</v>
      </c>
      <c r="D153" s="219">
        <v>29</v>
      </c>
      <c r="E153" s="219" t="s">
        <v>28</v>
      </c>
      <c r="F153" s="219">
        <v>29</v>
      </c>
      <c r="G153" s="219">
        <v>9100</v>
      </c>
      <c r="H153" s="219">
        <v>2430</v>
      </c>
      <c r="K153" s="221"/>
      <c r="R153" s="220"/>
    </row>
    <row r="154" spans="3:18">
      <c r="C154" s="218" t="s">
        <v>138</v>
      </c>
      <c r="D154" s="219">
        <v>30</v>
      </c>
      <c r="E154" s="219" t="s">
        <v>30</v>
      </c>
      <c r="F154" s="219">
        <v>30</v>
      </c>
      <c r="G154" s="219">
        <v>13000</v>
      </c>
      <c r="H154" s="219">
        <v>3240</v>
      </c>
      <c r="K154" s="221"/>
      <c r="R154" s="220"/>
    </row>
    <row r="155" spans="3:18">
      <c r="C155" s="218">
        <v>31</v>
      </c>
      <c r="D155" s="219">
        <v>31</v>
      </c>
      <c r="E155" s="219" t="s">
        <v>27</v>
      </c>
      <c r="F155" s="219">
        <v>31</v>
      </c>
      <c r="K155" s="221"/>
      <c r="R155" s="220"/>
    </row>
    <row r="156" spans="3:18">
      <c r="C156" s="218" t="s">
        <v>139</v>
      </c>
      <c r="D156" s="219">
        <v>32</v>
      </c>
      <c r="E156" s="219" t="s">
        <v>65</v>
      </c>
      <c r="F156" s="219">
        <v>32</v>
      </c>
      <c r="G156" s="219">
        <v>2100</v>
      </c>
      <c r="H156" s="219">
        <v>540</v>
      </c>
      <c r="K156" s="221"/>
      <c r="R156" s="220"/>
    </row>
    <row r="157" spans="3:18">
      <c r="C157" s="218" t="s">
        <v>140</v>
      </c>
      <c r="D157" s="219">
        <v>33</v>
      </c>
      <c r="E157" s="219" t="s">
        <v>67</v>
      </c>
      <c r="F157" s="219">
        <v>33</v>
      </c>
      <c r="G157" s="219">
        <v>10200</v>
      </c>
      <c r="H157" s="219">
        <v>2700</v>
      </c>
      <c r="K157" s="221"/>
      <c r="R157" s="220"/>
    </row>
    <row r="158" spans="3:18">
      <c r="C158" s="218">
        <v>34</v>
      </c>
      <c r="D158" s="219">
        <v>34</v>
      </c>
      <c r="E158" s="219" t="s">
        <v>34</v>
      </c>
      <c r="F158" s="219">
        <v>34</v>
      </c>
      <c r="K158" s="221"/>
      <c r="R158" s="220"/>
    </row>
    <row r="159" spans="3:18">
      <c r="C159" s="218" t="s">
        <v>141</v>
      </c>
      <c r="D159" s="219">
        <v>35</v>
      </c>
      <c r="E159" s="219" t="s">
        <v>32</v>
      </c>
      <c r="F159" s="219">
        <v>35</v>
      </c>
      <c r="G159" s="219">
        <v>4100</v>
      </c>
      <c r="H159" s="219">
        <v>1080</v>
      </c>
      <c r="K159" s="221"/>
      <c r="R159" s="220"/>
    </row>
    <row r="160" spans="3:18">
      <c r="C160" s="218">
        <v>36</v>
      </c>
      <c r="D160" s="219">
        <v>36</v>
      </c>
      <c r="E160" s="219" t="s">
        <v>33</v>
      </c>
      <c r="F160" s="219">
        <v>36</v>
      </c>
      <c r="K160" s="221"/>
      <c r="R160" s="220"/>
    </row>
    <row r="161" spans="3:18">
      <c r="C161" s="218" t="s">
        <v>61</v>
      </c>
      <c r="D161" s="219">
        <v>37</v>
      </c>
      <c r="E161" s="219" t="s">
        <v>35</v>
      </c>
      <c r="F161" s="219">
        <v>37</v>
      </c>
      <c r="G161" s="219">
        <v>5100</v>
      </c>
      <c r="H161" s="219">
        <v>1350</v>
      </c>
      <c r="K161" s="221"/>
      <c r="R161" s="220"/>
    </row>
    <row r="162" spans="3:18">
      <c r="C162" s="218">
        <v>38</v>
      </c>
      <c r="D162" s="219">
        <v>38</v>
      </c>
      <c r="E162" s="219" t="s">
        <v>36</v>
      </c>
      <c r="F162" s="219">
        <v>38</v>
      </c>
      <c r="K162" s="221"/>
      <c r="R162" s="220"/>
    </row>
    <row r="163" spans="3:18">
      <c r="C163" s="218" t="s">
        <v>142</v>
      </c>
      <c r="D163" s="219">
        <v>39</v>
      </c>
      <c r="E163" s="219" t="s">
        <v>37</v>
      </c>
      <c r="F163" s="219">
        <v>39</v>
      </c>
      <c r="G163" s="219">
        <v>6100</v>
      </c>
      <c r="H163" s="219">
        <v>1620</v>
      </c>
      <c r="K163" s="221"/>
      <c r="R163" s="220"/>
    </row>
    <row r="164" spans="3:18">
      <c r="C164" s="218" t="s">
        <v>63</v>
      </c>
      <c r="D164" s="219">
        <v>40</v>
      </c>
      <c r="E164" s="219" t="s">
        <v>38</v>
      </c>
      <c r="F164" s="219">
        <v>40</v>
      </c>
      <c r="G164" s="219">
        <v>6100</v>
      </c>
      <c r="H164" s="219">
        <v>1620</v>
      </c>
      <c r="K164" s="221"/>
      <c r="R164" s="220"/>
    </row>
  </sheetData>
  <phoneticPr fontId="1" type="noConversion"/>
  <pageMargins left="0.7" right="0.7" top="0.75" bottom="0.75" header="0.3" footer="0.3"/>
  <pageSetup paperSize="9" orientation="portrait"/>
  <ignoredErrors>
    <ignoredError sqref="C2:C164" numberStoredAsText="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3</vt:i4>
      </vt:variant>
    </vt:vector>
  </HeadingPairs>
  <TitlesOfParts>
    <vt:vector size="3" baseType="lpstr">
      <vt:lpstr>pla</vt:lpstr>
      <vt:lpstr>cal</vt:lpstr>
      <vt:lpstr>lok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Alex Ng</cp:lastModifiedBy>
  <dcterms:created xsi:type="dcterms:W3CDTF">2015-09-23T00:17:27Z</dcterms:created>
  <dcterms:modified xsi:type="dcterms:W3CDTF">2015-10-21T02:59:03Z</dcterms:modified>
</cp:coreProperties>
</file>